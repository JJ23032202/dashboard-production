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onedrive.aptiv.com/personal/jennifer_alanna_valdes_aptiv_com/Documents/Dashboard/"/>
    </mc:Choice>
  </mc:AlternateContent>
  <xr:revisionPtr revIDLastSave="1184" documentId="8_{3C3B958A-A095-445B-96C4-4842E09E21AC}" xr6:coauthVersionLast="47" xr6:coauthVersionMax="47" xr10:uidLastSave="{04C6D02A-3BA2-4D48-8A48-F0EFEBE23257}"/>
  <bookViews>
    <workbookView xWindow="-110" yWindow="-110" windowWidth="19420" windowHeight="10300" xr2:uid="{F2DA03DE-7AB5-4982-9749-3B30522834A7}"/>
  </bookViews>
  <sheets>
    <sheet name="TIER_MAIN" sheetId="1" r:id="rId1"/>
    <sheet name="LE_HISTORICO" sheetId="6" r:id="rId2"/>
    <sheet name="LE_CODIGO" sheetId="4" r:id="rId3"/>
    <sheet name="DETRACTORE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K854" i="1"/>
  <c r="K850" i="1"/>
  <c r="K846" i="1"/>
  <c r="K842" i="1"/>
  <c r="K838" i="1"/>
  <c r="K834" i="1"/>
  <c r="K830" i="1"/>
  <c r="K826" i="1"/>
  <c r="K822" i="1"/>
  <c r="K818" i="1"/>
  <c r="K814" i="1"/>
  <c r="K810" i="1"/>
  <c r="K806" i="1"/>
  <c r="K802" i="1"/>
  <c r="K798" i="1"/>
  <c r="K794" i="1"/>
  <c r="K790" i="1"/>
  <c r="K786" i="1"/>
  <c r="K782" i="1"/>
  <c r="K778" i="1"/>
  <c r="K774" i="1"/>
  <c r="K770" i="1"/>
  <c r="K766" i="1"/>
  <c r="K762" i="1"/>
  <c r="K758" i="1"/>
  <c r="K754" i="1"/>
  <c r="K750" i="1"/>
  <c r="K746" i="1"/>
  <c r="K742" i="1"/>
  <c r="K738" i="1"/>
  <c r="K734" i="1"/>
  <c r="K730" i="1"/>
  <c r="K726" i="1"/>
  <c r="K722" i="1"/>
  <c r="K718" i="1"/>
  <c r="K714" i="1"/>
  <c r="K710" i="1"/>
  <c r="K706" i="1"/>
  <c r="K702" i="1"/>
  <c r="K698" i="1"/>
  <c r="K694" i="1"/>
  <c r="K690" i="1"/>
  <c r="K686" i="1"/>
  <c r="K682" i="1"/>
  <c r="K678" i="1"/>
  <c r="K674" i="1"/>
  <c r="K670" i="1"/>
  <c r="K666" i="1"/>
  <c r="K662" i="1"/>
  <c r="K658" i="1"/>
  <c r="K654" i="1"/>
  <c r="K650" i="1"/>
  <c r="K646" i="1"/>
  <c r="K642" i="1"/>
  <c r="K638" i="1"/>
  <c r="K634" i="1"/>
  <c r="K630" i="1"/>
  <c r="K626" i="1"/>
  <c r="K622" i="1"/>
  <c r="K618" i="1"/>
  <c r="K614" i="1"/>
  <c r="K610" i="1"/>
  <c r="K606" i="1"/>
  <c r="K602" i="1"/>
  <c r="K598" i="1"/>
  <c r="K594" i="1"/>
  <c r="K590" i="1"/>
  <c r="K586" i="1"/>
  <c r="K582" i="1"/>
  <c r="K578" i="1"/>
  <c r="K574" i="1"/>
  <c r="K570" i="1"/>
  <c r="K566" i="1"/>
  <c r="K562" i="1"/>
  <c r="K558" i="1"/>
  <c r="K554" i="1"/>
  <c r="K550" i="1"/>
  <c r="K546" i="1"/>
  <c r="K542" i="1"/>
  <c r="K538" i="1"/>
  <c r="K534" i="1"/>
  <c r="K530" i="1"/>
  <c r="K526" i="1"/>
  <c r="K522" i="1"/>
  <c r="K518" i="1"/>
  <c r="K514" i="1"/>
  <c r="K510" i="1"/>
  <c r="K506" i="1"/>
  <c r="K502" i="1"/>
  <c r="K498" i="1"/>
  <c r="K494" i="1"/>
  <c r="K490" i="1"/>
  <c r="K486" i="1"/>
  <c r="K482" i="1"/>
  <c r="K478" i="1"/>
  <c r="K474" i="1"/>
  <c r="K470" i="1"/>
  <c r="K466" i="1"/>
  <c r="K462" i="1"/>
  <c r="K458" i="1"/>
  <c r="K454" i="1"/>
  <c r="K450" i="1"/>
  <c r="K446" i="1"/>
  <c r="K442" i="1"/>
  <c r="K438" i="1"/>
  <c r="K434" i="1"/>
  <c r="K430" i="1"/>
  <c r="K426" i="1"/>
  <c r="K422" i="1"/>
  <c r="K418" i="1"/>
  <c r="K414" i="1"/>
  <c r="K410" i="1"/>
  <c r="K406" i="1"/>
  <c r="K402" i="1"/>
  <c r="K398" i="1"/>
  <c r="K394" i="1"/>
  <c r="K390" i="1"/>
  <c r="K386" i="1"/>
  <c r="K382" i="1"/>
  <c r="K378" i="1"/>
  <c r="K374" i="1"/>
  <c r="K370" i="1"/>
  <c r="K366" i="1"/>
  <c r="K362" i="1"/>
  <c r="K358" i="1"/>
  <c r="K354" i="1"/>
  <c r="K350" i="1"/>
  <c r="K346" i="1"/>
  <c r="K342" i="1"/>
  <c r="K338" i="1"/>
  <c r="K334" i="1"/>
  <c r="K330" i="1"/>
  <c r="K326" i="1"/>
  <c r="K322" i="1"/>
  <c r="K318" i="1"/>
  <c r="K314" i="1"/>
  <c r="K310" i="1"/>
  <c r="K306" i="1"/>
  <c r="K302" i="1"/>
  <c r="K298" i="1"/>
  <c r="K294" i="1"/>
  <c r="K290" i="1"/>
  <c r="K286" i="1"/>
  <c r="K282" i="1"/>
  <c r="K278" i="1"/>
  <c r="K274" i="1"/>
  <c r="K270" i="1"/>
  <c r="K266" i="1"/>
  <c r="K262" i="1"/>
  <c r="K258" i="1"/>
  <c r="K254" i="1"/>
  <c r="K250" i="1"/>
  <c r="K246" i="1"/>
  <c r="K242" i="1"/>
  <c r="K238" i="1"/>
  <c r="K234" i="1"/>
  <c r="K230" i="1"/>
  <c r="K226" i="1"/>
  <c r="K222" i="1"/>
  <c r="K218" i="1"/>
  <c r="K214" i="1"/>
  <c r="K210" i="1"/>
  <c r="K206" i="1"/>
  <c r="K202" i="1"/>
  <c r="K198" i="1"/>
  <c r="K194" i="1"/>
  <c r="K190" i="1"/>
  <c r="K186" i="1"/>
  <c r="K182" i="1"/>
  <c r="K178" i="1"/>
  <c r="K174" i="1"/>
  <c r="K170" i="1"/>
  <c r="K166" i="1"/>
  <c r="K162" i="1"/>
  <c r="K158" i="1"/>
  <c r="K154" i="1"/>
  <c r="K150" i="1"/>
  <c r="K146" i="1"/>
  <c r="K142" i="1"/>
  <c r="K138" i="1"/>
  <c r="K134" i="1"/>
  <c r="K130" i="1"/>
  <c r="K126" i="1"/>
  <c r="K122" i="1"/>
  <c r="K118" i="1"/>
  <c r="K114" i="1"/>
  <c r="K110" i="1"/>
  <c r="K106" i="1"/>
  <c r="K102" i="1"/>
  <c r="K98" i="1"/>
  <c r="K94" i="1"/>
  <c r="K90" i="1"/>
  <c r="K86" i="1"/>
  <c r="K82" i="1"/>
  <c r="K78" i="1"/>
  <c r="K74" i="1"/>
  <c r="K70" i="1"/>
  <c r="K66" i="1"/>
  <c r="K62" i="1"/>
  <c r="K58" i="1"/>
  <c r="K54" i="1"/>
  <c r="K50" i="1"/>
  <c r="K46" i="1"/>
  <c r="K42" i="1"/>
  <c r="K38" i="1"/>
  <c r="K34" i="1"/>
  <c r="K30" i="1"/>
  <c r="K26" i="1"/>
  <c r="K22" i="1"/>
  <c r="K18" i="1"/>
  <c r="K14" i="1"/>
  <c r="K10" i="1"/>
  <c r="K6" i="1"/>
  <c r="K2" i="1"/>
  <c r="G617" i="4"/>
  <c r="G602" i="4" s="1"/>
  <c r="G587" i="4" s="1"/>
  <c r="G572" i="4" s="1"/>
  <c r="G557" i="4" s="1"/>
  <c r="G542" i="4" s="1"/>
  <c r="G527" i="4" s="1"/>
  <c r="G512" i="4" s="1"/>
  <c r="G497" i="4" s="1"/>
  <c r="G482" i="4" s="1"/>
  <c r="G467" i="4" s="1"/>
  <c r="G452" i="4" s="1"/>
  <c r="G437" i="4" s="1"/>
  <c r="G422" i="4" s="1"/>
  <c r="G407" i="4" s="1"/>
  <c r="G392" i="4" s="1"/>
  <c r="G377" i="4" s="1"/>
  <c r="G362" i="4" s="1"/>
  <c r="G347" i="4" s="1"/>
  <c r="G332" i="4" s="1"/>
  <c r="G317" i="4" s="1"/>
  <c r="G302" i="4" s="1"/>
  <c r="G287" i="4" s="1"/>
  <c r="G272" i="4" s="1"/>
  <c r="G257" i="4" s="1"/>
  <c r="G242" i="4" s="1"/>
  <c r="G227" i="4" s="1"/>
  <c r="G212" i="4" s="1"/>
  <c r="G197" i="4" s="1"/>
  <c r="G182" i="4" s="1"/>
  <c r="G167" i="4" s="1"/>
  <c r="G152" i="4" s="1"/>
  <c r="G137" i="4" s="1"/>
  <c r="G122" i="4" s="1"/>
  <c r="G107" i="4" s="1"/>
  <c r="G92" i="4" s="1"/>
  <c r="G77" i="4" s="1"/>
  <c r="G62" i="4" s="1"/>
  <c r="G47" i="4" s="1"/>
  <c r="G32" i="4" s="1"/>
  <c r="G17" i="4" s="1"/>
  <c r="G2" i="4" s="1"/>
  <c r="F617" i="4"/>
  <c r="F602" i="4" s="1"/>
  <c r="F587" i="4" s="1"/>
  <c r="F572" i="4" s="1"/>
  <c r="F557" i="4" s="1"/>
  <c r="F542" i="4" s="1"/>
  <c r="F527" i="4" s="1"/>
  <c r="F512" i="4" s="1"/>
  <c r="F497" i="4" s="1"/>
  <c r="F482" i="4" s="1"/>
  <c r="F467" i="4" s="1"/>
  <c r="F452" i="4" s="1"/>
  <c r="F437" i="4" s="1"/>
  <c r="F422" i="4" s="1"/>
  <c r="F407" i="4" s="1"/>
  <c r="F392" i="4" s="1"/>
  <c r="F377" i="4" s="1"/>
  <c r="F362" i="4" s="1"/>
  <c r="F347" i="4" s="1"/>
  <c r="F332" i="4" s="1"/>
  <c r="F317" i="4" s="1"/>
  <c r="F302" i="4" s="1"/>
  <c r="F287" i="4" s="1"/>
  <c r="F272" i="4" s="1"/>
  <c r="F257" i="4" s="1"/>
  <c r="F242" i="4" s="1"/>
  <c r="F227" i="4" s="1"/>
  <c r="F212" i="4" s="1"/>
  <c r="F197" i="4" s="1"/>
  <c r="F182" i="4" s="1"/>
  <c r="F167" i="4" s="1"/>
  <c r="F152" i="4" s="1"/>
  <c r="F137" i="4" s="1"/>
  <c r="F122" i="4" s="1"/>
  <c r="F107" i="4" s="1"/>
  <c r="F92" i="4" s="1"/>
  <c r="F77" i="4" s="1"/>
  <c r="F62" i="4" s="1"/>
  <c r="F47" i="4" s="1"/>
  <c r="F32" i="4" s="1"/>
  <c r="F17" i="4" s="1"/>
  <c r="F2" i="4" s="1"/>
  <c r="C617" i="4"/>
  <c r="C602" i="4" s="1"/>
  <c r="C587" i="4" s="1"/>
  <c r="C572" i="4" s="1"/>
  <c r="C557" i="4" s="1"/>
  <c r="C542" i="4" s="1"/>
  <c r="C527" i="4" s="1"/>
  <c r="C512" i="4" s="1"/>
  <c r="C497" i="4" s="1"/>
  <c r="C482" i="4" s="1"/>
  <c r="C467" i="4" s="1"/>
  <c r="C452" i="4" s="1"/>
  <c r="C437" i="4" s="1"/>
  <c r="C422" i="4" s="1"/>
  <c r="C407" i="4" s="1"/>
  <c r="C392" i="4" s="1"/>
  <c r="C377" i="4" s="1"/>
  <c r="C362" i="4" s="1"/>
  <c r="C347" i="4" s="1"/>
  <c r="C332" i="4" s="1"/>
  <c r="C317" i="4" s="1"/>
  <c r="C302" i="4" s="1"/>
  <c r="C287" i="4" s="1"/>
  <c r="C272" i="4" s="1"/>
  <c r="C257" i="4" s="1"/>
  <c r="C242" i="4" s="1"/>
  <c r="C227" i="4" s="1"/>
  <c r="C212" i="4" s="1"/>
  <c r="C197" i="4" s="1"/>
  <c r="C182" i="4" s="1"/>
  <c r="C167" i="4" s="1"/>
  <c r="C152" i="4" s="1"/>
  <c r="C137" i="4" s="1"/>
  <c r="C122" i="4" s="1"/>
  <c r="C107" i="4" s="1"/>
  <c r="C92" i="4" s="1"/>
  <c r="C77" i="4" s="1"/>
  <c r="C62" i="4" s="1"/>
  <c r="C47" i="4" s="1"/>
  <c r="C32" i="4" s="1"/>
  <c r="C17" i="4" s="1"/>
  <c r="C2" i="4" s="1"/>
  <c r="E617" i="4"/>
  <c r="E602" i="4" s="1"/>
  <c r="E587" i="4" s="1"/>
  <c r="E572" i="4" s="1"/>
  <c r="E557" i="4" s="1"/>
  <c r="E542" i="4" s="1"/>
  <c r="E527" i="4" s="1"/>
  <c r="E512" i="4" s="1"/>
  <c r="E497" i="4" s="1"/>
  <c r="E482" i="4" s="1"/>
  <c r="E467" i="4" s="1"/>
  <c r="E452" i="4" s="1"/>
  <c r="E437" i="4" s="1"/>
  <c r="E422" i="4" s="1"/>
  <c r="E407" i="4" s="1"/>
  <c r="E392" i="4" s="1"/>
  <c r="E377" i="4" s="1"/>
  <c r="E362" i="4" s="1"/>
  <c r="E347" i="4" s="1"/>
  <c r="E332" i="4" s="1"/>
  <c r="E317" i="4" s="1"/>
  <c r="E302" i="4" s="1"/>
  <c r="E287" i="4" s="1"/>
  <c r="E272" i="4" s="1"/>
  <c r="E257" i="4" s="1"/>
  <c r="E242" i="4" s="1"/>
  <c r="E227" i="4" s="1"/>
  <c r="E212" i="4" s="1"/>
  <c r="E197" i="4" s="1"/>
  <c r="E182" i="4" s="1"/>
  <c r="E167" i="4" s="1"/>
  <c r="E152" i="4" s="1"/>
  <c r="E137" i="4" s="1"/>
  <c r="E122" i="4" s="1"/>
  <c r="E107" i="4" s="1"/>
  <c r="E92" i="4" s="1"/>
  <c r="E77" i="4" s="1"/>
  <c r="E62" i="4" s="1"/>
  <c r="E47" i="4" s="1"/>
  <c r="E32" i="4" s="1"/>
  <c r="E17" i="4" s="1"/>
  <c r="E2" i="4" s="1"/>
  <c r="D617" i="4"/>
  <c r="D602" i="4" s="1"/>
  <c r="D587" i="4" s="1"/>
  <c r="D572" i="4" s="1"/>
  <c r="D557" i="4" s="1"/>
  <c r="D542" i="4" s="1"/>
  <c r="D527" i="4" s="1"/>
  <c r="D512" i="4" s="1"/>
  <c r="D497" i="4" s="1"/>
  <c r="D482" i="4" s="1"/>
  <c r="D467" i="4" s="1"/>
  <c r="D452" i="4" s="1"/>
  <c r="D437" i="4" s="1"/>
  <c r="D422" i="4" s="1"/>
  <c r="D407" i="4" s="1"/>
  <c r="D392" i="4" s="1"/>
  <c r="D377" i="4" s="1"/>
  <c r="D362" i="4" s="1"/>
  <c r="D347" i="4" s="1"/>
  <c r="D332" i="4" s="1"/>
  <c r="D317" i="4" s="1"/>
  <c r="D302" i="4" s="1"/>
  <c r="D287" i="4" s="1"/>
  <c r="D272" i="4" s="1"/>
  <c r="D257" i="4" s="1"/>
  <c r="D242" i="4" s="1"/>
  <c r="D227" i="4" s="1"/>
  <c r="D212" i="4" s="1"/>
  <c r="D197" i="4" s="1"/>
  <c r="D182" i="4" s="1"/>
  <c r="D167" i="4" s="1"/>
  <c r="D152" i="4" s="1"/>
  <c r="D137" i="4" s="1"/>
  <c r="D122" i="4" s="1"/>
  <c r="D107" i="4" s="1"/>
  <c r="D92" i="4" s="1"/>
  <c r="D77" i="4" s="1"/>
  <c r="D62" i="4" s="1"/>
  <c r="D47" i="4" s="1"/>
  <c r="D32" i="4" s="1"/>
  <c r="D17" i="4" s="1"/>
  <c r="D2" i="4" s="1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L630" i="5"/>
  <c r="J630" i="5"/>
  <c r="H630" i="5"/>
  <c r="F630" i="5"/>
  <c r="D630" i="5"/>
  <c r="L629" i="5"/>
  <c r="J629" i="5"/>
  <c r="H629" i="5"/>
  <c r="F629" i="5"/>
  <c r="D629" i="5"/>
  <c r="L628" i="5"/>
  <c r="J628" i="5"/>
  <c r="H628" i="5"/>
  <c r="F628" i="5"/>
  <c r="D628" i="5"/>
  <c r="L627" i="5"/>
  <c r="J627" i="5"/>
  <c r="H627" i="5"/>
  <c r="F627" i="5"/>
  <c r="D627" i="5"/>
  <c r="L626" i="5"/>
  <c r="J626" i="5"/>
  <c r="H626" i="5"/>
  <c r="F626" i="5"/>
  <c r="D626" i="5"/>
  <c r="L625" i="5"/>
  <c r="J625" i="5"/>
  <c r="H625" i="5"/>
  <c r="F625" i="5"/>
  <c r="D625" i="5"/>
  <c r="L624" i="5"/>
  <c r="J624" i="5"/>
  <c r="H624" i="5"/>
  <c r="F624" i="5"/>
  <c r="D624" i="5"/>
  <c r="L623" i="5"/>
  <c r="J623" i="5"/>
  <c r="H623" i="5"/>
  <c r="F623" i="5"/>
  <c r="D623" i="5"/>
  <c r="L622" i="5"/>
  <c r="J622" i="5"/>
  <c r="J618" i="5" s="1"/>
  <c r="H622" i="5"/>
  <c r="F622" i="5"/>
  <c r="D622" i="5"/>
  <c r="L621" i="5"/>
  <c r="J621" i="5"/>
  <c r="H621" i="5"/>
  <c r="F621" i="5"/>
  <c r="D621" i="5"/>
  <c r="L620" i="5"/>
  <c r="J620" i="5"/>
  <c r="J619" i="5" s="1"/>
  <c r="H620" i="5"/>
  <c r="F620" i="5"/>
  <c r="F618" i="5" s="1"/>
  <c r="D620" i="5"/>
  <c r="D619" i="5"/>
  <c r="M618" i="5"/>
  <c r="N630" i="5" s="1"/>
  <c r="M617" i="5"/>
  <c r="L615" i="5"/>
  <c r="J615" i="5"/>
  <c r="H615" i="5"/>
  <c r="F615" i="5"/>
  <c r="D615" i="5"/>
  <c r="L614" i="5"/>
  <c r="J614" i="5"/>
  <c r="H614" i="5"/>
  <c r="F614" i="5"/>
  <c r="D614" i="5"/>
  <c r="L613" i="5"/>
  <c r="J613" i="5"/>
  <c r="H613" i="5"/>
  <c r="F613" i="5"/>
  <c r="D613" i="5"/>
  <c r="L612" i="5"/>
  <c r="J612" i="5"/>
  <c r="H612" i="5"/>
  <c r="F612" i="5"/>
  <c r="D612" i="5"/>
  <c r="L611" i="5"/>
  <c r="J611" i="5"/>
  <c r="H611" i="5"/>
  <c r="F611" i="5"/>
  <c r="D611" i="5"/>
  <c r="L610" i="5"/>
  <c r="J610" i="5"/>
  <c r="H610" i="5"/>
  <c r="F610" i="5"/>
  <c r="D610" i="5"/>
  <c r="L609" i="5"/>
  <c r="J609" i="5"/>
  <c r="H609" i="5"/>
  <c r="F609" i="5"/>
  <c r="D609" i="5"/>
  <c r="L608" i="5"/>
  <c r="J608" i="5"/>
  <c r="H608" i="5"/>
  <c r="F608" i="5"/>
  <c r="D608" i="5"/>
  <c r="L607" i="5"/>
  <c r="J607" i="5"/>
  <c r="J603" i="5" s="1"/>
  <c r="H607" i="5"/>
  <c r="F607" i="5"/>
  <c r="D607" i="5"/>
  <c r="L606" i="5"/>
  <c r="J606" i="5"/>
  <c r="J604" i="5" s="1"/>
  <c r="H606" i="5"/>
  <c r="F606" i="5"/>
  <c r="D606" i="5"/>
  <c r="L605" i="5"/>
  <c r="J605" i="5"/>
  <c r="H605" i="5"/>
  <c r="F605" i="5"/>
  <c r="F603" i="5" s="1"/>
  <c r="D605" i="5"/>
  <c r="D604" i="5"/>
  <c r="M603" i="5"/>
  <c r="N615" i="5" s="1"/>
  <c r="M602" i="5"/>
  <c r="L600" i="5"/>
  <c r="J600" i="5"/>
  <c r="H600" i="5"/>
  <c r="F600" i="5"/>
  <c r="D600" i="5"/>
  <c r="L599" i="5"/>
  <c r="J599" i="5"/>
  <c r="H599" i="5"/>
  <c r="F599" i="5"/>
  <c r="D599" i="5"/>
  <c r="L598" i="5"/>
  <c r="J598" i="5"/>
  <c r="H598" i="5"/>
  <c r="F598" i="5"/>
  <c r="D598" i="5"/>
  <c r="L597" i="5"/>
  <c r="J597" i="5"/>
  <c r="H597" i="5"/>
  <c r="F597" i="5"/>
  <c r="D597" i="5"/>
  <c r="D589" i="5" s="1"/>
  <c r="L596" i="5"/>
  <c r="J596" i="5"/>
  <c r="H596" i="5"/>
  <c r="F596" i="5"/>
  <c r="D596" i="5"/>
  <c r="L595" i="5"/>
  <c r="J595" i="5"/>
  <c r="H595" i="5"/>
  <c r="F595" i="5"/>
  <c r="D595" i="5"/>
  <c r="L594" i="5"/>
  <c r="J594" i="5"/>
  <c r="H594" i="5"/>
  <c r="F594" i="5"/>
  <c r="D594" i="5"/>
  <c r="L593" i="5"/>
  <c r="J593" i="5"/>
  <c r="H593" i="5"/>
  <c r="F593" i="5"/>
  <c r="D593" i="5"/>
  <c r="L592" i="5"/>
  <c r="J592" i="5"/>
  <c r="J588" i="5" s="1"/>
  <c r="H592" i="5"/>
  <c r="F592" i="5"/>
  <c r="D592" i="5"/>
  <c r="L591" i="5"/>
  <c r="J591" i="5"/>
  <c r="H591" i="5"/>
  <c r="F591" i="5"/>
  <c r="D591" i="5"/>
  <c r="L590" i="5"/>
  <c r="J590" i="5"/>
  <c r="J589" i="5" s="1"/>
  <c r="H590" i="5"/>
  <c r="F590" i="5"/>
  <c r="F588" i="5" s="1"/>
  <c r="D590" i="5"/>
  <c r="M588" i="5"/>
  <c r="N600" i="5" s="1"/>
  <c r="M587" i="5"/>
  <c r="L585" i="5"/>
  <c r="J585" i="5"/>
  <c r="H585" i="5"/>
  <c r="F585" i="5"/>
  <c r="D585" i="5"/>
  <c r="L584" i="5"/>
  <c r="J584" i="5"/>
  <c r="H584" i="5"/>
  <c r="F584" i="5"/>
  <c r="D584" i="5"/>
  <c r="L583" i="5"/>
  <c r="J583" i="5"/>
  <c r="H583" i="5"/>
  <c r="F583" i="5"/>
  <c r="D583" i="5"/>
  <c r="L582" i="5"/>
  <c r="J582" i="5"/>
  <c r="H582" i="5"/>
  <c r="F582" i="5"/>
  <c r="D582" i="5"/>
  <c r="D574" i="5" s="1"/>
  <c r="L581" i="5"/>
  <c r="J581" i="5"/>
  <c r="H581" i="5"/>
  <c r="F581" i="5"/>
  <c r="D581" i="5"/>
  <c r="L580" i="5"/>
  <c r="J580" i="5"/>
  <c r="H580" i="5"/>
  <c r="F580" i="5"/>
  <c r="D580" i="5"/>
  <c r="L579" i="5"/>
  <c r="J579" i="5"/>
  <c r="H579" i="5"/>
  <c r="F579" i="5"/>
  <c r="D579" i="5"/>
  <c r="L578" i="5"/>
  <c r="J578" i="5"/>
  <c r="H578" i="5"/>
  <c r="F578" i="5"/>
  <c r="D578" i="5"/>
  <c r="L577" i="5"/>
  <c r="J577" i="5"/>
  <c r="J573" i="5" s="1"/>
  <c r="H577" i="5"/>
  <c r="F577" i="5"/>
  <c r="D577" i="5"/>
  <c r="L576" i="5"/>
  <c r="J576" i="5"/>
  <c r="H576" i="5"/>
  <c r="F576" i="5"/>
  <c r="F573" i="5" s="1"/>
  <c r="D576" i="5"/>
  <c r="L575" i="5"/>
  <c r="J575" i="5"/>
  <c r="H575" i="5"/>
  <c r="F575" i="5"/>
  <c r="D575" i="5"/>
  <c r="M573" i="5"/>
  <c r="N585" i="5" s="1"/>
  <c r="M572" i="5"/>
  <c r="L570" i="5"/>
  <c r="J570" i="5"/>
  <c r="H570" i="5"/>
  <c r="F570" i="5"/>
  <c r="D570" i="5"/>
  <c r="L569" i="5"/>
  <c r="J569" i="5"/>
  <c r="H569" i="5"/>
  <c r="F569" i="5"/>
  <c r="D569" i="5"/>
  <c r="L568" i="5"/>
  <c r="J568" i="5"/>
  <c r="H568" i="5"/>
  <c r="F568" i="5"/>
  <c r="D568" i="5"/>
  <c r="L567" i="5"/>
  <c r="J567" i="5"/>
  <c r="H567" i="5"/>
  <c r="F567" i="5"/>
  <c r="D567" i="5"/>
  <c r="L566" i="5"/>
  <c r="J566" i="5"/>
  <c r="H566" i="5"/>
  <c r="F566" i="5"/>
  <c r="D566" i="5"/>
  <c r="L565" i="5"/>
  <c r="J565" i="5"/>
  <c r="H565" i="5"/>
  <c r="F565" i="5"/>
  <c r="D565" i="5"/>
  <c r="L564" i="5"/>
  <c r="J564" i="5"/>
  <c r="H564" i="5"/>
  <c r="F564" i="5"/>
  <c r="D564" i="5"/>
  <c r="L563" i="5"/>
  <c r="J563" i="5"/>
  <c r="H563" i="5"/>
  <c r="F563" i="5"/>
  <c r="D563" i="5"/>
  <c r="L562" i="5"/>
  <c r="J562" i="5"/>
  <c r="J558" i="5" s="1"/>
  <c r="H562" i="5"/>
  <c r="F562" i="5"/>
  <c r="D562" i="5"/>
  <c r="L561" i="5"/>
  <c r="J561" i="5"/>
  <c r="H561" i="5"/>
  <c r="F561" i="5"/>
  <c r="F558" i="5" s="1"/>
  <c r="D561" i="5"/>
  <c r="L560" i="5"/>
  <c r="J560" i="5"/>
  <c r="H560" i="5"/>
  <c r="F560" i="5"/>
  <c r="D560" i="5"/>
  <c r="D559" i="5"/>
  <c r="M558" i="5"/>
  <c r="N570" i="5" s="1"/>
  <c r="M557" i="5"/>
  <c r="L555" i="5"/>
  <c r="J555" i="5"/>
  <c r="H555" i="5"/>
  <c r="F555" i="5"/>
  <c r="D555" i="5"/>
  <c r="L554" i="5"/>
  <c r="J554" i="5"/>
  <c r="H554" i="5"/>
  <c r="F554" i="5"/>
  <c r="D554" i="5"/>
  <c r="L553" i="5"/>
  <c r="J553" i="5"/>
  <c r="H553" i="5"/>
  <c r="F553" i="5"/>
  <c r="D553" i="5"/>
  <c r="L552" i="5"/>
  <c r="J552" i="5"/>
  <c r="H552" i="5"/>
  <c r="F552" i="5"/>
  <c r="D552" i="5"/>
  <c r="L551" i="5"/>
  <c r="J551" i="5"/>
  <c r="H551" i="5"/>
  <c r="F551" i="5"/>
  <c r="D551" i="5"/>
  <c r="L550" i="5"/>
  <c r="J550" i="5"/>
  <c r="H550" i="5"/>
  <c r="F550" i="5"/>
  <c r="D550" i="5"/>
  <c r="L549" i="5"/>
  <c r="J549" i="5"/>
  <c r="H549" i="5"/>
  <c r="F549" i="5"/>
  <c r="D549" i="5"/>
  <c r="L548" i="5"/>
  <c r="J548" i="5"/>
  <c r="H548" i="5"/>
  <c r="F548" i="5"/>
  <c r="D548" i="5"/>
  <c r="L547" i="5"/>
  <c r="J547" i="5"/>
  <c r="J543" i="5" s="1"/>
  <c r="H547" i="5"/>
  <c r="F547" i="5"/>
  <c r="D547" i="5"/>
  <c r="L546" i="5"/>
  <c r="J546" i="5"/>
  <c r="H546" i="5"/>
  <c r="F546" i="5"/>
  <c r="F543" i="5" s="1"/>
  <c r="D546" i="5"/>
  <c r="L545" i="5"/>
  <c r="J545" i="5"/>
  <c r="H545" i="5"/>
  <c r="F545" i="5"/>
  <c r="D545" i="5"/>
  <c r="D544" i="5"/>
  <c r="M543" i="5"/>
  <c r="N555" i="5" s="1"/>
  <c r="M542" i="5"/>
  <c r="L540" i="5"/>
  <c r="J540" i="5"/>
  <c r="H540" i="5"/>
  <c r="F540" i="5"/>
  <c r="D540" i="5"/>
  <c r="L539" i="5"/>
  <c r="J539" i="5"/>
  <c r="H539" i="5"/>
  <c r="F539" i="5"/>
  <c r="D539" i="5"/>
  <c r="L538" i="5"/>
  <c r="J538" i="5"/>
  <c r="H538" i="5"/>
  <c r="F538" i="5"/>
  <c r="D538" i="5"/>
  <c r="L537" i="5"/>
  <c r="J537" i="5"/>
  <c r="H537" i="5"/>
  <c r="F537" i="5"/>
  <c r="D537" i="5"/>
  <c r="D529" i="5" s="1"/>
  <c r="L536" i="5"/>
  <c r="J536" i="5"/>
  <c r="H536" i="5"/>
  <c r="F536" i="5"/>
  <c r="D536" i="5"/>
  <c r="L535" i="5"/>
  <c r="J535" i="5"/>
  <c r="H535" i="5"/>
  <c r="F535" i="5"/>
  <c r="D535" i="5"/>
  <c r="L534" i="5"/>
  <c r="J534" i="5"/>
  <c r="H534" i="5"/>
  <c r="F534" i="5"/>
  <c r="D534" i="5"/>
  <c r="L533" i="5"/>
  <c r="J533" i="5"/>
  <c r="H533" i="5"/>
  <c r="F533" i="5"/>
  <c r="D533" i="5"/>
  <c r="L532" i="5"/>
  <c r="J532" i="5"/>
  <c r="J528" i="5" s="1"/>
  <c r="H532" i="5"/>
  <c r="F532" i="5"/>
  <c r="D532" i="5"/>
  <c r="L531" i="5"/>
  <c r="J531" i="5"/>
  <c r="H531" i="5"/>
  <c r="F531" i="5"/>
  <c r="F528" i="5" s="1"/>
  <c r="D531" i="5"/>
  <c r="L530" i="5"/>
  <c r="J530" i="5"/>
  <c r="H530" i="5"/>
  <c r="F530" i="5"/>
  <c r="D530" i="5"/>
  <c r="M528" i="5"/>
  <c r="N540" i="5" s="1"/>
  <c r="M527" i="5"/>
  <c r="L525" i="5"/>
  <c r="J525" i="5"/>
  <c r="H525" i="5"/>
  <c r="F525" i="5"/>
  <c r="D525" i="5"/>
  <c r="L524" i="5"/>
  <c r="J524" i="5"/>
  <c r="H524" i="5"/>
  <c r="F524" i="5"/>
  <c r="D524" i="5"/>
  <c r="L523" i="5"/>
  <c r="J523" i="5"/>
  <c r="H523" i="5"/>
  <c r="F523" i="5"/>
  <c r="D523" i="5"/>
  <c r="L522" i="5"/>
  <c r="J522" i="5"/>
  <c r="H522" i="5"/>
  <c r="F522" i="5"/>
  <c r="D522" i="5"/>
  <c r="D514" i="5" s="1"/>
  <c r="L521" i="5"/>
  <c r="J521" i="5"/>
  <c r="H521" i="5"/>
  <c r="F521" i="5"/>
  <c r="D521" i="5"/>
  <c r="L520" i="5"/>
  <c r="J520" i="5"/>
  <c r="H520" i="5"/>
  <c r="F520" i="5"/>
  <c r="D520" i="5"/>
  <c r="L519" i="5"/>
  <c r="J519" i="5"/>
  <c r="H519" i="5"/>
  <c r="F519" i="5"/>
  <c r="D519" i="5"/>
  <c r="L518" i="5"/>
  <c r="J518" i="5"/>
  <c r="H518" i="5"/>
  <c r="F518" i="5"/>
  <c r="D518" i="5"/>
  <c r="L517" i="5"/>
  <c r="J517" i="5"/>
  <c r="J513" i="5" s="1"/>
  <c r="H517" i="5"/>
  <c r="F517" i="5"/>
  <c r="D517" i="5"/>
  <c r="L516" i="5"/>
  <c r="J516" i="5"/>
  <c r="H516" i="5"/>
  <c r="F516" i="5"/>
  <c r="F513" i="5" s="1"/>
  <c r="D516" i="5"/>
  <c r="L515" i="5"/>
  <c r="J515" i="5"/>
  <c r="H515" i="5"/>
  <c r="F515" i="5"/>
  <c r="D515" i="5"/>
  <c r="M513" i="5"/>
  <c r="N525" i="5" s="1"/>
  <c r="M512" i="5"/>
  <c r="L510" i="5"/>
  <c r="J510" i="5"/>
  <c r="H510" i="5"/>
  <c r="F510" i="5"/>
  <c r="D510" i="5"/>
  <c r="L509" i="5"/>
  <c r="J509" i="5"/>
  <c r="H509" i="5"/>
  <c r="F509" i="5"/>
  <c r="D509" i="5"/>
  <c r="L508" i="5"/>
  <c r="J508" i="5"/>
  <c r="H508" i="5"/>
  <c r="F508" i="5"/>
  <c r="D508" i="5"/>
  <c r="L507" i="5"/>
  <c r="J507" i="5"/>
  <c r="H507" i="5"/>
  <c r="F507" i="5"/>
  <c r="D507" i="5"/>
  <c r="L506" i="5"/>
  <c r="J506" i="5"/>
  <c r="H506" i="5"/>
  <c r="F506" i="5"/>
  <c r="D506" i="5"/>
  <c r="L505" i="5"/>
  <c r="J505" i="5"/>
  <c r="H505" i="5"/>
  <c r="F505" i="5"/>
  <c r="D505" i="5"/>
  <c r="L504" i="5"/>
  <c r="J504" i="5"/>
  <c r="H504" i="5"/>
  <c r="F504" i="5"/>
  <c r="D504" i="5"/>
  <c r="L503" i="5"/>
  <c r="J503" i="5"/>
  <c r="H503" i="5"/>
  <c r="F503" i="5"/>
  <c r="D503" i="5"/>
  <c r="L502" i="5"/>
  <c r="J502" i="5"/>
  <c r="J498" i="5" s="1"/>
  <c r="H502" i="5"/>
  <c r="F502" i="5"/>
  <c r="D502" i="5"/>
  <c r="L501" i="5"/>
  <c r="J501" i="5"/>
  <c r="H501" i="5"/>
  <c r="F501" i="5"/>
  <c r="F498" i="5" s="1"/>
  <c r="D501" i="5"/>
  <c r="L500" i="5"/>
  <c r="J500" i="5"/>
  <c r="H500" i="5"/>
  <c r="F500" i="5"/>
  <c r="D500" i="5"/>
  <c r="D499" i="5"/>
  <c r="M498" i="5"/>
  <c r="N510" i="5" s="1"/>
  <c r="M497" i="5"/>
  <c r="L495" i="5"/>
  <c r="J495" i="5"/>
  <c r="H495" i="5"/>
  <c r="F495" i="5"/>
  <c r="D495" i="5"/>
  <c r="L494" i="5"/>
  <c r="J494" i="5"/>
  <c r="H494" i="5"/>
  <c r="F494" i="5"/>
  <c r="D494" i="5"/>
  <c r="L493" i="5"/>
  <c r="J493" i="5"/>
  <c r="H493" i="5"/>
  <c r="F493" i="5"/>
  <c r="D493" i="5"/>
  <c r="L492" i="5"/>
  <c r="J492" i="5"/>
  <c r="H492" i="5"/>
  <c r="F492" i="5"/>
  <c r="D492" i="5"/>
  <c r="L491" i="5"/>
  <c r="J491" i="5"/>
  <c r="H491" i="5"/>
  <c r="F491" i="5"/>
  <c r="D491" i="5"/>
  <c r="L490" i="5"/>
  <c r="J490" i="5"/>
  <c r="H490" i="5"/>
  <c r="F490" i="5"/>
  <c r="D490" i="5"/>
  <c r="L489" i="5"/>
  <c r="J489" i="5"/>
  <c r="H489" i="5"/>
  <c r="F489" i="5"/>
  <c r="D489" i="5"/>
  <c r="L488" i="5"/>
  <c r="J488" i="5"/>
  <c r="H488" i="5"/>
  <c r="F488" i="5"/>
  <c r="D488" i="5"/>
  <c r="L487" i="5"/>
  <c r="J487" i="5"/>
  <c r="J483" i="5" s="1"/>
  <c r="H487" i="5"/>
  <c r="F487" i="5"/>
  <c r="D487" i="5"/>
  <c r="L486" i="5"/>
  <c r="J486" i="5"/>
  <c r="H486" i="5"/>
  <c r="F486" i="5"/>
  <c r="F483" i="5" s="1"/>
  <c r="D486" i="5"/>
  <c r="L485" i="5"/>
  <c r="J485" i="5"/>
  <c r="H485" i="5"/>
  <c r="F485" i="5"/>
  <c r="D485" i="5"/>
  <c r="D484" i="5"/>
  <c r="M483" i="5"/>
  <c r="N495" i="5" s="1"/>
  <c r="M482" i="5"/>
  <c r="L480" i="5"/>
  <c r="J480" i="5"/>
  <c r="H480" i="5"/>
  <c r="F480" i="5"/>
  <c r="D480" i="5"/>
  <c r="L479" i="5"/>
  <c r="J479" i="5"/>
  <c r="H479" i="5"/>
  <c r="F479" i="5"/>
  <c r="D479" i="5"/>
  <c r="L478" i="5"/>
  <c r="J478" i="5"/>
  <c r="H478" i="5"/>
  <c r="F478" i="5"/>
  <c r="D478" i="5"/>
  <c r="L477" i="5"/>
  <c r="J477" i="5"/>
  <c r="H477" i="5"/>
  <c r="F477" i="5"/>
  <c r="D477" i="5"/>
  <c r="D469" i="5" s="1"/>
  <c r="L476" i="5"/>
  <c r="J476" i="5"/>
  <c r="H476" i="5"/>
  <c r="F476" i="5"/>
  <c r="D476" i="5"/>
  <c r="L475" i="5"/>
  <c r="J475" i="5"/>
  <c r="H475" i="5"/>
  <c r="F475" i="5"/>
  <c r="D475" i="5"/>
  <c r="L474" i="5"/>
  <c r="J474" i="5"/>
  <c r="H474" i="5"/>
  <c r="F474" i="5"/>
  <c r="D474" i="5"/>
  <c r="L473" i="5"/>
  <c r="J473" i="5"/>
  <c r="H473" i="5"/>
  <c r="F473" i="5"/>
  <c r="D473" i="5"/>
  <c r="L472" i="5"/>
  <c r="J472" i="5"/>
  <c r="J468" i="5" s="1"/>
  <c r="H472" i="5"/>
  <c r="F472" i="5"/>
  <c r="D472" i="5"/>
  <c r="L471" i="5"/>
  <c r="J471" i="5"/>
  <c r="H471" i="5"/>
  <c r="F471" i="5"/>
  <c r="F468" i="5" s="1"/>
  <c r="D471" i="5"/>
  <c r="L470" i="5"/>
  <c r="J470" i="5"/>
  <c r="H470" i="5"/>
  <c r="F470" i="5"/>
  <c r="D470" i="5"/>
  <c r="M468" i="5"/>
  <c r="N480" i="5" s="1"/>
  <c r="M467" i="5"/>
  <c r="L465" i="5"/>
  <c r="J465" i="5"/>
  <c r="H465" i="5"/>
  <c r="F465" i="5"/>
  <c r="D465" i="5"/>
  <c r="L464" i="5"/>
  <c r="J464" i="5"/>
  <c r="H464" i="5"/>
  <c r="F464" i="5"/>
  <c r="D464" i="5"/>
  <c r="L463" i="5"/>
  <c r="J463" i="5"/>
  <c r="H463" i="5"/>
  <c r="F463" i="5"/>
  <c r="D463" i="5"/>
  <c r="L462" i="5"/>
  <c r="J462" i="5"/>
  <c r="H462" i="5"/>
  <c r="F462" i="5"/>
  <c r="D462" i="5"/>
  <c r="D454" i="5" s="1"/>
  <c r="L461" i="5"/>
  <c r="J461" i="5"/>
  <c r="H461" i="5"/>
  <c r="F461" i="5"/>
  <c r="D461" i="5"/>
  <c r="L460" i="5"/>
  <c r="J460" i="5"/>
  <c r="H460" i="5"/>
  <c r="F460" i="5"/>
  <c r="D460" i="5"/>
  <c r="L459" i="5"/>
  <c r="J459" i="5"/>
  <c r="H459" i="5"/>
  <c r="F459" i="5"/>
  <c r="D459" i="5"/>
  <c r="L458" i="5"/>
  <c r="J458" i="5"/>
  <c r="H458" i="5"/>
  <c r="F458" i="5"/>
  <c r="D458" i="5"/>
  <c r="L457" i="5"/>
  <c r="J457" i="5"/>
  <c r="J453" i="5" s="1"/>
  <c r="H457" i="5"/>
  <c r="F457" i="5"/>
  <c r="D457" i="5"/>
  <c r="L456" i="5"/>
  <c r="J456" i="5"/>
  <c r="H456" i="5"/>
  <c r="F456" i="5"/>
  <c r="F453" i="5" s="1"/>
  <c r="D456" i="5"/>
  <c r="L455" i="5"/>
  <c r="J455" i="5"/>
  <c r="H455" i="5"/>
  <c r="F455" i="5"/>
  <c r="D455" i="5"/>
  <c r="M453" i="5"/>
  <c r="M452" i="5"/>
  <c r="L450" i="5"/>
  <c r="J450" i="5"/>
  <c r="H450" i="5"/>
  <c r="F450" i="5"/>
  <c r="D450" i="5"/>
  <c r="L449" i="5"/>
  <c r="J449" i="5"/>
  <c r="H449" i="5"/>
  <c r="F449" i="5"/>
  <c r="D449" i="5"/>
  <c r="L448" i="5"/>
  <c r="J448" i="5"/>
  <c r="H448" i="5"/>
  <c r="F448" i="5"/>
  <c r="D448" i="5"/>
  <c r="L447" i="5"/>
  <c r="J447" i="5"/>
  <c r="H447" i="5"/>
  <c r="F447" i="5"/>
  <c r="D447" i="5"/>
  <c r="L446" i="5"/>
  <c r="J446" i="5"/>
  <c r="H446" i="5"/>
  <c r="F446" i="5"/>
  <c r="D446" i="5"/>
  <c r="L445" i="5"/>
  <c r="J445" i="5"/>
  <c r="H445" i="5"/>
  <c r="F445" i="5"/>
  <c r="D445" i="5"/>
  <c r="L444" i="5"/>
  <c r="J444" i="5"/>
  <c r="H444" i="5"/>
  <c r="F444" i="5"/>
  <c r="D444" i="5"/>
  <c r="L443" i="5"/>
  <c r="J443" i="5"/>
  <c r="H443" i="5"/>
  <c r="F443" i="5"/>
  <c r="D443" i="5"/>
  <c r="L442" i="5"/>
  <c r="J442" i="5"/>
  <c r="J438" i="5" s="1"/>
  <c r="H442" i="5"/>
  <c r="F442" i="5"/>
  <c r="D442" i="5"/>
  <c r="L441" i="5"/>
  <c r="J441" i="5"/>
  <c r="H441" i="5"/>
  <c r="F441" i="5"/>
  <c r="F438" i="5" s="1"/>
  <c r="D441" i="5"/>
  <c r="L440" i="5"/>
  <c r="J440" i="5"/>
  <c r="H440" i="5"/>
  <c r="F440" i="5"/>
  <c r="D440" i="5"/>
  <c r="D439" i="5"/>
  <c r="M438" i="5"/>
  <c r="M437" i="5"/>
  <c r="L435" i="5"/>
  <c r="J435" i="5"/>
  <c r="H435" i="5"/>
  <c r="F435" i="5"/>
  <c r="D435" i="5"/>
  <c r="L434" i="5"/>
  <c r="J434" i="5"/>
  <c r="H434" i="5"/>
  <c r="F434" i="5"/>
  <c r="D434" i="5"/>
  <c r="L433" i="5"/>
  <c r="J433" i="5"/>
  <c r="H433" i="5"/>
  <c r="F433" i="5"/>
  <c r="D433" i="5"/>
  <c r="L432" i="5"/>
  <c r="J432" i="5"/>
  <c r="H432" i="5"/>
  <c r="F432" i="5"/>
  <c r="D432" i="5"/>
  <c r="L431" i="5"/>
  <c r="J431" i="5"/>
  <c r="H431" i="5"/>
  <c r="F431" i="5"/>
  <c r="D431" i="5"/>
  <c r="L430" i="5"/>
  <c r="J430" i="5"/>
  <c r="H430" i="5"/>
  <c r="F430" i="5"/>
  <c r="D430" i="5"/>
  <c r="L429" i="5"/>
  <c r="J429" i="5"/>
  <c r="H429" i="5"/>
  <c r="F429" i="5"/>
  <c r="D429" i="5"/>
  <c r="L428" i="5"/>
  <c r="J428" i="5"/>
  <c r="H428" i="5"/>
  <c r="F428" i="5"/>
  <c r="D428" i="5"/>
  <c r="L427" i="5"/>
  <c r="J427" i="5"/>
  <c r="J423" i="5" s="1"/>
  <c r="H427" i="5"/>
  <c r="F427" i="5"/>
  <c r="D427" i="5"/>
  <c r="L426" i="5"/>
  <c r="J426" i="5"/>
  <c r="H426" i="5"/>
  <c r="F426" i="5"/>
  <c r="F423" i="5" s="1"/>
  <c r="D426" i="5"/>
  <c r="L425" i="5"/>
  <c r="J425" i="5"/>
  <c r="H425" i="5"/>
  <c r="F425" i="5"/>
  <c r="D425" i="5"/>
  <c r="D424" i="5"/>
  <c r="M423" i="5"/>
  <c r="M422" i="5"/>
  <c r="L420" i="5"/>
  <c r="J420" i="5"/>
  <c r="H420" i="5"/>
  <c r="F420" i="5"/>
  <c r="D420" i="5"/>
  <c r="L419" i="5"/>
  <c r="J419" i="5"/>
  <c r="H419" i="5"/>
  <c r="F419" i="5"/>
  <c r="D419" i="5"/>
  <c r="L418" i="5"/>
  <c r="J418" i="5"/>
  <c r="H418" i="5"/>
  <c r="F418" i="5"/>
  <c r="D418" i="5"/>
  <c r="L417" i="5"/>
  <c r="J417" i="5"/>
  <c r="H417" i="5"/>
  <c r="F417" i="5"/>
  <c r="D417" i="5"/>
  <c r="L416" i="5"/>
  <c r="J416" i="5"/>
  <c r="H416" i="5"/>
  <c r="F416" i="5"/>
  <c r="D416" i="5"/>
  <c r="L415" i="5"/>
  <c r="J415" i="5"/>
  <c r="H415" i="5"/>
  <c r="F415" i="5"/>
  <c r="D415" i="5"/>
  <c r="L414" i="5"/>
  <c r="J414" i="5"/>
  <c r="H414" i="5"/>
  <c r="F414" i="5"/>
  <c r="D414" i="5"/>
  <c r="N413" i="5"/>
  <c r="L413" i="5"/>
  <c r="J413" i="5"/>
  <c r="H413" i="5"/>
  <c r="F413" i="5"/>
  <c r="D413" i="5"/>
  <c r="L412" i="5"/>
  <c r="J412" i="5"/>
  <c r="H412" i="5"/>
  <c r="F412" i="5"/>
  <c r="D412" i="5"/>
  <c r="L411" i="5"/>
  <c r="J411" i="5"/>
  <c r="H411" i="5"/>
  <c r="F411" i="5"/>
  <c r="D411" i="5"/>
  <c r="L410" i="5"/>
  <c r="J410" i="5"/>
  <c r="H410" i="5"/>
  <c r="F410" i="5"/>
  <c r="D410" i="5"/>
  <c r="D409" i="5" s="1"/>
  <c r="M408" i="5"/>
  <c r="L408" i="5"/>
  <c r="M407" i="5"/>
  <c r="L405" i="5"/>
  <c r="J405" i="5"/>
  <c r="H405" i="5"/>
  <c r="F405" i="5"/>
  <c r="D405" i="5"/>
  <c r="L404" i="5"/>
  <c r="J404" i="5"/>
  <c r="H404" i="5"/>
  <c r="F404" i="5"/>
  <c r="D404" i="5"/>
  <c r="L403" i="5"/>
  <c r="J403" i="5"/>
  <c r="H403" i="5"/>
  <c r="F403" i="5"/>
  <c r="D403" i="5"/>
  <c r="N402" i="5"/>
  <c r="L402" i="5"/>
  <c r="J402" i="5"/>
  <c r="H402" i="5"/>
  <c r="F402" i="5"/>
  <c r="D402" i="5"/>
  <c r="L401" i="5"/>
  <c r="J401" i="5"/>
  <c r="H401" i="5"/>
  <c r="F401" i="5"/>
  <c r="D401" i="5"/>
  <c r="L400" i="5"/>
  <c r="J400" i="5"/>
  <c r="H400" i="5"/>
  <c r="F400" i="5"/>
  <c r="D400" i="5"/>
  <c r="L399" i="5"/>
  <c r="J399" i="5"/>
  <c r="H399" i="5"/>
  <c r="F399" i="5"/>
  <c r="D399" i="5"/>
  <c r="N398" i="5"/>
  <c r="L398" i="5"/>
  <c r="J398" i="5"/>
  <c r="H398" i="5"/>
  <c r="F398" i="5"/>
  <c r="D398" i="5"/>
  <c r="L397" i="5"/>
  <c r="L393" i="5" s="1"/>
  <c r="J397" i="5"/>
  <c r="H397" i="5"/>
  <c r="F397" i="5"/>
  <c r="D397" i="5"/>
  <c r="L396" i="5"/>
  <c r="J396" i="5"/>
  <c r="H396" i="5"/>
  <c r="F396" i="5"/>
  <c r="D396" i="5"/>
  <c r="L395" i="5"/>
  <c r="J395" i="5"/>
  <c r="H395" i="5"/>
  <c r="F395" i="5"/>
  <c r="D395" i="5"/>
  <c r="M393" i="5"/>
  <c r="M392" i="5"/>
  <c r="L390" i="5"/>
  <c r="J390" i="5"/>
  <c r="H390" i="5"/>
  <c r="F390" i="5"/>
  <c r="D390" i="5"/>
  <c r="L389" i="5"/>
  <c r="J389" i="5"/>
  <c r="H389" i="5"/>
  <c r="F389" i="5"/>
  <c r="D389" i="5"/>
  <c r="L388" i="5"/>
  <c r="J388" i="5"/>
  <c r="H388" i="5"/>
  <c r="F388" i="5"/>
  <c r="D388" i="5"/>
  <c r="L387" i="5"/>
  <c r="J387" i="5"/>
  <c r="H387" i="5"/>
  <c r="F387" i="5"/>
  <c r="D387" i="5"/>
  <c r="L386" i="5"/>
  <c r="J386" i="5"/>
  <c r="H386" i="5"/>
  <c r="F386" i="5"/>
  <c r="D386" i="5"/>
  <c r="L385" i="5"/>
  <c r="J385" i="5"/>
  <c r="H385" i="5"/>
  <c r="F385" i="5"/>
  <c r="D385" i="5"/>
  <c r="L384" i="5"/>
  <c r="J384" i="5"/>
  <c r="H384" i="5"/>
  <c r="F384" i="5"/>
  <c r="D384" i="5"/>
  <c r="N383" i="5"/>
  <c r="L383" i="5"/>
  <c r="J383" i="5"/>
  <c r="H383" i="5"/>
  <c r="F383" i="5"/>
  <c r="D383" i="5"/>
  <c r="L382" i="5"/>
  <c r="L378" i="5" s="1"/>
  <c r="J382" i="5"/>
  <c r="H382" i="5"/>
  <c r="F382" i="5"/>
  <c r="D382" i="5"/>
  <c r="L381" i="5"/>
  <c r="J381" i="5"/>
  <c r="H381" i="5"/>
  <c r="F381" i="5"/>
  <c r="D381" i="5"/>
  <c r="L380" i="5"/>
  <c r="J380" i="5"/>
  <c r="H380" i="5"/>
  <c r="F380" i="5"/>
  <c r="D380" i="5"/>
  <c r="M378" i="5"/>
  <c r="N387" i="5" s="1"/>
  <c r="M377" i="5"/>
  <c r="L375" i="5"/>
  <c r="J375" i="5"/>
  <c r="H375" i="5"/>
  <c r="F375" i="5"/>
  <c r="D375" i="5"/>
  <c r="L374" i="5"/>
  <c r="J374" i="5"/>
  <c r="H374" i="5"/>
  <c r="F374" i="5"/>
  <c r="D374" i="5"/>
  <c r="L373" i="5"/>
  <c r="J373" i="5"/>
  <c r="H373" i="5"/>
  <c r="F373" i="5"/>
  <c r="D373" i="5"/>
  <c r="L372" i="5"/>
  <c r="J372" i="5"/>
  <c r="H372" i="5"/>
  <c r="F372" i="5"/>
  <c r="D372" i="5"/>
  <c r="L371" i="5"/>
  <c r="J371" i="5"/>
  <c r="H371" i="5"/>
  <c r="F371" i="5"/>
  <c r="D371" i="5"/>
  <c r="L370" i="5"/>
  <c r="J370" i="5"/>
  <c r="H370" i="5"/>
  <c r="F370" i="5"/>
  <c r="D370" i="5"/>
  <c r="L369" i="5"/>
  <c r="J369" i="5"/>
  <c r="H369" i="5"/>
  <c r="F369" i="5"/>
  <c r="D369" i="5"/>
  <c r="L368" i="5"/>
  <c r="J368" i="5"/>
  <c r="H368" i="5"/>
  <c r="F368" i="5"/>
  <c r="D368" i="5"/>
  <c r="L367" i="5"/>
  <c r="J367" i="5"/>
  <c r="H367" i="5"/>
  <c r="F367" i="5"/>
  <c r="D367" i="5"/>
  <c r="L366" i="5"/>
  <c r="J366" i="5"/>
  <c r="H366" i="5"/>
  <c r="F366" i="5"/>
  <c r="D366" i="5"/>
  <c r="N365" i="5"/>
  <c r="L365" i="5"/>
  <c r="L363" i="5" s="1"/>
  <c r="J365" i="5"/>
  <c r="H365" i="5"/>
  <c r="F365" i="5"/>
  <c r="D365" i="5"/>
  <c r="L364" i="5"/>
  <c r="J364" i="5"/>
  <c r="F364" i="5"/>
  <c r="M363" i="5"/>
  <c r="N375" i="5" s="1"/>
  <c r="J363" i="5"/>
  <c r="F363" i="5"/>
  <c r="M362" i="5"/>
  <c r="L360" i="5"/>
  <c r="J360" i="5"/>
  <c r="H360" i="5"/>
  <c r="F360" i="5"/>
  <c r="D360" i="5"/>
  <c r="L359" i="5"/>
  <c r="J359" i="5"/>
  <c r="H359" i="5"/>
  <c r="F359" i="5"/>
  <c r="D359" i="5"/>
  <c r="L358" i="5"/>
  <c r="J358" i="5"/>
  <c r="H358" i="5"/>
  <c r="F358" i="5"/>
  <c r="D358" i="5"/>
  <c r="L357" i="5"/>
  <c r="J357" i="5"/>
  <c r="H357" i="5"/>
  <c r="F357" i="5"/>
  <c r="D357" i="5"/>
  <c r="L356" i="5"/>
  <c r="J356" i="5"/>
  <c r="H356" i="5"/>
  <c r="F356" i="5"/>
  <c r="D356" i="5"/>
  <c r="L355" i="5"/>
  <c r="J355" i="5"/>
  <c r="H355" i="5"/>
  <c r="F355" i="5"/>
  <c r="D355" i="5"/>
  <c r="L354" i="5"/>
  <c r="J354" i="5"/>
  <c r="H354" i="5"/>
  <c r="F354" i="5"/>
  <c r="D354" i="5"/>
  <c r="L353" i="5"/>
  <c r="J353" i="5"/>
  <c r="H353" i="5"/>
  <c r="F353" i="5"/>
  <c r="D353" i="5"/>
  <c r="L352" i="5"/>
  <c r="J352" i="5"/>
  <c r="H352" i="5"/>
  <c r="F352" i="5"/>
  <c r="D352" i="5"/>
  <c r="L351" i="5"/>
  <c r="J351" i="5"/>
  <c r="H351" i="5"/>
  <c r="F351" i="5"/>
  <c r="D351" i="5"/>
  <c r="L350" i="5"/>
  <c r="L348" i="5" s="1"/>
  <c r="J350" i="5"/>
  <c r="H350" i="5"/>
  <c r="F350" i="5"/>
  <c r="D350" i="5"/>
  <c r="L349" i="5"/>
  <c r="J349" i="5"/>
  <c r="F349" i="5"/>
  <c r="M348" i="5"/>
  <c r="N358" i="5" s="1"/>
  <c r="J348" i="5"/>
  <c r="F348" i="5"/>
  <c r="M347" i="5"/>
  <c r="L345" i="5"/>
  <c r="J345" i="5"/>
  <c r="H345" i="5"/>
  <c r="F345" i="5"/>
  <c r="D345" i="5"/>
  <c r="L344" i="5"/>
  <c r="J344" i="5"/>
  <c r="H344" i="5"/>
  <c r="F344" i="5"/>
  <c r="D344" i="5"/>
  <c r="L343" i="5"/>
  <c r="J343" i="5"/>
  <c r="H343" i="5"/>
  <c r="F343" i="5"/>
  <c r="D343" i="5"/>
  <c r="L342" i="5"/>
  <c r="J342" i="5"/>
  <c r="H342" i="5"/>
  <c r="F342" i="5"/>
  <c r="D342" i="5"/>
  <c r="L341" i="5"/>
  <c r="J341" i="5"/>
  <c r="H341" i="5"/>
  <c r="F341" i="5"/>
  <c r="D341" i="5"/>
  <c r="L340" i="5"/>
  <c r="J340" i="5"/>
  <c r="H340" i="5"/>
  <c r="F340" i="5"/>
  <c r="D340" i="5"/>
  <c r="L339" i="5"/>
  <c r="J339" i="5"/>
  <c r="H339" i="5"/>
  <c r="F339" i="5"/>
  <c r="D339" i="5"/>
  <c r="L338" i="5"/>
  <c r="L333" i="5" s="1"/>
  <c r="J338" i="5"/>
  <c r="H338" i="5"/>
  <c r="F338" i="5"/>
  <c r="D338" i="5"/>
  <c r="L337" i="5"/>
  <c r="J337" i="5"/>
  <c r="H337" i="5"/>
  <c r="F337" i="5"/>
  <c r="D337" i="5"/>
  <c r="L336" i="5"/>
  <c r="J336" i="5"/>
  <c r="H336" i="5"/>
  <c r="F336" i="5"/>
  <c r="D336" i="5"/>
  <c r="L335" i="5"/>
  <c r="J335" i="5"/>
  <c r="H335" i="5"/>
  <c r="F335" i="5"/>
  <c r="D335" i="5"/>
  <c r="J334" i="5"/>
  <c r="F334" i="5"/>
  <c r="M333" i="5"/>
  <c r="N343" i="5" s="1"/>
  <c r="J333" i="5"/>
  <c r="F333" i="5"/>
  <c r="M332" i="5"/>
  <c r="L330" i="5"/>
  <c r="J330" i="5"/>
  <c r="H330" i="5"/>
  <c r="F330" i="5"/>
  <c r="D330" i="5"/>
  <c r="L329" i="5"/>
  <c r="J329" i="5"/>
  <c r="H329" i="5"/>
  <c r="F329" i="5"/>
  <c r="D329" i="5"/>
  <c r="L328" i="5"/>
  <c r="J328" i="5"/>
  <c r="H328" i="5"/>
  <c r="F328" i="5"/>
  <c r="D328" i="5"/>
  <c r="L327" i="5"/>
  <c r="J327" i="5"/>
  <c r="H327" i="5"/>
  <c r="F327" i="5"/>
  <c r="D327" i="5"/>
  <c r="L326" i="5"/>
  <c r="J326" i="5"/>
  <c r="H326" i="5"/>
  <c r="F326" i="5"/>
  <c r="D326" i="5"/>
  <c r="L325" i="5"/>
  <c r="J325" i="5"/>
  <c r="H325" i="5"/>
  <c r="F325" i="5"/>
  <c r="D325" i="5"/>
  <c r="L324" i="5"/>
  <c r="J324" i="5"/>
  <c r="H324" i="5"/>
  <c r="F324" i="5"/>
  <c r="D324" i="5"/>
  <c r="L323" i="5"/>
  <c r="L318" i="5" s="1"/>
  <c r="J323" i="5"/>
  <c r="H323" i="5"/>
  <c r="F323" i="5"/>
  <c r="D323" i="5"/>
  <c r="L322" i="5"/>
  <c r="J322" i="5"/>
  <c r="H322" i="5"/>
  <c r="F322" i="5"/>
  <c r="D322" i="5"/>
  <c r="L321" i="5"/>
  <c r="J321" i="5"/>
  <c r="H321" i="5"/>
  <c r="F321" i="5"/>
  <c r="D321" i="5"/>
  <c r="L320" i="5"/>
  <c r="J320" i="5"/>
  <c r="H320" i="5"/>
  <c r="F320" i="5"/>
  <c r="D320" i="5"/>
  <c r="J319" i="5"/>
  <c r="F319" i="5"/>
  <c r="M318" i="5"/>
  <c r="N328" i="5" s="1"/>
  <c r="J318" i="5"/>
  <c r="F318" i="5"/>
  <c r="M317" i="5"/>
  <c r="L315" i="5"/>
  <c r="J315" i="5"/>
  <c r="H315" i="5"/>
  <c r="F315" i="5"/>
  <c r="D315" i="5"/>
  <c r="L314" i="5"/>
  <c r="J314" i="5"/>
  <c r="H314" i="5"/>
  <c r="F314" i="5"/>
  <c r="D314" i="5"/>
  <c r="L313" i="5"/>
  <c r="J313" i="5"/>
  <c r="H313" i="5"/>
  <c r="F313" i="5"/>
  <c r="D313" i="5"/>
  <c r="L312" i="5"/>
  <c r="J312" i="5"/>
  <c r="H312" i="5"/>
  <c r="F312" i="5"/>
  <c r="D312" i="5"/>
  <c r="L311" i="5"/>
  <c r="J311" i="5"/>
  <c r="H311" i="5"/>
  <c r="F311" i="5"/>
  <c r="D311" i="5"/>
  <c r="L310" i="5"/>
  <c r="J310" i="5"/>
  <c r="H310" i="5"/>
  <c r="F310" i="5"/>
  <c r="D310" i="5"/>
  <c r="L309" i="5"/>
  <c r="J309" i="5"/>
  <c r="H309" i="5"/>
  <c r="F309" i="5"/>
  <c r="D309" i="5"/>
  <c r="L308" i="5"/>
  <c r="J308" i="5"/>
  <c r="H308" i="5"/>
  <c r="F308" i="5"/>
  <c r="D308" i="5"/>
  <c r="L307" i="5"/>
  <c r="J307" i="5"/>
  <c r="H307" i="5"/>
  <c r="F307" i="5"/>
  <c r="D307" i="5"/>
  <c r="L306" i="5"/>
  <c r="J306" i="5"/>
  <c r="H306" i="5"/>
  <c r="F306" i="5"/>
  <c r="D306" i="5"/>
  <c r="L305" i="5"/>
  <c r="J305" i="5"/>
  <c r="H305" i="5"/>
  <c r="F305" i="5"/>
  <c r="D305" i="5"/>
  <c r="L304" i="5"/>
  <c r="J304" i="5"/>
  <c r="F304" i="5"/>
  <c r="M303" i="5"/>
  <c r="N313" i="5" s="1"/>
  <c r="J303" i="5"/>
  <c r="F303" i="5"/>
  <c r="M302" i="5"/>
  <c r="L300" i="5"/>
  <c r="J300" i="5"/>
  <c r="H300" i="5"/>
  <c r="F300" i="5"/>
  <c r="D300" i="5"/>
  <c r="L299" i="5"/>
  <c r="J299" i="5"/>
  <c r="H299" i="5"/>
  <c r="F299" i="5"/>
  <c r="D299" i="5"/>
  <c r="L298" i="5"/>
  <c r="J298" i="5"/>
  <c r="H298" i="5"/>
  <c r="F298" i="5"/>
  <c r="D298" i="5"/>
  <c r="L297" i="5"/>
  <c r="J297" i="5"/>
  <c r="H297" i="5"/>
  <c r="F297" i="5"/>
  <c r="D297" i="5"/>
  <c r="L296" i="5"/>
  <c r="J296" i="5"/>
  <c r="H296" i="5"/>
  <c r="F296" i="5"/>
  <c r="D296" i="5"/>
  <c r="L295" i="5"/>
  <c r="J295" i="5"/>
  <c r="H295" i="5"/>
  <c r="F295" i="5"/>
  <c r="D295" i="5"/>
  <c r="L294" i="5"/>
  <c r="J294" i="5"/>
  <c r="H294" i="5"/>
  <c r="F294" i="5"/>
  <c r="D294" i="5"/>
  <c r="L293" i="5"/>
  <c r="J293" i="5"/>
  <c r="H293" i="5"/>
  <c r="F293" i="5"/>
  <c r="D293" i="5"/>
  <c r="L292" i="5"/>
  <c r="J292" i="5"/>
  <c r="H292" i="5"/>
  <c r="F292" i="5"/>
  <c r="D292" i="5"/>
  <c r="L291" i="5"/>
  <c r="J291" i="5"/>
  <c r="H291" i="5"/>
  <c r="F291" i="5"/>
  <c r="D291" i="5"/>
  <c r="L290" i="5"/>
  <c r="J290" i="5"/>
  <c r="H290" i="5"/>
  <c r="F290" i="5"/>
  <c r="D290" i="5"/>
  <c r="L289" i="5"/>
  <c r="J289" i="5"/>
  <c r="F289" i="5"/>
  <c r="M288" i="5"/>
  <c r="N298" i="5" s="1"/>
  <c r="J288" i="5"/>
  <c r="F288" i="5"/>
  <c r="M287" i="5"/>
  <c r="L285" i="5"/>
  <c r="J285" i="5"/>
  <c r="H285" i="5"/>
  <c r="F285" i="5"/>
  <c r="D285" i="5"/>
  <c r="L284" i="5"/>
  <c r="J284" i="5"/>
  <c r="H284" i="5"/>
  <c r="F284" i="5"/>
  <c r="D284" i="5"/>
  <c r="L283" i="5"/>
  <c r="J283" i="5"/>
  <c r="H283" i="5"/>
  <c r="F283" i="5"/>
  <c r="D283" i="5"/>
  <c r="L282" i="5"/>
  <c r="J282" i="5"/>
  <c r="H282" i="5"/>
  <c r="F282" i="5"/>
  <c r="D282" i="5"/>
  <c r="L281" i="5"/>
  <c r="J281" i="5"/>
  <c r="H281" i="5"/>
  <c r="F281" i="5"/>
  <c r="D281" i="5"/>
  <c r="L280" i="5"/>
  <c r="J280" i="5"/>
  <c r="H280" i="5"/>
  <c r="F280" i="5"/>
  <c r="D280" i="5"/>
  <c r="L279" i="5"/>
  <c r="J279" i="5"/>
  <c r="H279" i="5"/>
  <c r="F279" i="5"/>
  <c r="D279" i="5"/>
  <c r="L278" i="5"/>
  <c r="L273" i="5" s="1"/>
  <c r="J278" i="5"/>
  <c r="H278" i="5"/>
  <c r="F278" i="5"/>
  <c r="D278" i="5"/>
  <c r="L277" i="5"/>
  <c r="J277" i="5"/>
  <c r="H277" i="5"/>
  <c r="F277" i="5"/>
  <c r="D277" i="5"/>
  <c r="L276" i="5"/>
  <c r="J276" i="5"/>
  <c r="H276" i="5"/>
  <c r="F276" i="5"/>
  <c r="D276" i="5"/>
  <c r="L275" i="5"/>
  <c r="J275" i="5"/>
  <c r="H275" i="5"/>
  <c r="F275" i="5"/>
  <c r="D275" i="5"/>
  <c r="J274" i="5"/>
  <c r="F274" i="5"/>
  <c r="M273" i="5"/>
  <c r="N283" i="5" s="1"/>
  <c r="J273" i="5"/>
  <c r="F273" i="5"/>
  <c r="M272" i="5"/>
  <c r="L270" i="5"/>
  <c r="J270" i="5"/>
  <c r="H270" i="5"/>
  <c r="F270" i="5"/>
  <c r="D270" i="5"/>
  <c r="L269" i="5"/>
  <c r="J269" i="5"/>
  <c r="H269" i="5"/>
  <c r="F269" i="5"/>
  <c r="D269" i="5"/>
  <c r="L268" i="5"/>
  <c r="J268" i="5"/>
  <c r="H268" i="5"/>
  <c r="F268" i="5"/>
  <c r="D268" i="5"/>
  <c r="L267" i="5"/>
  <c r="J267" i="5"/>
  <c r="H267" i="5"/>
  <c r="F267" i="5"/>
  <c r="D267" i="5"/>
  <c r="L266" i="5"/>
  <c r="J266" i="5"/>
  <c r="H266" i="5"/>
  <c r="F266" i="5"/>
  <c r="D266" i="5"/>
  <c r="L265" i="5"/>
  <c r="J265" i="5"/>
  <c r="H265" i="5"/>
  <c r="F265" i="5"/>
  <c r="D265" i="5"/>
  <c r="L264" i="5"/>
  <c r="J264" i="5"/>
  <c r="H264" i="5"/>
  <c r="F264" i="5"/>
  <c r="D264" i="5"/>
  <c r="L263" i="5"/>
  <c r="L259" i="5" s="1"/>
  <c r="J263" i="5"/>
  <c r="H263" i="5"/>
  <c r="F263" i="5"/>
  <c r="D263" i="5"/>
  <c r="L262" i="5"/>
  <c r="J262" i="5"/>
  <c r="H262" i="5"/>
  <c r="F262" i="5"/>
  <c r="D262" i="5"/>
  <c r="L261" i="5"/>
  <c r="J261" i="5"/>
  <c r="H261" i="5"/>
  <c r="F261" i="5"/>
  <c r="D261" i="5"/>
  <c r="L260" i="5"/>
  <c r="L258" i="5" s="1"/>
  <c r="J260" i="5"/>
  <c r="H260" i="5"/>
  <c r="F260" i="5"/>
  <c r="D260" i="5"/>
  <c r="J259" i="5"/>
  <c r="F259" i="5"/>
  <c r="M258" i="5"/>
  <c r="N268" i="5" s="1"/>
  <c r="J258" i="5"/>
  <c r="F258" i="5"/>
  <c r="M257" i="5"/>
  <c r="L255" i="5"/>
  <c r="J255" i="5"/>
  <c r="H255" i="5"/>
  <c r="F255" i="5"/>
  <c r="D255" i="5"/>
  <c r="L254" i="5"/>
  <c r="J254" i="5"/>
  <c r="H254" i="5"/>
  <c r="F254" i="5"/>
  <c r="D254" i="5"/>
  <c r="L253" i="5"/>
  <c r="J253" i="5"/>
  <c r="H253" i="5"/>
  <c r="F253" i="5"/>
  <c r="D253" i="5"/>
  <c r="L252" i="5"/>
  <c r="J252" i="5"/>
  <c r="H252" i="5"/>
  <c r="F252" i="5"/>
  <c r="D252" i="5"/>
  <c r="L251" i="5"/>
  <c r="J251" i="5"/>
  <c r="H251" i="5"/>
  <c r="F251" i="5"/>
  <c r="D251" i="5"/>
  <c r="L250" i="5"/>
  <c r="J250" i="5"/>
  <c r="H250" i="5"/>
  <c r="F250" i="5"/>
  <c r="D250" i="5"/>
  <c r="L249" i="5"/>
  <c r="J249" i="5"/>
  <c r="H249" i="5"/>
  <c r="F249" i="5"/>
  <c r="D249" i="5"/>
  <c r="L248" i="5"/>
  <c r="J248" i="5"/>
  <c r="H248" i="5"/>
  <c r="F248" i="5"/>
  <c r="D248" i="5"/>
  <c r="L247" i="5"/>
  <c r="J247" i="5"/>
  <c r="H247" i="5"/>
  <c r="F247" i="5"/>
  <c r="D247" i="5"/>
  <c r="L246" i="5"/>
  <c r="J246" i="5"/>
  <c r="H246" i="5"/>
  <c r="F246" i="5"/>
  <c r="D246" i="5"/>
  <c r="L245" i="5"/>
  <c r="J245" i="5"/>
  <c r="H245" i="5"/>
  <c r="F245" i="5"/>
  <c r="D245" i="5"/>
  <c r="L244" i="5"/>
  <c r="J244" i="5"/>
  <c r="F244" i="5"/>
  <c r="M243" i="5"/>
  <c r="N253" i="5" s="1"/>
  <c r="J243" i="5"/>
  <c r="F243" i="5"/>
  <c r="M242" i="5"/>
  <c r="L240" i="5"/>
  <c r="J240" i="5"/>
  <c r="H240" i="5"/>
  <c r="F240" i="5"/>
  <c r="D240" i="5"/>
  <c r="L239" i="5"/>
  <c r="J239" i="5"/>
  <c r="H239" i="5"/>
  <c r="F239" i="5"/>
  <c r="D239" i="5"/>
  <c r="L238" i="5"/>
  <c r="J238" i="5"/>
  <c r="H238" i="5"/>
  <c r="F238" i="5"/>
  <c r="D238" i="5"/>
  <c r="L237" i="5"/>
  <c r="J237" i="5"/>
  <c r="H237" i="5"/>
  <c r="F237" i="5"/>
  <c r="D237" i="5"/>
  <c r="L236" i="5"/>
  <c r="J236" i="5"/>
  <c r="H236" i="5"/>
  <c r="F236" i="5"/>
  <c r="D236" i="5"/>
  <c r="L235" i="5"/>
  <c r="J235" i="5"/>
  <c r="H235" i="5"/>
  <c r="F235" i="5"/>
  <c r="D235" i="5"/>
  <c r="L234" i="5"/>
  <c r="J234" i="5"/>
  <c r="H234" i="5"/>
  <c r="F234" i="5"/>
  <c r="D234" i="5"/>
  <c r="L233" i="5"/>
  <c r="J233" i="5"/>
  <c r="H233" i="5"/>
  <c r="F233" i="5"/>
  <c r="D233" i="5"/>
  <c r="L232" i="5"/>
  <c r="J232" i="5"/>
  <c r="H232" i="5"/>
  <c r="F232" i="5"/>
  <c r="D232" i="5"/>
  <c r="L231" i="5"/>
  <c r="J231" i="5"/>
  <c r="H231" i="5"/>
  <c r="F231" i="5"/>
  <c r="D231" i="5"/>
  <c r="L230" i="5"/>
  <c r="J230" i="5"/>
  <c r="H230" i="5"/>
  <c r="F230" i="5"/>
  <c r="D230" i="5"/>
  <c r="L229" i="5"/>
  <c r="J229" i="5"/>
  <c r="F229" i="5"/>
  <c r="M228" i="5"/>
  <c r="N238" i="5" s="1"/>
  <c r="J228" i="5"/>
  <c r="F228" i="5"/>
  <c r="M227" i="5"/>
  <c r="L225" i="5"/>
  <c r="J225" i="5"/>
  <c r="H225" i="5"/>
  <c r="F225" i="5"/>
  <c r="D225" i="5"/>
  <c r="L224" i="5"/>
  <c r="J224" i="5"/>
  <c r="H224" i="5"/>
  <c r="F224" i="5"/>
  <c r="D224" i="5"/>
  <c r="L223" i="5"/>
  <c r="J223" i="5"/>
  <c r="H223" i="5"/>
  <c r="F223" i="5"/>
  <c r="D223" i="5"/>
  <c r="L222" i="5"/>
  <c r="J222" i="5"/>
  <c r="H222" i="5"/>
  <c r="F222" i="5"/>
  <c r="D222" i="5"/>
  <c r="L221" i="5"/>
  <c r="J221" i="5"/>
  <c r="H221" i="5"/>
  <c r="F221" i="5"/>
  <c r="D221" i="5"/>
  <c r="L220" i="5"/>
  <c r="J220" i="5"/>
  <c r="H220" i="5"/>
  <c r="F220" i="5"/>
  <c r="D220" i="5"/>
  <c r="L219" i="5"/>
  <c r="J219" i="5"/>
  <c r="H219" i="5"/>
  <c r="F219" i="5"/>
  <c r="D219" i="5"/>
  <c r="L218" i="5"/>
  <c r="L213" i="5" s="1"/>
  <c r="J218" i="5"/>
  <c r="H218" i="5"/>
  <c r="F218" i="5"/>
  <c r="D218" i="5"/>
  <c r="L217" i="5"/>
  <c r="J217" i="5"/>
  <c r="H217" i="5"/>
  <c r="F217" i="5"/>
  <c r="D217" i="5"/>
  <c r="L216" i="5"/>
  <c r="J216" i="5"/>
  <c r="H216" i="5"/>
  <c r="F216" i="5"/>
  <c r="D216" i="5"/>
  <c r="L215" i="5"/>
  <c r="J215" i="5"/>
  <c r="H215" i="5"/>
  <c r="F215" i="5"/>
  <c r="D215" i="5"/>
  <c r="J214" i="5"/>
  <c r="F214" i="5"/>
  <c r="M213" i="5"/>
  <c r="N223" i="5" s="1"/>
  <c r="J213" i="5"/>
  <c r="F213" i="5"/>
  <c r="M212" i="5"/>
  <c r="L210" i="5"/>
  <c r="J210" i="5"/>
  <c r="H210" i="5"/>
  <c r="F210" i="5"/>
  <c r="D210" i="5"/>
  <c r="L209" i="5"/>
  <c r="J209" i="5"/>
  <c r="H209" i="5"/>
  <c r="F209" i="5"/>
  <c r="D209" i="5"/>
  <c r="L208" i="5"/>
  <c r="J208" i="5"/>
  <c r="H208" i="5"/>
  <c r="F208" i="5"/>
  <c r="D208" i="5"/>
  <c r="L207" i="5"/>
  <c r="J207" i="5"/>
  <c r="H207" i="5"/>
  <c r="F207" i="5"/>
  <c r="D207" i="5"/>
  <c r="L206" i="5"/>
  <c r="J206" i="5"/>
  <c r="H206" i="5"/>
  <c r="F206" i="5"/>
  <c r="D206" i="5"/>
  <c r="L205" i="5"/>
  <c r="J205" i="5"/>
  <c r="H205" i="5"/>
  <c r="F205" i="5"/>
  <c r="D205" i="5"/>
  <c r="L204" i="5"/>
  <c r="J204" i="5"/>
  <c r="H204" i="5"/>
  <c r="F204" i="5"/>
  <c r="D204" i="5"/>
  <c r="L203" i="5"/>
  <c r="L198" i="5" s="1"/>
  <c r="J203" i="5"/>
  <c r="H203" i="5"/>
  <c r="F203" i="5"/>
  <c r="D203" i="5"/>
  <c r="L202" i="5"/>
  <c r="J202" i="5"/>
  <c r="H202" i="5"/>
  <c r="F202" i="5"/>
  <c r="D202" i="5"/>
  <c r="L201" i="5"/>
  <c r="J201" i="5"/>
  <c r="H201" i="5"/>
  <c r="F201" i="5"/>
  <c r="D201" i="5"/>
  <c r="L200" i="5"/>
  <c r="J200" i="5"/>
  <c r="H200" i="5"/>
  <c r="F200" i="5"/>
  <c r="D200" i="5"/>
  <c r="J199" i="5"/>
  <c r="F199" i="5"/>
  <c r="M198" i="5"/>
  <c r="N208" i="5" s="1"/>
  <c r="J198" i="5"/>
  <c r="F198" i="5"/>
  <c r="M197" i="5"/>
  <c r="L195" i="5"/>
  <c r="J195" i="5"/>
  <c r="H195" i="5"/>
  <c r="F195" i="5"/>
  <c r="D195" i="5"/>
  <c r="L194" i="5"/>
  <c r="J194" i="5"/>
  <c r="H194" i="5"/>
  <c r="F194" i="5"/>
  <c r="D194" i="5"/>
  <c r="L193" i="5"/>
  <c r="J193" i="5"/>
  <c r="H193" i="5"/>
  <c r="F193" i="5"/>
  <c r="D193" i="5"/>
  <c r="L192" i="5"/>
  <c r="J192" i="5"/>
  <c r="H192" i="5"/>
  <c r="F192" i="5"/>
  <c r="D192" i="5"/>
  <c r="L191" i="5"/>
  <c r="J191" i="5"/>
  <c r="H191" i="5"/>
  <c r="F191" i="5"/>
  <c r="D191" i="5"/>
  <c r="L190" i="5"/>
  <c r="J190" i="5"/>
  <c r="H190" i="5"/>
  <c r="F190" i="5"/>
  <c r="D190" i="5"/>
  <c r="L189" i="5"/>
  <c r="J189" i="5"/>
  <c r="H189" i="5"/>
  <c r="F189" i="5"/>
  <c r="D189" i="5"/>
  <c r="L188" i="5"/>
  <c r="J188" i="5"/>
  <c r="H188" i="5"/>
  <c r="F188" i="5"/>
  <c r="D188" i="5"/>
  <c r="L187" i="5"/>
  <c r="J187" i="5"/>
  <c r="H187" i="5"/>
  <c r="F187" i="5"/>
  <c r="D187" i="5"/>
  <c r="L186" i="5"/>
  <c r="J186" i="5"/>
  <c r="H186" i="5"/>
  <c r="F186" i="5"/>
  <c r="D186" i="5"/>
  <c r="L185" i="5"/>
  <c r="J185" i="5"/>
  <c r="H185" i="5"/>
  <c r="F185" i="5"/>
  <c r="D185" i="5"/>
  <c r="L184" i="5"/>
  <c r="J184" i="5"/>
  <c r="F184" i="5"/>
  <c r="M183" i="5"/>
  <c r="N193" i="5" s="1"/>
  <c r="J183" i="5"/>
  <c r="F183" i="5"/>
  <c r="M182" i="5"/>
  <c r="L180" i="5"/>
  <c r="J180" i="5"/>
  <c r="H180" i="5"/>
  <c r="F180" i="5"/>
  <c r="D180" i="5"/>
  <c r="L179" i="5"/>
  <c r="J179" i="5"/>
  <c r="H179" i="5"/>
  <c r="F179" i="5"/>
  <c r="D179" i="5"/>
  <c r="L178" i="5"/>
  <c r="J178" i="5"/>
  <c r="H178" i="5"/>
  <c r="F178" i="5"/>
  <c r="D178" i="5"/>
  <c r="L177" i="5"/>
  <c r="J177" i="5"/>
  <c r="H177" i="5"/>
  <c r="F177" i="5"/>
  <c r="D177" i="5"/>
  <c r="L176" i="5"/>
  <c r="J176" i="5"/>
  <c r="H176" i="5"/>
  <c r="F176" i="5"/>
  <c r="D176" i="5"/>
  <c r="L175" i="5"/>
  <c r="J175" i="5"/>
  <c r="H175" i="5"/>
  <c r="F175" i="5"/>
  <c r="D175" i="5"/>
  <c r="L174" i="5"/>
  <c r="J174" i="5"/>
  <c r="H174" i="5"/>
  <c r="F174" i="5"/>
  <c r="D174" i="5"/>
  <c r="L173" i="5"/>
  <c r="J173" i="5"/>
  <c r="H173" i="5"/>
  <c r="F173" i="5"/>
  <c r="D173" i="5"/>
  <c r="L172" i="5"/>
  <c r="J172" i="5"/>
  <c r="H172" i="5"/>
  <c r="F172" i="5"/>
  <c r="D172" i="5"/>
  <c r="L171" i="5"/>
  <c r="J171" i="5"/>
  <c r="H171" i="5"/>
  <c r="F171" i="5"/>
  <c r="D171" i="5"/>
  <c r="L170" i="5"/>
  <c r="J170" i="5"/>
  <c r="H170" i="5"/>
  <c r="F170" i="5"/>
  <c r="D170" i="5"/>
  <c r="L169" i="5"/>
  <c r="J169" i="5"/>
  <c r="F169" i="5"/>
  <c r="M168" i="5"/>
  <c r="N178" i="5" s="1"/>
  <c r="J168" i="5"/>
  <c r="F168" i="5"/>
  <c r="M167" i="5"/>
  <c r="L165" i="5"/>
  <c r="J165" i="5"/>
  <c r="H165" i="5"/>
  <c r="F165" i="5"/>
  <c r="D165" i="5"/>
  <c r="L164" i="5"/>
  <c r="J164" i="5"/>
  <c r="H164" i="5"/>
  <c r="F164" i="5"/>
  <c r="D164" i="5"/>
  <c r="L163" i="5"/>
  <c r="J163" i="5"/>
  <c r="H163" i="5"/>
  <c r="F163" i="5"/>
  <c r="D163" i="5"/>
  <c r="L162" i="5"/>
  <c r="J162" i="5"/>
  <c r="H162" i="5"/>
  <c r="F162" i="5"/>
  <c r="D162" i="5"/>
  <c r="L161" i="5"/>
  <c r="J161" i="5"/>
  <c r="H161" i="5"/>
  <c r="F161" i="5"/>
  <c r="D161" i="5"/>
  <c r="L160" i="5"/>
  <c r="J160" i="5"/>
  <c r="H160" i="5"/>
  <c r="F160" i="5"/>
  <c r="D160" i="5"/>
  <c r="L159" i="5"/>
  <c r="J159" i="5"/>
  <c r="H159" i="5"/>
  <c r="F159" i="5"/>
  <c r="D159" i="5"/>
  <c r="L158" i="5"/>
  <c r="L154" i="5" s="1"/>
  <c r="J158" i="5"/>
  <c r="H158" i="5"/>
  <c r="F158" i="5"/>
  <c r="D158" i="5"/>
  <c r="L157" i="5"/>
  <c r="J157" i="5"/>
  <c r="H157" i="5"/>
  <c r="F157" i="5"/>
  <c r="D157" i="5"/>
  <c r="L156" i="5"/>
  <c r="J156" i="5"/>
  <c r="H156" i="5"/>
  <c r="F156" i="5"/>
  <c r="D156" i="5"/>
  <c r="L155" i="5"/>
  <c r="J155" i="5"/>
  <c r="H155" i="5"/>
  <c r="F155" i="5"/>
  <c r="D155" i="5"/>
  <c r="J154" i="5"/>
  <c r="F154" i="5"/>
  <c r="M153" i="5"/>
  <c r="N163" i="5" s="1"/>
  <c r="J153" i="5"/>
  <c r="F153" i="5"/>
  <c r="M152" i="5"/>
  <c r="L150" i="5"/>
  <c r="J150" i="5"/>
  <c r="H150" i="5"/>
  <c r="F150" i="5"/>
  <c r="D150" i="5"/>
  <c r="L149" i="5"/>
  <c r="J149" i="5"/>
  <c r="H149" i="5"/>
  <c r="F149" i="5"/>
  <c r="D149" i="5"/>
  <c r="L148" i="5"/>
  <c r="J148" i="5"/>
  <c r="H148" i="5"/>
  <c r="F148" i="5"/>
  <c r="D148" i="5"/>
  <c r="L147" i="5"/>
  <c r="J147" i="5"/>
  <c r="H147" i="5"/>
  <c r="F147" i="5"/>
  <c r="D147" i="5"/>
  <c r="L146" i="5"/>
  <c r="J146" i="5"/>
  <c r="H146" i="5"/>
  <c r="F146" i="5"/>
  <c r="D146" i="5"/>
  <c r="L145" i="5"/>
  <c r="J145" i="5"/>
  <c r="H145" i="5"/>
  <c r="F145" i="5"/>
  <c r="D145" i="5"/>
  <c r="L144" i="5"/>
  <c r="J144" i="5"/>
  <c r="H144" i="5"/>
  <c r="F144" i="5"/>
  <c r="D144" i="5"/>
  <c r="L143" i="5"/>
  <c r="L138" i="5" s="1"/>
  <c r="J143" i="5"/>
  <c r="H143" i="5"/>
  <c r="F143" i="5"/>
  <c r="D143" i="5"/>
  <c r="L142" i="5"/>
  <c r="J142" i="5"/>
  <c r="H142" i="5"/>
  <c r="F142" i="5"/>
  <c r="D142" i="5"/>
  <c r="L141" i="5"/>
  <c r="J141" i="5"/>
  <c r="H141" i="5"/>
  <c r="F141" i="5"/>
  <c r="D141" i="5"/>
  <c r="L140" i="5"/>
  <c r="J140" i="5"/>
  <c r="H140" i="5"/>
  <c r="F140" i="5"/>
  <c r="D140" i="5"/>
  <c r="J139" i="5"/>
  <c r="F139" i="5"/>
  <c r="M138" i="5"/>
  <c r="N148" i="5" s="1"/>
  <c r="J138" i="5"/>
  <c r="F138" i="5"/>
  <c r="M137" i="5"/>
  <c r="L135" i="5"/>
  <c r="J135" i="5"/>
  <c r="H135" i="5"/>
  <c r="F135" i="5"/>
  <c r="D135" i="5"/>
  <c r="L134" i="5"/>
  <c r="J134" i="5"/>
  <c r="H134" i="5"/>
  <c r="F134" i="5"/>
  <c r="D134" i="5"/>
  <c r="L133" i="5"/>
  <c r="J133" i="5"/>
  <c r="H133" i="5"/>
  <c r="F133" i="5"/>
  <c r="D133" i="5"/>
  <c r="L132" i="5"/>
  <c r="J132" i="5"/>
  <c r="H132" i="5"/>
  <c r="F132" i="5"/>
  <c r="D132" i="5"/>
  <c r="L131" i="5"/>
  <c r="J131" i="5"/>
  <c r="H131" i="5"/>
  <c r="F131" i="5"/>
  <c r="D131" i="5"/>
  <c r="L130" i="5"/>
  <c r="J130" i="5"/>
  <c r="H130" i="5"/>
  <c r="F130" i="5"/>
  <c r="D130" i="5"/>
  <c r="L129" i="5"/>
  <c r="J129" i="5"/>
  <c r="H129" i="5"/>
  <c r="F129" i="5"/>
  <c r="D129" i="5"/>
  <c r="L128" i="5"/>
  <c r="J128" i="5"/>
  <c r="H128" i="5"/>
  <c r="F128" i="5"/>
  <c r="D128" i="5"/>
  <c r="L127" i="5"/>
  <c r="J127" i="5"/>
  <c r="H127" i="5"/>
  <c r="F127" i="5"/>
  <c r="D127" i="5"/>
  <c r="L126" i="5"/>
  <c r="J126" i="5"/>
  <c r="H126" i="5"/>
  <c r="F126" i="5"/>
  <c r="D126" i="5"/>
  <c r="L125" i="5"/>
  <c r="J125" i="5"/>
  <c r="H125" i="5"/>
  <c r="F125" i="5"/>
  <c r="D125" i="5"/>
  <c r="L124" i="5"/>
  <c r="J124" i="5"/>
  <c r="F124" i="5"/>
  <c r="M123" i="5"/>
  <c r="N133" i="5" s="1"/>
  <c r="J123" i="5"/>
  <c r="F123" i="5"/>
  <c r="M122" i="5"/>
  <c r="L120" i="5"/>
  <c r="J120" i="5"/>
  <c r="H120" i="5"/>
  <c r="F120" i="5"/>
  <c r="D120" i="5"/>
  <c r="L119" i="5"/>
  <c r="J119" i="5"/>
  <c r="H119" i="5"/>
  <c r="F119" i="5"/>
  <c r="D119" i="5"/>
  <c r="L118" i="5"/>
  <c r="J118" i="5"/>
  <c r="H118" i="5"/>
  <c r="F118" i="5"/>
  <c r="D118" i="5"/>
  <c r="L117" i="5"/>
  <c r="J117" i="5"/>
  <c r="H117" i="5"/>
  <c r="F117" i="5"/>
  <c r="D117" i="5"/>
  <c r="L116" i="5"/>
  <c r="J116" i="5"/>
  <c r="H116" i="5"/>
  <c r="F116" i="5"/>
  <c r="D116" i="5"/>
  <c r="L115" i="5"/>
  <c r="J115" i="5"/>
  <c r="H115" i="5"/>
  <c r="F115" i="5"/>
  <c r="D115" i="5"/>
  <c r="L114" i="5"/>
  <c r="J114" i="5"/>
  <c r="H114" i="5"/>
  <c r="F114" i="5"/>
  <c r="D114" i="5"/>
  <c r="L113" i="5"/>
  <c r="J113" i="5"/>
  <c r="H113" i="5"/>
  <c r="F113" i="5"/>
  <c r="D113" i="5"/>
  <c r="L112" i="5"/>
  <c r="J112" i="5"/>
  <c r="H112" i="5"/>
  <c r="F112" i="5"/>
  <c r="D112" i="5"/>
  <c r="L111" i="5"/>
  <c r="J111" i="5"/>
  <c r="H111" i="5"/>
  <c r="F111" i="5"/>
  <c r="D111" i="5"/>
  <c r="L110" i="5"/>
  <c r="J110" i="5"/>
  <c r="H110" i="5"/>
  <c r="F110" i="5"/>
  <c r="D110" i="5"/>
  <c r="L109" i="5"/>
  <c r="J109" i="5"/>
  <c r="F109" i="5"/>
  <c r="M108" i="5"/>
  <c r="N118" i="5" s="1"/>
  <c r="J108" i="5"/>
  <c r="F108" i="5"/>
  <c r="M107" i="5"/>
  <c r="L105" i="5"/>
  <c r="J105" i="5"/>
  <c r="H105" i="5"/>
  <c r="F105" i="5"/>
  <c r="D105" i="5"/>
  <c r="L104" i="5"/>
  <c r="J104" i="5"/>
  <c r="H104" i="5"/>
  <c r="F104" i="5"/>
  <c r="D104" i="5"/>
  <c r="L103" i="5"/>
  <c r="J103" i="5"/>
  <c r="H103" i="5"/>
  <c r="F103" i="5"/>
  <c r="D103" i="5"/>
  <c r="L102" i="5"/>
  <c r="J102" i="5"/>
  <c r="H102" i="5"/>
  <c r="F102" i="5"/>
  <c r="D102" i="5"/>
  <c r="L101" i="5"/>
  <c r="J101" i="5"/>
  <c r="H101" i="5"/>
  <c r="F101" i="5"/>
  <c r="D101" i="5"/>
  <c r="L100" i="5"/>
  <c r="J100" i="5"/>
  <c r="H100" i="5"/>
  <c r="F100" i="5"/>
  <c r="D100" i="5"/>
  <c r="L99" i="5"/>
  <c r="J99" i="5"/>
  <c r="H99" i="5"/>
  <c r="F99" i="5"/>
  <c r="D99" i="5"/>
  <c r="L98" i="5"/>
  <c r="L93" i="5" s="1"/>
  <c r="J98" i="5"/>
  <c r="H98" i="5"/>
  <c r="F98" i="5"/>
  <c r="D98" i="5"/>
  <c r="L97" i="5"/>
  <c r="J97" i="5"/>
  <c r="H97" i="5"/>
  <c r="F97" i="5"/>
  <c r="D97" i="5"/>
  <c r="L96" i="5"/>
  <c r="J96" i="5"/>
  <c r="H96" i="5"/>
  <c r="F96" i="5"/>
  <c r="D96" i="5"/>
  <c r="L95" i="5"/>
  <c r="J95" i="5"/>
  <c r="H95" i="5"/>
  <c r="F95" i="5"/>
  <c r="D95" i="5"/>
  <c r="J94" i="5"/>
  <c r="F94" i="5"/>
  <c r="M93" i="5"/>
  <c r="N103" i="5" s="1"/>
  <c r="J93" i="5"/>
  <c r="F93" i="5"/>
  <c r="M92" i="5"/>
  <c r="L90" i="5"/>
  <c r="J90" i="5"/>
  <c r="H90" i="5"/>
  <c r="F90" i="5"/>
  <c r="D90" i="5"/>
  <c r="L89" i="5"/>
  <c r="J89" i="5"/>
  <c r="H89" i="5"/>
  <c r="F89" i="5"/>
  <c r="D89" i="5"/>
  <c r="L88" i="5"/>
  <c r="J88" i="5"/>
  <c r="H88" i="5"/>
  <c r="F88" i="5"/>
  <c r="D88" i="5"/>
  <c r="L87" i="5"/>
  <c r="J87" i="5"/>
  <c r="H87" i="5"/>
  <c r="F87" i="5"/>
  <c r="D87" i="5"/>
  <c r="L86" i="5"/>
  <c r="J86" i="5"/>
  <c r="H86" i="5"/>
  <c r="F86" i="5"/>
  <c r="D86" i="5"/>
  <c r="N85" i="5"/>
  <c r="L85" i="5"/>
  <c r="J85" i="5"/>
  <c r="H85" i="5"/>
  <c r="F85" i="5"/>
  <c r="D85" i="5"/>
  <c r="L84" i="5"/>
  <c r="J84" i="5"/>
  <c r="H84" i="5"/>
  <c r="F84" i="5"/>
  <c r="D84" i="5"/>
  <c r="N83" i="5"/>
  <c r="L83" i="5"/>
  <c r="J83" i="5"/>
  <c r="H83" i="5"/>
  <c r="F83" i="5"/>
  <c r="D83" i="5"/>
  <c r="N82" i="5"/>
  <c r="L82" i="5"/>
  <c r="J82" i="5"/>
  <c r="J78" i="5" s="1"/>
  <c r="H82" i="5"/>
  <c r="F82" i="5"/>
  <c r="D82" i="5"/>
  <c r="N81" i="5"/>
  <c r="L81" i="5"/>
  <c r="J81" i="5"/>
  <c r="H81" i="5"/>
  <c r="F81" i="5"/>
  <c r="F79" i="5" s="1"/>
  <c r="D81" i="5"/>
  <c r="D78" i="5" s="1"/>
  <c r="L80" i="5"/>
  <c r="J80" i="5"/>
  <c r="J79" i="5" s="1"/>
  <c r="H80" i="5"/>
  <c r="H78" i="5" s="1"/>
  <c r="F80" i="5"/>
  <c r="F78" i="5" s="1"/>
  <c r="D80" i="5"/>
  <c r="L79" i="5"/>
  <c r="M78" i="5"/>
  <c r="L78" i="5"/>
  <c r="M77" i="5"/>
  <c r="L75" i="5"/>
  <c r="J75" i="5"/>
  <c r="H75" i="5"/>
  <c r="F75" i="5"/>
  <c r="D75" i="5"/>
  <c r="N74" i="5"/>
  <c r="L74" i="5"/>
  <c r="J74" i="5"/>
  <c r="H74" i="5"/>
  <c r="F74" i="5"/>
  <c r="D74" i="5"/>
  <c r="L73" i="5"/>
  <c r="J73" i="5"/>
  <c r="H73" i="5"/>
  <c r="F73" i="5"/>
  <c r="D73" i="5"/>
  <c r="N72" i="5"/>
  <c r="L72" i="5"/>
  <c r="J72" i="5"/>
  <c r="H72" i="5"/>
  <c r="F72" i="5"/>
  <c r="D72" i="5"/>
  <c r="L71" i="5"/>
  <c r="J71" i="5"/>
  <c r="H71" i="5"/>
  <c r="F71" i="5"/>
  <c r="D71" i="5"/>
  <c r="N70" i="5"/>
  <c r="L70" i="5"/>
  <c r="J70" i="5"/>
  <c r="H70" i="5"/>
  <c r="F70" i="5"/>
  <c r="D70" i="5"/>
  <c r="L69" i="5"/>
  <c r="J69" i="5"/>
  <c r="H69" i="5"/>
  <c r="F69" i="5"/>
  <c r="D69" i="5"/>
  <c r="N68" i="5"/>
  <c r="L68" i="5"/>
  <c r="J68" i="5"/>
  <c r="H68" i="5"/>
  <c r="F68" i="5"/>
  <c r="D68" i="5"/>
  <c r="N67" i="5"/>
  <c r="L67" i="5"/>
  <c r="J67" i="5"/>
  <c r="J63" i="5" s="1"/>
  <c r="H67" i="5"/>
  <c r="H64" i="5" s="1"/>
  <c r="F67" i="5"/>
  <c r="D67" i="5"/>
  <c r="N66" i="5"/>
  <c r="L66" i="5"/>
  <c r="J66" i="5"/>
  <c r="H66" i="5"/>
  <c r="F66" i="5"/>
  <c r="F63" i="5" s="1"/>
  <c r="D66" i="5"/>
  <c r="D63" i="5" s="1"/>
  <c r="L65" i="5"/>
  <c r="J65" i="5"/>
  <c r="J64" i="5" s="1"/>
  <c r="H65" i="5"/>
  <c r="H63" i="5" s="1"/>
  <c r="F65" i="5"/>
  <c r="D65" i="5"/>
  <c r="L64" i="5"/>
  <c r="M63" i="5"/>
  <c r="N73" i="5" s="1"/>
  <c r="L63" i="5"/>
  <c r="M62" i="5"/>
  <c r="L60" i="5"/>
  <c r="J60" i="5"/>
  <c r="H60" i="5"/>
  <c r="F60" i="5"/>
  <c r="D60" i="5"/>
  <c r="N59" i="5"/>
  <c r="L59" i="5"/>
  <c r="J59" i="5"/>
  <c r="H59" i="5"/>
  <c r="F59" i="5"/>
  <c r="D59" i="5"/>
  <c r="L58" i="5"/>
  <c r="J58" i="5"/>
  <c r="H58" i="5"/>
  <c r="F58" i="5"/>
  <c r="D58" i="5"/>
  <c r="N57" i="5"/>
  <c r="L57" i="5"/>
  <c r="J57" i="5"/>
  <c r="H57" i="5"/>
  <c r="F57" i="5"/>
  <c r="D57" i="5"/>
  <c r="L56" i="5"/>
  <c r="J56" i="5"/>
  <c r="H56" i="5"/>
  <c r="F56" i="5"/>
  <c r="D56" i="5"/>
  <c r="N55" i="5"/>
  <c r="L55" i="5"/>
  <c r="J55" i="5"/>
  <c r="H55" i="5"/>
  <c r="F55" i="5"/>
  <c r="D55" i="5"/>
  <c r="L54" i="5"/>
  <c r="J54" i="5"/>
  <c r="H54" i="5"/>
  <c r="F54" i="5"/>
  <c r="D54" i="5"/>
  <c r="N53" i="5"/>
  <c r="L53" i="5"/>
  <c r="J53" i="5"/>
  <c r="H53" i="5"/>
  <c r="F53" i="5"/>
  <c r="D53" i="5"/>
  <c r="N52" i="5"/>
  <c r="L52" i="5"/>
  <c r="J52" i="5"/>
  <c r="J48" i="5" s="1"/>
  <c r="H52" i="5"/>
  <c r="H49" i="5" s="1"/>
  <c r="F52" i="5"/>
  <c r="D52" i="5"/>
  <c r="N51" i="5"/>
  <c r="L51" i="5"/>
  <c r="J51" i="5"/>
  <c r="H51" i="5"/>
  <c r="F51" i="5"/>
  <c r="F48" i="5" s="1"/>
  <c r="D51" i="5"/>
  <c r="D48" i="5" s="1"/>
  <c r="L50" i="5"/>
  <c r="J50" i="5"/>
  <c r="J49" i="5" s="1"/>
  <c r="H50" i="5"/>
  <c r="H48" i="5" s="1"/>
  <c r="F50" i="5"/>
  <c r="D50" i="5"/>
  <c r="L49" i="5"/>
  <c r="M48" i="5"/>
  <c r="N58" i="5" s="1"/>
  <c r="L48" i="5"/>
  <c r="M47" i="5"/>
  <c r="L45" i="5"/>
  <c r="J45" i="5"/>
  <c r="H45" i="5"/>
  <c r="F45" i="5"/>
  <c r="D45" i="5"/>
  <c r="L44" i="5"/>
  <c r="J44" i="5"/>
  <c r="H44" i="5"/>
  <c r="F44" i="5"/>
  <c r="D44" i="5"/>
  <c r="L43" i="5"/>
  <c r="J43" i="5"/>
  <c r="H43" i="5"/>
  <c r="F43" i="5"/>
  <c r="D43" i="5"/>
  <c r="N42" i="5"/>
  <c r="L42" i="5"/>
  <c r="J42" i="5"/>
  <c r="H42" i="5"/>
  <c r="F42" i="5"/>
  <c r="D42" i="5"/>
  <c r="L41" i="5"/>
  <c r="J41" i="5"/>
  <c r="H41" i="5"/>
  <c r="F41" i="5"/>
  <c r="D41" i="5"/>
  <c r="N40" i="5"/>
  <c r="L40" i="5"/>
  <c r="J40" i="5"/>
  <c r="H40" i="5"/>
  <c r="F40" i="5"/>
  <c r="D40" i="5"/>
  <c r="L39" i="5"/>
  <c r="J39" i="5"/>
  <c r="H39" i="5"/>
  <c r="F39" i="5"/>
  <c r="D39" i="5"/>
  <c r="N38" i="5"/>
  <c r="L38" i="5"/>
  <c r="J38" i="5"/>
  <c r="H38" i="5"/>
  <c r="F38" i="5"/>
  <c r="D38" i="5"/>
  <c r="L37" i="5"/>
  <c r="J37" i="5"/>
  <c r="J33" i="5" s="1"/>
  <c r="H37" i="5"/>
  <c r="H34" i="5" s="1"/>
  <c r="F37" i="5"/>
  <c r="D37" i="5"/>
  <c r="N36" i="5"/>
  <c r="L36" i="5"/>
  <c r="J36" i="5"/>
  <c r="H36" i="5"/>
  <c r="F36" i="5"/>
  <c r="F33" i="5" s="1"/>
  <c r="D36" i="5"/>
  <c r="D33" i="5" s="1"/>
  <c r="L35" i="5"/>
  <c r="J35" i="5"/>
  <c r="J34" i="5" s="1"/>
  <c r="H35" i="5"/>
  <c r="H33" i="5" s="1"/>
  <c r="F35" i="5"/>
  <c r="D35" i="5"/>
  <c r="L34" i="5"/>
  <c r="M33" i="5"/>
  <c r="N43" i="5" s="1"/>
  <c r="L33" i="5"/>
  <c r="M32" i="5"/>
  <c r="L30" i="5"/>
  <c r="J30" i="5"/>
  <c r="H30" i="5"/>
  <c r="F30" i="5"/>
  <c r="D30" i="5"/>
  <c r="L29" i="5"/>
  <c r="J29" i="5"/>
  <c r="H29" i="5"/>
  <c r="F29" i="5"/>
  <c r="D29" i="5"/>
  <c r="L28" i="5"/>
  <c r="J28" i="5"/>
  <c r="H28" i="5"/>
  <c r="F28" i="5"/>
  <c r="D28" i="5"/>
  <c r="N27" i="5"/>
  <c r="L27" i="5"/>
  <c r="J27" i="5"/>
  <c r="H27" i="5"/>
  <c r="F27" i="5"/>
  <c r="D27" i="5"/>
  <c r="L26" i="5"/>
  <c r="J26" i="5"/>
  <c r="H26" i="5"/>
  <c r="F26" i="5"/>
  <c r="D26" i="5"/>
  <c r="L25" i="5"/>
  <c r="J25" i="5"/>
  <c r="H25" i="5"/>
  <c r="F25" i="5"/>
  <c r="D25" i="5"/>
  <c r="L24" i="5"/>
  <c r="J24" i="5"/>
  <c r="H24" i="5"/>
  <c r="F24" i="5"/>
  <c r="D24" i="5"/>
  <c r="N23" i="5"/>
  <c r="L23" i="5"/>
  <c r="J23" i="5"/>
  <c r="H23" i="5"/>
  <c r="F23" i="5"/>
  <c r="D23" i="5"/>
  <c r="L22" i="5"/>
  <c r="J22" i="5"/>
  <c r="J18" i="5" s="1"/>
  <c r="H22" i="5"/>
  <c r="F22" i="5"/>
  <c r="D22" i="5"/>
  <c r="N21" i="5"/>
  <c r="L21" i="5"/>
  <c r="J21" i="5"/>
  <c r="H21" i="5"/>
  <c r="F21" i="5"/>
  <c r="F18" i="5" s="1"/>
  <c r="D21" i="5"/>
  <c r="D19" i="5" s="1"/>
  <c r="L20" i="5"/>
  <c r="J20" i="5"/>
  <c r="J19" i="5" s="1"/>
  <c r="H20" i="5"/>
  <c r="H18" i="5" s="1"/>
  <c r="F20" i="5"/>
  <c r="D20" i="5"/>
  <c r="L19" i="5"/>
  <c r="M18" i="5"/>
  <c r="N28" i="5" s="1"/>
  <c r="L18" i="5"/>
  <c r="D18" i="5"/>
  <c r="M17" i="5"/>
  <c r="L15" i="5"/>
  <c r="J15" i="5"/>
  <c r="H15" i="5"/>
  <c r="F15" i="5"/>
  <c r="D15" i="5"/>
  <c r="L14" i="5"/>
  <c r="J14" i="5"/>
  <c r="H14" i="5"/>
  <c r="F14" i="5"/>
  <c r="D14" i="5"/>
  <c r="L13" i="5"/>
  <c r="J13" i="5"/>
  <c r="H13" i="5"/>
  <c r="F13" i="5"/>
  <c r="D13" i="5"/>
  <c r="N12" i="5"/>
  <c r="L12" i="5"/>
  <c r="J12" i="5"/>
  <c r="H12" i="5"/>
  <c r="F12" i="5"/>
  <c r="D12" i="5"/>
  <c r="L11" i="5"/>
  <c r="J11" i="5"/>
  <c r="H11" i="5"/>
  <c r="F11" i="5"/>
  <c r="D11" i="5"/>
  <c r="L10" i="5"/>
  <c r="J10" i="5"/>
  <c r="H10" i="5"/>
  <c r="F10" i="5"/>
  <c r="D10" i="5"/>
  <c r="L9" i="5"/>
  <c r="J9" i="5"/>
  <c r="H9" i="5"/>
  <c r="F9" i="5"/>
  <c r="D9" i="5"/>
  <c r="N8" i="5"/>
  <c r="L8" i="5"/>
  <c r="J8" i="5"/>
  <c r="H8" i="5"/>
  <c r="F8" i="5"/>
  <c r="D8" i="5"/>
  <c r="L7" i="5"/>
  <c r="J7" i="5"/>
  <c r="J3" i="5" s="1"/>
  <c r="H7" i="5"/>
  <c r="F7" i="5"/>
  <c r="D7" i="5"/>
  <c r="L6" i="5"/>
  <c r="J6" i="5"/>
  <c r="H6" i="5"/>
  <c r="F6" i="5"/>
  <c r="F3" i="5" s="1"/>
  <c r="D6" i="5"/>
  <c r="D3" i="5" s="1"/>
  <c r="L5" i="5"/>
  <c r="J5" i="5"/>
  <c r="J4" i="5" s="1"/>
  <c r="H5" i="5"/>
  <c r="H4" i="5" s="1"/>
  <c r="F5" i="5"/>
  <c r="D5" i="5"/>
  <c r="L4" i="5"/>
  <c r="M3" i="5"/>
  <c r="N13" i="5" s="1"/>
  <c r="L3" i="5"/>
  <c r="H3" i="5"/>
  <c r="M2" i="5"/>
  <c r="H617" i="4" l="1"/>
  <c r="H602" i="4" s="1"/>
  <c r="H587" i="4" s="1"/>
  <c r="H572" i="4" s="1"/>
  <c r="H557" i="4" s="1"/>
  <c r="H542" i="4" s="1"/>
  <c r="H527" i="4" s="1"/>
  <c r="H512" i="4" s="1"/>
  <c r="H497" i="4" s="1"/>
  <c r="H482" i="4" s="1"/>
  <c r="H467" i="4" s="1"/>
  <c r="H452" i="4" s="1"/>
  <c r="H437" i="4" s="1"/>
  <c r="H422" i="4" s="1"/>
  <c r="H407" i="4" s="1"/>
  <c r="H392" i="4" s="1"/>
  <c r="H377" i="4" s="1"/>
  <c r="H362" i="4" s="1"/>
  <c r="H347" i="4" s="1"/>
  <c r="H332" i="4" s="1"/>
  <c r="H317" i="4" s="1"/>
  <c r="H302" i="4" s="1"/>
  <c r="H287" i="4" s="1"/>
  <c r="H272" i="4" s="1"/>
  <c r="H257" i="4" s="1"/>
  <c r="H242" i="4" s="1"/>
  <c r="H227" i="4" s="1"/>
  <c r="H212" i="4" s="1"/>
  <c r="H197" i="4" s="1"/>
  <c r="H182" i="4" s="1"/>
  <c r="H167" i="4" s="1"/>
  <c r="H152" i="4" s="1"/>
  <c r="H137" i="4" s="1"/>
  <c r="H122" i="4" s="1"/>
  <c r="H107" i="4" s="1"/>
  <c r="H92" i="4" s="1"/>
  <c r="H77" i="4" s="1"/>
  <c r="H62" i="4" s="1"/>
  <c r="H47" i="4" s="1"/>
  <c r="H32" i="4" s="1"/>
  <c r="H17" i="4" s="1"/>
  <c r="H2" i="4" s="1"/>
  <c r="H108" i="5"/>
  <c r="H109" i="5"/>
  <c r="H168" i="5"/>
  <c r="H169" i="5"/>
  <c r="H228" i="5"/>
  <c r="H229" i="5"/>
  <c r="H288" i="5"/>
  <c r="H289" i="5"/>
  <c r="H348" i="5"/>
  <c r="H349" i="5"/>
  <c r="D363" i="5"/>
  <c r="D364" i="5"/>
  <c r="H393" i="5"/>
  <c r="H394" i="5"/>
  <c r="L603" i="5"/>
  <c r="L604" i="5"/>
  <c r="N88" i="5"/>
  <c r="N89" i="5"/>
  <c r="N90" i="5"/>
  <c r="N86" i="5"/>
  <c r="N87" i="5"/>
  <c r="H93" i="5"/>
  <c r="H94" i="5"/>
  <c r="L153" i="5"/>
  <c r="H153" i="5"/>
  <c r="H154" i="5"/>
  <c r="H213" i="5"/>
  <c r="H214" i="5"/>
  <c r="H273" i="5"/>
  <c r="H274" i="5"/>
  <c r="H333" i="5"/>
  <c r="H334" i="5"/>
  <c r="L543" i="5"/>
  <c r="L544" i="5"/>
  <c r="D108" i="5"/>
  <c r="D109" i="5"/>
  <c r="D168" i="5"/>
  <c r="D169" i="5"/>
  <c r="D348" i="5"/>
  <c r="D349" i="5"/>
  <c r="N7" i="5"/>
  <c r="N11" i="5"/>
  <c r="N15" i="5"/>
  <c r="N22" i="5"/>
  <c r="N26" i="5"/>
  <c r="N30" i="5"/>
  <c r="N37" i="5"/>
  <c r="N41" i="5"/>
  <c r="N45" i="5"/>
  <c r="N56" i="5"/>
  <c r="N60" i="5"/>
  <c r="N71" i="5"/>
  <c r="N75" i="5"/>
  <c r="D93" i="5"/>
  <c r="D94" i="5"/>
  <c r="D153" i="5"/>
  <c r="D154" i="5"/>
  <c r="D213" i="5"/>
  <c r="D214" i="5"/>
  <c r="D273" i="5"/>
  <c r="D274" i="5"/>
  <c r="D333" i="5"/>
  <c r="D334" i="5"/>
  <c r="D4" i="5"/>
  <c r="D34" i="5"/>
  <c r="D49" i="5"/>
  <c r="D64" i="5"/>
  <c r="D79" i="5"/>
  <c r="H138" i="5"/>
  <c r="H139" i="5"/>
  <c r="H198" i="5"/>
  <c r="H199" i="5"/>
  <c r="H258" i="5"/>
  <c r="H259" i="5"/>
  <c r="H318" i="5"/>
  <c r="H319" i="5"/>
  <c r="D378" i="5"/>
  <c r="D379" i="5"/>
  <c r="L483" i="5"/>
  <c r="L484" i="5"/>
  <c r="D228" i="5"/>
  <c r="D229" i="5"/>
  <c r="F4" i="5"/>
  <c r="N6" i="5"/>
  <c r="N10" i="5"/>
  <c r="N14" i="5"/>
  <c r="F19" i="5"/>
  <c r="N25" i="5"/>
  <c r="N29" i="5"/>
  <c r="F34" i="5"/>
  <c r="N44" i="5"/>
  <c r="F49" i="5"/>
  <c r="F64" i="5"/>
  <c r="L94" i="5"/>
  <c r="L123" i="5"/>
  <c r="D138" i="5"/>
  <c r="D139" i="5"/>
  <c r="L183" i="5"/>
  <c r="D198" i="5"/>
  <c r="D199" i="5"/>
  <c r="L214" i="5"/>
  <c r="L243" i="5"/>
  <c r="D258" i="5"/>
  <c r="D259" i="5"/>
  <c r="L274" i="5"/>
  <c r="L303" i="5"/>
  <c r="D318" i="5"/>
  <c r="D319" i="5"/>
  <c r="L334" i="5"/>
  <c r="D288" i="5"/>
  <c r="D289" i="5"/>
  <c r="H19" i="5"/>
  <c r="H79" i="5"/>
  <c r="H123" i="5"/>
  <c r="H124" i="5"/>
  <c r="H183" i="5"/>
  <c r="H184" i="5"/>
  <c r="H243" i="5"/>
  <c r="H244" i="5"/>
  <c r="H303" i="5"/>
  <c r="H304" i="5"/>
  <c r="D394" i="5"/>
  <c r="L423" i="5"/>
  <c r="L424" i="5"/>
  <c r="N5" i="5"/>
  <c r="N9" i="5"/>
  <c r="N20" i="5"/>
  <c r="N24" i="5"/>
  <c r="N35" i="5"/>
  <c r="N39" i="5"/>
  <c r="N50" i="5"/>
  <c r="N54" i="5"/>
  <c r="N65" i="5"/>
  <c r="N69" i="5"/>
  <c r="N80" i="5"/>
  <c r="N84" i="5"/>
  <c r="L108" i="5"/>
  <c r="D123" i="5"/>
  <c r="D124" i="5"/>
  <c r="L139" i="5"/>
  <c r="L168" i="5"/>
  <c r="D183" i="5"/>
  <c r="D184" i="5"/>
  <c r="L199" i="5"/>
  <c r="L228" i="5"/>
  <c r="D243" i="5"/>
  <c r="D244" i="5"/>
  <c r="L288" i="5"/>
  <c r="D303" i="5"/>
  <c r="D304" i="5"/>
  <c r="L319" i="5"/>
  <c r="H363" i="5"/>
  <c r="H364" i="5"/>
  <c r="N98" i="5"/>
  <c r="N102" i="5"/>
  <c r="N113" i="5"/>
  <c r="N117" i="5"/>
  <c r="N128" i="5"/>
  <c r="N132" i="5"/>
  <c r="N143" i="5"/>
  <c r="N147" i="5"/>
  <c r="N158" i="5"/>
  <c r="N162" i="5"/>
  <c r="N173" i="5"/>
  <c r="N177" i="5"/>
  <c r="N188" i="5"/>
  <c r="N192" i="5"/>
  <c r="N203" i="5"/>
  <c r="N207" i="5"/>
  <c r="N218" i="5"/>
  <c r="N222" i="5"/>
  <c r="N233" i="5"/>
  <c r="N237" i="5"/>
  <c r="N248" i="5"/>
  <c r="N252" i="5"/>
  <c r="N263" i="5"/>
  <c r="N267" i="5"/>
  <c r="N278" i="5"/>
  <c r="N282" i="5"/>
  <c r="N293" i="5"/>
  <c r="N297" i="5"/>
  <c r="N308" i="5"/>
  <c r="N312" i="5"/>
  <c r="N323" i="5"/>
  <c r="N327" i="5"/>
  <c r="N338" i="5"/>
  <c r="N342" i="5"/>
  <c r="N353" i="5"/>
  <c r="N357" i="5"/>
  <c r="N368" i="5"/>
  <c r="N372" i="5"/>
  <c r="L379" i="5"/>
  <c r="N420" i="5"/>
  <c r="N416" i="5"/>
  <c r="N412" i="5"/>
  <c r="N417" i="5"/>
  <c r="N418" i="5"/>
  <c r="N414" i="5"/>
  <c r="N410" i="5"/>
  <c r="N408" i="5" s="1"/>
  <c r="N419" i="5"/>
  <c r="N415" i="5"/>
  <c r="N411" i="5"/>
  <c r="J408" i="5"/>
  <c r="J409" i="5"/>
  <c r="H423" i="5"/>
  <c r="H424" i="5"/>
  <c r="D438" i="5"/>
  <c r="N465" i="5"/>
  <c r="N461" i="5"/>
  <c r="N457" i="5"/>
  <c r="N462" i="5"/>
  <c r="N458" i="5"/>
  <c r="N463" i="5"/>
  <c r="N459" i="5"/>
  <c r="N455" i="5"/>
  <c r="N453" i="5" s="1"/>
  <c r="N464" i="5"/>
  <c r="N460" i="5"/>
  <c r="N456" i="5"/>
  <c r="H483" i="5"/>
  <c r="H484" i="5"/>
  <c r="D498" i="5"/>
  <c r="H543" i="5"/>
  <c r="H544" i="5"/>
  <c r="D558" i="5"/>
  <c r="H603" i="5"/>
  <c r="H604" i="5"/>
  <c r="D618" i="5"/>
  <c r="H378" i="5"/>
  <c r="H379" i="5"/>
  <c r="F408" i="5"/>
  <c r="F409" i="5"/>
  <c r="L438" i="5"/>
  <c r="L498" i="5"/>
  <c r="L499" i="5"/>
  <c r="L558" i="5"/>
  <c r="L559" i="5"/>
  <c r="L618" i="5"/>
  <c r="L619" i="5"/>
  <c r="N97" i="5"/>
  <c r="N101" i="5"/>
  <c r="N105" i="5"/>
  <c r="N112" i="5"/>
  <c r="N116" i="5"/>
  <c r="N120" i="5"/>
  <c r="N127" i="5"/>
  <c r="N131" i="5"/>
  <c r="N135" i="5"/>
  <c r="N142" i="5"/>
  <c r="N146" i="5"/>
  <c r="N150" i="5"/>
  <c r="N157" i="5"/>
  <c r="N161" i="5"/>
  <c r="N165" i="5"/>
  <c r="N172" i="5"/>
  <c r="N176" i="5"/>
  <c r="N180" i="5"/>
  <c r="N187" i="5"/>
  <c r="N191" i="5"/>
  <c r="N195" i="5"/>
  <c r="N202" i="5"/>
  <c r="N206" i="5"/>
  <c r="N210" i="5"/>
  <c r="N217" i="5"/>
  <c r="N221" i="5"/>
  <c r="N225" i="5"/>
  <c r="N232" i="5"/>
  <c r="N236" i="5"/>
  <c r="N240" i="5"/>
  <c r="N247" i="5"/>
  <c r="N251" i="5"/>
  <c r="N255" i="5"/>
  <c r="N262" i="5"/>
  <c r="N266" i="5"/>
  <c r="N270" i="5"/>
  <c r="N277" i="5"/>
  <c r="N281" i="5"/>
  <c r="N285" i="5"/>
  <c r="N292" i="5"/>
  <c r="N296" i="5"/>
  <c r="N300" i="5"/>
  <c r="N307" i="5"/>
  <c r="N311" i="5"/>
  <c r="N315" i="5"/>
  <c r="N322" i="5"/>
  <c r="N326" i="5"/>
  <c r="N330" i="5"/>
  <c r="N337" i="5"/>
  <c r="N341" i="5"/>
  <c r="N345" i="5"/>
  <c r="N352" i="5"/>
  <c r="N349" i="5" s="1"/>
  <c r="N356" i="5"/>
  <c r="N360" i="5"/>
  <c r="N367" i="5"/>
  <c r="N371" i="5"/>
  <c r="N405" i="5"/>
  <c r="N401" i="5"/>
  <c r="N397" i="5"/>
  <c r="N403" i="5"/>
  <c r="N399" i="5"/>
  <c r="N395" i="5"/>
  <c r="N393" i="5" s="1"/>
  <c r="N404" i="5"/>
  <c r="N400" i="5"/>
  <c r="N396" i="5"/>
  <c r="J393" i="5"/>
  <c r="J394" i="5"/>
  <c r="H438" i="5"/>
  <c r="H439" i="5"/>
  <c r="D453" i="5"/>
  <c r="H498" i="5"/>
  <c r="H499" i="5"/>
  <c r="D513" i="5"/>
  <c r="H558" i="5"/>
  <c r="H559" i="5"/>
  <c r="D573" i="5"/>
  <c r="H618" i="5"/>
  <c r="H619" i="5"/>
  <c r="F393" i="5"/>
  <c r="F394" i="5"/>
  <c r="D408" i="5"/>
  <c r="L453" i="5"/>
  <c r="L454" i="5"/>
  <c r="L513" i="5"/>
  <c r="L514" i="5"/>
  <c r="L573" i="5"/>
  <c r="L574" i="5"/>
  <c r="N96" i="5"/>
  <c r="N100" i="5"/>
  <c r="N104" i="5"/>
  <c r="N111" i="5"/>
  <c r="N115" i="5"/>
  <c r="N119" i="5"/>
  <c r="N126" i="5"/>
  <c r="N130" i="5"/>
  <c r="N134" i="5"/>
  <c r="N141" i="5"/>
  <c r="N145" i="5"/>
  <c r="N149" i="5"/>
  <c r="N156" i="5"/>
  <c r="N160" i="5"/>
  <c r="N164" i="5"/>
  <c r="N171" i="5"/>
  <c r="N175" i="5"/>
  <c r="N179" i="5"/>
  <c r="N186" i="5"/>
  <c r="N190" i="5"/>
  <c r="N194" i="5"/>
  <c r="N201" i="5"/>
  <c r="N205" i="5"/>
  <c r="N209" i="5"/>
  <c r="N216" i="5"/>
  <c r="N220" i="5"/>
  <c r="N224" i="5"/>
  <c r="N231" i="5"/>
  <c r="N235" i="5"/>
  <c r="N239" i="5"/>
  <c r="N246" i="5"/>
  <c r="N250" i="5"/>
  <c r="N254" i="5"/>
  <c r="N261" i="5"/>
  <c r="N265" i="5"/>
  <c r="N269" i="5"/>
  <c r="N276" i="5"/>
  <c r="N280" i="5"/>
  <c r="N284" i="5"/>
  <c r="N291" i="5"/>
  <c r="N295" i="5"/>
  <c r="N299" i="5"/>
  <c r="N306" i="5"/>
  <c r="N310" i="5"/>
  <c r="N314" i="5"/>
  <c r="N321" i="5"/>
  <c r="N325" i="5"/>
  <c r="N329" i="5"/>
  <c r="N336" i="5"/>
  <c r="N340" i="5"/>
  <c r="N344" i="5"/>
  <c r="N351" i="5"/>
  <c r="N355" i="5"/>
  <c r="N359" i="5"/>
  <c r="N366" i="5"/>
  <c r="N364" i="5" s="1"/>
  <c r="N370" i="5"/>
  <c r="N374" i="5"/>
  <c r="N390" i="5"/>
  <c r="N386" i="5"/>
  <c r="N382" i="5"/>
  <c r="N388" i="5"/>
  <c r="N384" i="5"/>
  <c r="N380" i="5"/>
  <c r="N389" i="5"/>
  <c r="N385" i="5"/>
  <c r="N381" i="5"/>
  <c r="J378" i="5"/>
  <c r="J379" i="5"/>
  <c r="L409" i="5"/>
  <c r="N435" i="5"/>
  <c r="N431" i="5"/>
  <c r="N427" i="5"/>
  <c r="N432" i="5"/>
  <c r="N428" i="5"/>
  <c r="N424" i="5" s="1"/>
  <c r="N433" i="5"/>
  <c r="N429" i="5"/>
  <c r="N425" i="5"/>
  <c r="N434" i="5"/>
  <c r="N430" i="5"/>
  <c r="N426" i="5"/>
  <c r="L439" i="5"/>
  <c r="H453" i="5"/>
  <c r="H454" i="5"/>
  <c r="D468" i="5"/>
  <c r="H513" i="5"/>
  <c r="H514" i="5"/>
  <c r="D528" i="5"/>
  <c r="H573" i="5"/>
  <c r="H574" i="5"/>
  <c r="D588" i="5"/>
  <c r="F378" i="5"/>
  <c r="F379" i="5"/>
  <c r="D393" i="5"/>
  <c r="H408" i="5"/>
  <c r="H409" i="5"/>
  <c r="L468" i="5"/>
  <c r="L469" i="5"/>
  <c r="L528" i="5"/>
  <c r="L529" i="5"/>
  <c r="L588" i="5"/>
  <c r="L589" i="5"/>
  <c r="N95" i="5"/>
  <c r="N99" i="5"/>
  <c r="N110" i="5"/>
  <c r="N109" i="5" s="1"/>
  <c r="N114" i="5"/>
  <c r="N125" i="5"/>
  <c r="N129" i="5"/>
  <c r="N140" i="5"/>
  <c r="N144" i="5"/>
  <c r="N155" i="5"/>
  <c r="N159" i="5"/>
  <c r="N154" i="5" s="1"/>
  <c r="N170" i="5"/>
  <c r="N169" i="5" s="1"/>
  <c r="N174" i="5"/>
  <c r="N185" i="5"/>
  <c r="N184" i="5" s="1"/>
  <c r="N189" i="5"/>
  <c r="N200" i="5"/>
  <c r="N204" i="5"/>
  <c r="N215" i="5"/>
  <c r="N219" i="5"/>
  <c r="N230" i="5"/>
  <c r="N229" i="5" s="1"/>
  <c r="N234" i="5"/>
  <c r="N245" i="5"/>
  <c r="N249" i="5"/>
  <c r="N260" i="5"/>
  <c r="N264" i="5"/>
  <c r="N275" i="5"/>
  <c r="N279" i="5"/>
  <c r="N290" i="5"/>
  <c r="N294" i="5"/>
  <c r="N305" i="5"/>
  <c r="N304" i="5" s="1"/>
  <c r="N309" i="5"/>
  <c r="N320" i="5"/>
  <c r="N319" i="5" s="1"/>
  <c r="N324" i="5"/>
  <c r="N335" i="5"/>
  <c r="N339" i="5"/>
  <c r="N350" i="5"/>
  <c r="N354" i="5"/>
  <c r="N369" i="5"/>
  <c r="N373" i="5"/>
  <c r="L394" i="5"/>
  <c r="D423" i="5"/>
  <c r="N450" i="5"/>
  <c r="N446" i="5"/>
  <c r="N442" i="5"/>
  <c r="N447" i="5"/>
  <c r="N443" i="5"/>
  <c r="N448" i="5"/>
  <c r="N444" i="5"/>
  <c r="N440" i="5"/>
  <c r="N449" i="5"/>
  <c r="N445" i="5"/>
  <c r="N441" i="5"/>
  <c r="H468" i="5"/>
  <c r="H469" i="5"/>
  <c r="D483" i="5"/>
  <c r="H528" i="5"/>
  <c r="H529" i="5"/>
  <c r="D543" i="5"/>
  <c r="H588" i="5"/>
  <c r="H589" i="5"/>
  <c r="D603" i="5"/>
  <c r="F424" i="5"/>
  <c r="F439" i="5"/>
  <c r="F454" i="5"/>
  <c r="F469" i="5"/>
  <c r="N471" i="5"/>
  <c r="N475" i="5"/>
  <c r="N479" i="5"/>
  <c r="F484" i="5"/>
  <c r="N486" i="5"/>
  <c r="N484" i="5" s="1"/>
  <c r="N490" i="5"/>
  <c r="N494" i="5"/>
  <c r="F499" i="5"/>
  <c r="N501" i="5"/>
  <c r="N505" i="5"/>
  <c r="N509" i="5"/>
  <c r="F514" i="5"/>
  <c r="N516" i="5"/>
  <c r="N520" i="5"/>
  <c r="N524" i="5"/>
  <c r="F529" i="5"/>
  <c r="N531" i="5"/>
  <c r="N535" i="5"/>
  <c r="N539" i="5"/>
  <c r="F544" i="5"/>
  <c r="N546" i="5"/>
  <c r="N550" i="5"/>
  <c r="N554" i="5"/>
  <c r="F559" i="5"/>
  <c r="N561" i="5"/>
  <c r="N565" i="5"/>
  <c r="N569" i="5"/>
  <c r="F574" i="5"/>
  <c r="N576" i="5"/>
  <c r="N580" i="5"/>
  <c r="N584" i="5"/>
  <c r="F589" i="5"/>
  <c r="N591" i="5"/>
  <c r="N595" i="5"/>
  <c r="N589" i="5" s="1"/>
  <c r="N599" i="5"/>
  <c r="F604" i="5"/>
  <c r="N606" i="5"/>
  <c r="N610" i="5"/>
  <c r="N614" i="5"/>
  <c r="F619" i="5"/>
  <c r="N621" i="5"/>
  <c r="N625" i="5"/>
  <c r="N629" i="5"/>
  <c r="J424" i="5"/>
  <c r="J439" i="5"/>
  <c r="J454" i="5"/>
  <c r="J469" i="5"/>
  <c r="N470" i="5"/>
  <c r="N469" i="5" s="1"/>
  <c r="N474" i="5"/>
  <c r="N478" i="5"/>
  <c r="J484" i="5"/>
  <c r="N485" i="5"/>
  <c r="N489" i="5"/>
  <c r="N493" i="5"/>
  <c r="J499" i="5"/>
  <c r="N500" i="5"/>
  <c r="N504" i="5"/>
  <c r="N508" i="5"/>
  <c r="J514" i="5"/>
  <c r="N515" i="5"/>
  <c r="N519" i="5"/>
  <c r="N523" i="5"/>
  <c r="J529" i="5"/>
  <c r="N530" i="5"/>
  <c r="N534" i="5"/>
  <c r="N538" i="5"/>
  <c r="J544" i="5"/>
  <c r="N545" i="5"/>
  <c r="N549" i="5"/>
  <c r="N553" i="5"/>
  <c r="J559" i="5"/>
  <c r="N560" i="5"/>
  <c r="N564" i="5"/>
  <c r="N568" i="5"/>
  <c r="J574" i="5"/>
  <c r="N575" i="5"/>
  <c r="N574" i="5" s="1"/>
  <c r="N579" i="5"/>
  <c r="N583" i="5"/>
  <c r="N590" i="5"/>
  <c r="N594" i="5"/>
  <c r="N598" i="5"/>
  <c r="N605" i="5"/>
  <c r="N604" i="5" s="1"/>
  <c r="N609" i="5"/>
  <c r="N613" i="5"/>
  <c r="N620" i="5"/>
  <c r="N624" i="5"/>
  <c r="N628" i="5"/>
  <c r="N473" i="5"/>
  <c r="N477" i="5"/>
  <c r="N488" i="5"/>
  <c r="N492" i="5"/>
  <c r="N503" i="5"/>
  <c r="N507" i="5"/>
  <c r="N518" i="5"/>
  <c r="N522" i="5"/>
  <c r="N533" i="5"/>
  <c r="N537" i="5"/>
  <c r="N548" i="5"/>
  <c r="N552" i="5"/>
  <c r="N563" i="5"/>
  <c r="N567" i="5"/>
  <c r="N578" i="5"/>
  <c r="N582" i="5"/>
  <c r="N593" i="5"/>
  <c r="N597" i="5"/>
  <c r="N608" i="5"/>
  <c r="N612" i="5"/>
  <c r="N623" i="5"/>
  <c r="N627" i="5"/>
  <c r="N472" i="5"/>
  <c r="N476" i="5"/>
  <c r="N487" i="5"/>
  <c r="N491" i="5"/>
  <c r="N502" i="5"/>
  <c r="N499" i="5" s="1"/>
  <c r="N506" i="5"/>
  <c r="N517" i="5"/>
  <c r="N521" i="5"/>
  <c r="N532" i="5"/>
  <c r="N536" i="5"/>
  <c r="N547" i="5"/>
  <c r="N551" i="5"/>
  <c r="N562" i="5"/>
  <c r="N566" i="5"/>
  <c r="N577" i="5"/>
  <c r="N581" i="5"/>
  <c r="N592" i="5"/>
  <c r="N596" i="5"/>
  <c r="N607" i="5"/>
  <c r="N611" i="5"/>
  <c r="N622" i="5"/>
  <c r="N619" i="5" s="1"/>
  <c r="N626" i="5"/>
  <c r="N333" i="5" l="1"/>
  <c r="N273" i="5"/>
  <c r="N213" i="5"/>
  <c r="N153" i="5"/>
  <c r="N93" i="5"/>
  <c r="N363" i="5"/>
  <c r="N63" i="5"/>
  <c r="N64" i="5"/>
  <c r="N3" i="5"/>
  <c r="N4" i="5"/>
  <c r="N394" i="5"/>
  <c r="N558" i="5"/>
  <c r="N528" i="5"/>
  <c r="N498" i="5"/>
  <c r="N438" i="5"/>
  <c r="N334" i="5"/>
  <c r="N454" i="5"/>
  <c r="N588" i="5"/>
  <c r="N318" i="5"/>
  <c r="N258" i="5"/>
  <c r="N198" i="5"/>
  <c r="N138" i="5"/>
  <c r="N439" i="5"/>
  <c r="N529" i="5"/>
  <c r="N214" i="5"/>
  <c r="N49" i="5"/>
  <c r="N48" i="5"/>
  <c r="N259" i="5"/>
  <c r="N378" i="5"/>
  <c r="N379" i="5"/>
  <c r="N618" i="5"/>
  <c r="N303" i="5"/>
  <c r="N243" i="5"/>
  <c r="N183" i="5"/>
  <c r="N123" i="5"/>
  <c r="N559" i="5"/>
  <c r="N94" i="5"/>
  <c r="N33" i="5"/>
  <c r="N34" i="5"/>
  <c r="N124" i="5"/>
  <c r="N603" i="5"/>
  <c r="N573" i="5"/>
  <c r="N543" i="5"/>
  <c r="N513" i="5"/>
  <c r="N483" i="5"/>
  <c r="N423" i="5"/>
  <c r="N544" i="5"/>
  <c r="N409" i="5"/>
  <c r="N514" i="5"/>
  <c r="N139" i="5"/>
  <c r="N468" i="5"/>
  <c r="N348" i="5"/>
  <c r="N288" i="5"/>
  <c r="N228" i="5"/>
  <c r="N168" i="5"/>
  <c r="N108" i="5"/>
  <c r="N274" i="5"/>
  <c r="N79" i="5"/>
  <c r="N78" i="5"/>
  <c r="N19" i="5"/>
  <c r="N18" i="5"/>
  <c r="N289" i="5"/>
  <c r="N244" i="5"/>
  <c r="N199" i="5"/>
</calcChain>
</file>

<file path=xl/sharedStrings.xml><?xml version="1.0" encoding="utf-8"?>
<sst xmlns="http://schemas.openxmlformats.org/spreadsheetml/2006/main" count="4643" uniqueCount="180">
  <si>
    <t>platform</t>
  </si>
  <si>
    <t>shift</t>
  </si>
  <si>
    <t>date</t>
  </si>
  <si>
    <t>des_primera_hora</t>
  </si>
  <si>
    <t>des_ultima_hora</t>
  </si>
  <si>
    <t>le_turno</t>
  </si>
  <si>
    <t>le_dia_actual</t>
  </si>
  <si>
    <t>le_dia_forecast</t>
  </si>
  <si>
    <t>ef_mes_actual</t>
  </si>
  <si>
    <t>ef_mes_forecast</t>
  </si>
  <si>
    <t>census_total</t>
  </si>
  <si>
    <t>census_turno</t>
  </si>
  <si>
    <t>aus_injust</t>
  </si>
  <si>
    <t>aus_control</t>
  </si>
  <si>
    <t>rotacion</t>
  </si>
  <si>
    <t>tlo</t>
  </si>
  <si>
    <t>c39</t>
  </si>
  <si>
    <t>ehs_transporte</t>
  </si>
  <si>
    <t>ehs_incidentes</t>
  </si>
  <si>
    <t>quejas_target</t>
  </si>
  <si>
    <t>quejas_actuales</t>
  </si>
  <si>
    <t>quejas_cuales</t>
  </si>
  <si>
    <t>quejas_codigo</t>
  </si>
  <si>
    <t>pzs_const</t>
  </si>
  <si>
    <t>defectos_acum</t>
  </si>
  <si>
    <t>dpmus</t>
  </si>
  <si>
    <t>scrap_actual</t>
  </si>
  <si>
    <t>scrap_acum</t>
  </si>
  <si>
    <t>oee_actual</t>
  </si>
  <si>
    <t>oee_acum</t>
  </si>
  <si>
    <t>oee_target</t>
  </si>
  <si>
    <t>TESLA</t>
  </si>
  <si>
    <t>A</t>
  </si>
  <si>
    <t>invertido</t>
  </si>
  <si>
    <t>rc004</t>
  </si>
  <si>
    <t>B</t>
  </si>
  <si>
    <t>mal asentado</t>
  </si>
  <si>
    <t>rc347</t>
  </si>
  <si>
    <t>C</t>
  </si>
  <si>
    <t>Jan</t>
  </si>
  <si>
    <t>Feb</t>
  </si>
  <si>
    <t>Mar</t>
  </si>
  <si>
    <t>Wk 1</t>
  </si>
  <si>
    <t>Wk 2</t>
  </si>
  <si>
    <t>Wk 3</t>
  </si>
  <si>
    <t>Wk 4</t>
  </si>
  <si>
    <t>Wk 5</t>
  </si>
  <si>
    <t>Mon</t>
  </si>
  <si>
    <t>Tue</t>
  </si>
  <si>
    <t>Wed</t>
  </si>
  <si>
    <t>Thu</t>
  </si>
  <si>
    <t>Fri</t>
  </si>
  <si>
    <t>Actual</t>
  </si>
  <si>
    <t>BBP</t>
  </si>
  <si>
    <t>MSD</t>
  </si>
  <si>
    <t>semana_id</t>
  </si>
  <si>
    <t>Lunes</t>
  </si>
  <si>
    <t>Martes</t>
  </si>
  <si>
    <t>Miercoles</t>
  </si>
  <si>
    <t>Jueves</t>
  </si>
  <si>
    <t>Viernes</t>
  </si>
  <si>
    <t>Total Semana</t>
  </si>
  <si>
    <t>2026-W12</t>
  </si>
  <si>
    <t>LE%</t>
  </si>
  <si>
    <t>Semana del 16 al 20 Marzo 2026</t>
  </si>
  <si>
    <t>RB613 L1</t>
  </si>
  <si>
    <t>RC347 L1</t>
  </si>
  <si>
    <t>RC347 L2</t>
  </si>
  <si>
    <t>RC347 L3</t>
  </si>
  <si>
    <t>RB347 L1</t>
  </si>
  <si>
    <t>RB347 L2</t>
  </si>
  <si>
    <t>RB613 L2</t>
  </si>
  <si>
    <t>RC004 L1</t>
  </si>
  <si>
    <t>RC004 L2</t>
  </si>
  <si>
    <t>RC004 L3</t>
  </si>
  <si>
    <t>RB073 Jaula</t>
  </si>
  <si>
    <t>RB173 Jaula</t>
  </si>
  <si>
    <t>RB811 L2</t>
  </si>
  <si>
    <t>2026-W13</t>
  </si>
  <si>
    <t>Semana del 23 al 27 Marzo 2026</t>
  </si>
  <si>
    <t>2026-W14</t>
  </si>
  <si>
    <t>Semana del 30 de marzo al 3 Abril 2026</t>
  </si>
  <si>
    <t>2026-W15</t>
  </si>
  <si>
    <t>Semana del 6 al 10 Abril 2026</t>
  </si>
  <si>
    <t>2026-W16</t>
  </si>
  <si>
    <t>Semana del 13 al 17 Abril 2026</t>
  </si>
  <si>
    <t>2026-W17</t>
  </si>
  <si>
    <t>Semana del 20 al 24 Abril 2026</t>
  </si>
  <si>
    <t>2026-W18</t>
  </si>
  <si>
    <t>Semana del 27 Abril al 1 Mayo 2026</t>
  </si>
  <si>
    <t>2026-W19</t>
  </si>
  <si>
    <t>Semana del 4 al 8 Mayo 2026</t>
  </si>
  <si>
    <t>2026-W20</t>
  </si>
  <si>
    <t>Semana del 11 al 15 Mayo 2026</t>
  </si>
  <si>
    <t>2026-W21</t>
  </si>
  <si>
    <t>Semana del 18 al 22 Mayo 2026</t>
  </si>
  <si>
    <t>2026-W22</t>
  </si>
  <si>
    <t>Semana del 25 al 29 Mayo 2026</t>
  </si>
  <si>
    <t>2026-W23</t>
  </si>
  <si>
    <t>Semana del 1 al 5 Junio 2026</t>
  </si>
  <si>
    <t>2026-W24</t>
  </si>
  <si>
    <t>Semana del 8 al 12 Junio 2026</t>
  </si>
  <si>
    <t>2026-W25</t>
  </si>
  <si>
    <t>Semana del 15 al 19 Junio 2026</t>
  </si>
  <si>
    <t>2026-W26</t>
  </si>
  <si>
    <t>Semana del 22 al 26 Junio 2026</t>
  </si>
  <si>
    <t>2026-W27</t>
  </si>
  <si>
    <t>Semana del 29 de Junio al 3 Julio 2026</t>
  </si>
  <si>
    <t>2026-W28</t>
  </si>
  <si>
    <t>Semana del 6 al 10 Julio 2026</t>
  </si>
  <si>
    <t>2026-W29</t>
  </si>
  <si>
    <t>Semana del 13 al 17 Julio 2026</t>
  </si>
  <si>
    <t>2026-W30</t>
  </si>
  <si>
    <t>Semana del 20 al 24 Julio 2026</t>
  </si>
  <si>
    <t>2026-W31</t>
  </si>
  <si>
    <t>Semana del 27 al 31 Julio 2026</t>
  </si>
  <si>
    <t>2026-W32</t>
  </si>
  <si>
    <t>Semana del 3 al 7 Agosto 2026</t>
  </si>
  <si>
    <t>2026-W33</t>
  </si>
  <si>
    <t>Semana del 10 al 14 Agosto 2026</t>
  </si>
  <si>
    <t>2026-W34</t>
  </si>
  <si>
    <t>Semana del 17 al 21 Agosto 2026</t>
  </si>
  <si>
    <t>2026-W35</t>
  </si>
  <si>
    <t>Semana del 24 al 28 Agosto 2026</t>
  </si>
  <si>
    <t>2026-W36</t>
  </si>
  <si>
    <t>Semana del 31 de Agosto al 4 Septiembre 2026</t>
  </si>
  <si>
    <t>2026-W37</t>
  </si>
  <si>
    <t>Semana del 7 al 11 Septiembre 2026</t>
  </si>
  <si>
    <t>2026-W38</t>
  </si>
  <si>
    <t>Semana del 14 al 18 Septiembre 2026</t>
  </si>
  <si>
    <t>2026-W39</t>
  </si>
  <si>
    <t>Semana del 21 al 25 Septiembre 2026</t>
  </si>
  <si>
    <t>2026-W40</t>
  </si>
  <si>
    <t>Semana del 28 de Septiembre al 2 Octubre 2026</t>
  </si>
  <si>
    <t>2026-W41</t>
  </si>
  <si>
    <t>Semana del 5 al 9 Octubre 2026</t>
  </si>
  <si>
    <t>2026-W42</t>
  </si>
  <si>
    <t>Semana del 12 al 16 Octubre 2026</t>
  </si>
  <si>
    <t>2026-W43</t>
  </si>
  <si>
    <t>Semana del 19 al 23 Octubre 2026</t>
  </si>
  <si>
    <t>2026-W44</t>
  </si>
  <si>
    <t>Semana del 26 al 30 Octubre 2026</t>
  </si>
  <si>
    <t>2026-W45</t>
  </si>
  <si>
    <t>Semana del 2 al 6 Noviembre 2026</t>
  </si>
  <si>
    <t>2026-W46</t>
  </si>
  <si>
    <t>Semana del 9 al 13 Noviembre 2026</t>
  </si>
  <si>
    <t>2026-W47</t>
  </si>
  <si>
    <t>Semana del 16 al 20 Noviembre 2026</t>
  </si>
  <si>
    <t>2026-W48</t>
  </si>
  <si>
    <t>Semana del 23 al 27 Noviembre 2026</t>
  </si>
  <si>
    <t>2026-W49</t>
  </si>
  <si>
    <t>Semana del 30 de Noviembre al 4 Diciembre 2026</t>
  </si>
  <si>
    <t>2026-W50</t>
  </si>
  <si>
    <t>Semana del 7 al 11 Diciembre 2026</t>
  </si>
  <si>
    <t>2026-W51</t>
  </si>
  <si>
    <t>Semana del 14 al 18 Diciembre 2026</t>
  </si>
  <si>
    <t>2026-W52</t>
  </si>
  <si>
    <t>Semana del 21 al 25 Diciembre 2026</t>
  </si>
  <si>
    <t>2026-W53</t>
  </si>
  <si>
    <t>Semana del 28 de Diciembre 2026 al 1 Enero 2027</t>
  </si>
  <si>
    <t>%LE TLunes</t>
  </si>
  <si>
    <t>%LE TMartes</t>
  </si>
  <si>
    <t>%LE Tmiercoles</t>
  </si>
  <si>
    <t>%LE TJueves</t>
  </si>
  <si>
    <t>%LE TViernes</t>
  </si>
  <si>
    <t>%LE Total</t>
  </si>
  <si>
    <t>BKF Hrs</t>
  </si>
  <si>
    <t>PAG Hrs</t>
  </si>
  <si>
    <t>TOTAL LE%</t>
  </si>
  <si>
    <t>Manufacturing Downtime</t>
  </si>
  <si>
    <t>Material Downtime</t>
  </si>
  <si>
    <t>Cutting Downtime</t>
  </si>
  <si>
    <t>SLP Downtime</t>
  </si>
  <si>
    <t>Maintenance Downtime</t>
  </si>
  <si>
    <t>Service Orders</t>
  </si>
  <si>
    <t>Training</t>
  </si>
  <si>
    <t>D-I</t>
  </si>
  <si>
    <t>Pilots</t>
  </si>
  <si>
    <t>ME (Ingenieria)</t>
  </si>
  <si>
    <t>Other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</si>
</sst>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000%"/>
    <numFmt numFmtId="166" formatCode="0.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Meiryo"/>
      <family val="2"/>
      <charset val="128"/>
    </font>
    <font>
      <sz val="9"/>
      <color theme="0"/>
      <name val="Meiryo"/>
      <family val="2"/>
      <charset val="128"/>
    </font>
    <font>
      <sz val="12"/>
      <color rgb="FF000000"/>
      <name val="Meiryo"/>
      <family val="2"/>
      <charset val="128"/>
    </font>
    <font>
      <sz val="9"/>
      <color rgb="FF000000"/>
      <name val="Meiryo"/>
      <family val="2"/>
      <charset val="128"/>
    </font>
    <font>
      <b/>
      <sz val="12"/>
      <color theme="1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name val="Calibri"/>
      <family val="2"/>
    </font>
    <font>
      <sz val="16"/>
      <color theme="1"/>
      <name val="Aptos Narrow"/>
      <family val="2"/>
      <scheme val="minor"/>
    </font>
    <font>
      <b/>
      <sz val="9"/>
      <color theme="0"/>
      <name val="Meiryo"/>
      <family val="2"/>
      <charset val="128"/>
    </font>
  </fonts>
  <fills count="2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775"/>
        <bgColor indexed="64"/>
      </patternFill>
    </fill>
    <fill>
      <patternFill patternType="solid">
        <fgColor theme="1" tint="4.9989318521683403E-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5">
    <xf numFmtId="0" fontId="0" fillId="0" borderId="0" xfId="0"/>
    <xf numFmtId="9" fontId="0" fillId="0" borderId="0" xfId="2" applyFont="1"/>
    <xf numFmtId="0" fontId="2" fillId="6" borderId="0" xfId="0" applyFont="1" applyFill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0" fontId="2" fillId="0" borderId="0" xfId="0" applyNumberFormat="1" applyFont="1"/>
    <xf numFmtId="0" fontId="6" fillId="0" borderId="0" xfId="0" applyFont="1" applyAlignment="1">
      <alignment horizontal="center"/>
    </xf>
    <xf numFmtId="164" fontId="0" fillId="0" borderId="0" xfId="0" applyNumberFormat="1"/>
    <xf numFmtId="1" fontId="0" fillId="0" borderId="0" xfId="0" applyNumberFormat="1"/>
    <xf numFmtId="3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0" fillId="7" borderId="8" xfId="0" applyFill="1" applyBorder="1"/>
    <xf numFmtId="0" fontId="7" fillId="0" borderId="9" xfId="0" applyFont="1" applyBorder="1"/>
    <xf numFmtId="0" fontId="0" fillId="0" borderId="10" xfId="0" applyBorder="1"/>
    <xf numFmtId="0" fontId="7" fillId="0" borderId="0" xfId="0" applyFont="1" applyAlignment="1">
      <alignment horizontal="right"/>
    </xf>
    <xf numFmtId="0" fontId="0" fillId="0" borderId="18" xfId="0" applyBorder="1"/>
    <xf numFmtId="9" fontId="0" fillId="0" borderId="0" xfId="2" applyFont="1" applyBorder="1"/>
    <xf numFmtId="0" fontId="7" fillId="0" borderId="0" xfId="0" applyFont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2" applyNumberFormat="1" applyFont="1" applyFill="1" applyBorder="1"/>
    <xf numFmtId="0" fontId="0" fillId="0" borderId="16" xfId="0" applyBorder="1"/>
    <xf numFmtId="14" fontId="0" fillId="0" borderId="16" xfId="0" applyNumberFormat="1" applyBorder="1"/>
    <xf numFmtId="0" fontId="0" fillId="0" borderId="16" xfId="2" applyNumberFormat="1" applyFont="1" applyBorder="1"/>
    <xf numFmtId="8" fontId="0" fillId="0" borderId="16" xfId="1" applyNumberFormat="1" applyFont="1" applyBorder="1"/>
    <xf numFmtId="0" fontId="9" fillId="0" borderId="9" xfId="0" applyFont="1" applyBorder="1" applyAlignment="1">
      <alignment horizontal="center" vertical="top"/>
    </xf>
    <xf numFmtId="0" fontId="9" fillId="5" borderId="9" xfId="0" applyFont="1" applyFill="1" applyBorder="1" applyAlignment="1">
      <alignment horizontal="center" vertical="top"/>
    </xf>
    <xf numFmtId="0" fontId="9" fillId="4" borderId="9" xfId="0" applyFont="1" applyFill="1" applyBorder="1" applyAlignment="1">
      <alignment horizontal="center" vertical="top"/>
    </xf>
    <xf numFmtId="0" fontId="9" fillId="3" borderId="9" xfId="0" applyFont="1" applyFill="1" applyBorder="1" applyAlignment="1">
      <alignment horizontal="center" vertical="top"/>
    </xf>
    <xf numFmtId="0" fontId="10" fillId="0" borderId="0" xfId="0" applyFont="1"/>
    <xf numFmtId="0" fontId="0" fillId="11" borderId="9" xfId="0" applyFill="1" applyBorder="1"/>
    <xf numFmtId="14" fontId="0" fillId="11" borderId="9" xfId="0" applyNumberFormat="1" applyFill="1" applyBorder="1"/>
    <xf numFmtId="0" fontId="0" fillId="11" borderId="9" xfId="2" applyNumberFormat="1" applyFont="1" applyFill="1" applyBorder="1"/>
    <xf numFmtId="8" fontId="0" fillId="11" borderId="9" xfId="1" applyNumberFormat="1" applyFont="1" applyFill="1" applyBorder="1"/>
    <xf numFmtId="0" fontId="0" fillId="11" borderId="22" xfId="0" applyFill="1" applyBorder="1"/>
    <xf numFmtId="14" fontId="0" fillId="11" borderId="22" xfId="0" applyNumberFormat="1" applyFill="1" applyBorder="1"/>
    <xf numFmtId="0" fontId="0" fillId="11" borderId="22" xfId="2" applyNumberFormat="1" applyFont="1" applyFill="1" applyBorder="1"/>
    <xf numFmtId="8" fontId="0" fillId="11" borderId="22" xfId="1" applyNumberFormat="1" applyFont="1" applyFill="1" applyBorder="1"/>
    <xf numFmtId="0" fontId="0" fillId="12" borderId="16" xfId="0" applyFill="1" applyBorder="1"/>
    <xf numFmtId="14" fontId="0" fillId="12" borderId="16" xfId="0" applyNumberFormat="1" applyFill="1" applyBorder="1"/>
    <xf numFmtId="0" fontId="0" fillId="12" borderId="16" xfId="2" applyNumberFormat="1" applyFont="1" applyFill="1" applyBorder="1"/>
    <xf numFmtId="8" fontId="0" fillId="12" borderId="16" xfId="1" applyNumberFormat="1" applyFont="1" applyFill="1" applyBorder="1"/>
    <xf numFmtId="0" fontId="0" fillId="12" borderId="0" xfId="0" applyFill="1"/>
    <xf numFmtId="14" fontId="7" fillId="13" borderId="15" xfId="0" applyNumberFormat="1" applyFont="1" applyFill="1" applyBorder="1"/>
    <xf numFmtId="0" fontId="7" fillId="13" borderId="24" xfId="0" applyFont="1" applyFill="1" applyBorder="1"/>
    <xf numFmtId="0" fontId="7" fillId="14" borderId="15" xfId="0" applyFont="1" applyFill="1" applyBorder="1"/>
    <xf numFmtId="0" fontId="7" fillId="14" borderId="24" xfId="0" applyFont="1" applyFill="1" applyBorder="1"/>
    <xf numFmtId="0" fontId="7" fillId="2" borderId="15" xfId="0" applyFont="1" applyFill="1" applyBorder="1"/>
    <xf numFmtId="0" fontId="7" fillId="2" borderId="24" xfId="0" applyFont="1" applyFill="1" applyBorder="1"/>
    <xf numFmtId="0" fontId="7" fillId="15" borderId="15" xfId="0" applyFont="1" applyFill="1" applyBorder="1"/>
    <xf numFmtId="0" fontId="7" fillId="15" borderId="24" xfId="0" applyFont="1" applyFill="1" applyBorder="1"/>
    <xf numFmtId="0" fontId="7" fillId="16" borderId="15" xfId="0" applyFont="1" applyFill="1" applyBorder="1"/>
    <xf numFmtId="0" fontId="7" fillId="16" borderId="24" xfId="0" applyFont="1" applyFill="1" applyBorder="1"/>
    <xf numFmtId="0" fontId="7" fillId="0" borderId="17" xfId="0" applyFont="1" applyBorder="1"/>
    <xf numFmtId="0" fontId="7" fillId="17" borderId="25" xfId="0" applyFont="1" applyFill="1" applyBorder="1" applyAlignment="1">
      <alignment horizontal="right"/>
    </xf>
    <xf numFmtId="3" fontId="0" fillId="17" borderId="5" xfId="0" applyNumberFormat="1" applyFill="1" applyBorder="1"/>
    <xf numFmtId="9" fontId="0" fillId="18" borderId="6" xfId="2" applyFont="1" applyFill="1" applyBorder="1"/>
    <xf numFmtId="43" fontId="0" fillId="17" borderId="26" xfId="3" applyFont="1" applyFill="1" applyBorder="1"/>
    <xf numFmtId="0" fontId="7" fillId="11" borderId="27" xfId="0" applyFont="1" applyFill="1" applyBorder="1" applyAlignment="1">
      <alignment horizontal="right"/>
    </xf>
    <xf numFmtId="43" fontId="0" fillId="11" borderId="18" xfId="3" applyFont="1" applyFill="1" applyBorder="1"/>
    <xf numFmtId="9" fontId="0" fillId="11" borderId="21" xfId="0" applyNumberFormat="1" applyFill="1" applyBorder="1"/>
    <xf numFmtId="0" fontId="7" fillId="19" borderId="27" xfId="0" applyFont="1" applyFill="1" applyBorder="1" applyAlignment="1">
      <alignment horizontal="right"/>
    </xf>
    <xf numFmtId="0" fontId="0" fillId="18" borderId="28" xfId="0" applyFill="1" applyBorder="1"/>
    <xf numFmtId="9" fontId="0" fillId="19" borderId="29" xfId="2" applyFont="1" applyFill="1" applyBorder="1"/>
    <xf numFmtId="0" fontId="0" fillId="0" borderId="27" xfId="0" applyBorder="1"/>
    <xf numFmtId="0" fontId="0" fillId="13" borderId="30" xfId="0" applyFill="1" applyBorder="1"/>
    <xf numFmtId="9" fontId="0" fillId="13" borderId="31" xfId="2" applyFont="1" applyFill="1" applyBorder="1"/>
    <xf numFmtId="0" fontId="0" fillId="14" borderId="30" xfId="0" applyFill="1" applyBorder="1"/>
    <xf numFmtId="9" fontId="0" fillId="14" borderId="31" xfId="2" applyFont="1" applyFill="1" applyBorder="1"/>
    <xf numFmtId="0" fontId="0" fillId="2" borderId="30" xfId="0" applyFill="1" applyBorder="1"/>
    <xf numFmtId="9" fontId="0" fillId="2" borderId="31" xfId="2" applyFont="1" applyFill="1" applyBorder="1"/>
    <xf numFmtId="0" fontId="0" fillId="15" borderId="30" xfId="0" applyFill="1" applyBorder="1"/>
    <xf numFmtId="9" fontId="0" fillId="15" borderId="31" xfId="2" applyFont="1" applyFill="1" applyBorder="1"/>
    <xf numFmtId="0" fontId="0" fillId="16" borderId="30" xfId="0" applyFill="1" applyBorder="1"/>
    <xf numFmtId="9" fontId="0" fillId="16" borderId="31" xfId="2" applyFont="1" applyFill="1" applyBorder="1"/>
    <xf numFmtId="0" fontId="0" fillId="0" borderId="30" xfId="0" applyBorder="1"/>
    <xf numFmtId="9" fontId="0" fillId="0" borderId="31" xfId="2" applyFont="1" applyBorder="1"/>
    <xf numFmtId="0" fontId="0" fillId="13" borderId="10" xfId="0" applyFill="1" applyBorder="1"/>
    <xf numFmtId="9" fontId="0" fillId="13" borderId="11" xfId="2" applyFont="1" applyFill="1" applyBorder="1"/>
    <xf numFmtId="0" fontId="0" fillId="14" borderId="10" xfId="0" applyFill="1" applyBorder="1"/>
    <xf numFmtId="0" fontId="0" fillId="2" borderId="10" xfId="0" applyFill="1" applyBorder="1"/>
    <xf numFmtId="0" fontId="0" fillId="15" borderId="10" xfId="0" applyFill="1" applyBorder="1"/>
    <xf numFmtId="0" fontId="0" fillId="16" borderId="10" xfId="0" applyFill="1" applyBorder="1"/>
    <xf numFmtId="3" fontId="0" fillId="13" borderId="10" xfId="0" applyNumberFormat="1" applyFill="1" applyBorder="1"/>
    <xf numFmtId="3" fontId="0" fillId="14" borderId="10" xfId="0" applyNumberFormat="1" applyFill="1" applyBorder="1"/>
    <xf numFmtId="3" fontId="0" fillId="2" borderId="10" xfId="0" applyNumberFormat="1" applyFill="1" applyBorder="1"/>
    <xf numFmtId="3" fontId="0" fillId="15" borderId="10" xfId="0" applyNumberFormat="1" applyFill="1" applyBorder="1"/>
    <xf numFmtId="3" fontId="0" fillId="16" borderId="10" xfId="0" applyNumberFormat="1" applyFill="1" applyBorder="1"/>
    <xf numFmtId="3" fontId="0" fillId="0" borderId="10" xfId="0" applyNumberFormat="1" applyBorder="1"/>
    <xf numFmtId="0" fontId="0" fillId="0" borderId="32" xfId="0" applyBorder="1"/>
    <xf numFmtId="0" fontId="0" fillId="13" borderId="18" xfId="0" applyFill="1" applyBorder="1"/>
    <xf numFmtId="9" fontId="0" fillId="13" borderId="21" xfId="2" applyFont="1" applyFill="1" applyBorder="1"/>
    <xf numFmtId="0" fontId="0" fillId="14" borderId="18" xfId="0" applyFill="1" applyBorder="1"/>
    <xf numFmtId="9" fontId="0" fillId="14" borderId="29" xfId="2" applyFont="1" applyFill="1" applyBorder="1"/>
    <xf numFmtId="0" fontId="0" fillId="2" borderId="18" xfId="0" applyFill="1" applyBorder="1"/>
    <xf numFmtId="9" fontId="0" fillId="2" borderId="29" xfId="2" applyFont="1" applyFill="1" applyBorder="1"/>
    <xf numFmtId="0" fontId="0" fillId="15" borderId="18" xfId="0" applyFill="1" applyBorder="1"/>
    <xf numFmtId="9" fontId="0" fillId="15" borderId="29" xfId="2" applyFont="1" applyFill="1" applyBorder="1"/>
    <xf numFmtId="0" fontId="0" fillId="16" borderId="18" xfId="0" applyFill="1" applyBorder="1"/>
    <xf numFmtId="9" fontId="0" fillId="16" borderId="29" xfId="2" applyFont="1" applyFill="1" applyBorder="1"/>
    <xf numFmtId="9" fontId="0" fillId="0" borderId="29" xfId="2" applyFont="1" applyBorder="1"/>
    <xf numFmtId="0" fontId="7" fillId="0" borderId="14" xfId="0" applyFont="1" applyBorder="1" applyAlignment="1">
      <alignment horizontal="center" vertical="center" wrapText="1"/>
    </xf>
    <xf numFmtId="9" fontId="0" fillId="13" borderId="29" xfId="2" applyFont="1" applyFill="1" applyBorder="1"/>
    <xf numFmtId="0" fontId="7" fillId="16" borderId="9" xfId="0" applyFont="1" applyFill="1" applyBorder="1"/>
    <xf numFmtId="0" fontId="0" fillId="20" borderId="9" xfId="2" applyNumberFormat="1" applyFont="1" applyFill="1" applyBorder="1"/>
    <xf numFmtId="0" fontId="0" fillId="13" borderId="5" xfId="0" applyFill="1" applyBorder="1"/>
    <xf numFmtId="0" fontId="0" fillId="14" borderId="5" xfId="0" applyFill="1" applyBorder="1"/>
    <xf numFmtId="0" fontId="0" fillId="2" borderId="5" xfId="0" applyFill="1" applyBorder="1"/>
    <xf numFmtId="0" fontId="0" fillId="15" borderId="5" xfId="0" applyFill="1" applyBorder="1"/>
    <xf numFmtId="0" fontId="0" fillId="16" borderId="2" xfId="0" applyFill="1" applyBorder="1"/>
    <xf numFmtId="0" fontId="0" fillId="0" borderId="12" xfId="0" applyBorder="1"/>
    <xf numFmtId="0" fontId="0" fillId="16" borderId="12" xfId="0" applyFill="1" applyBorder="1"/>
    <xf numFmtId="0" fontId="7" fillId="0" borderId="9" xfId="0" applyFont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13" borderId="33" xfId="0" applyFill="1" applyBorder="1"/>
    <xf numFmtId="0" fontId="0" fillId="16" borderId="13" xfId="0" applyFill="1" applyBorder="1"/>
    <xf numFmtId="0" fontId="0" fillId="0" borderId="13" xfId="0" applyBorder="1"/>
    <xf numFmtId="0" fontId="4" fillId="9" borderId="7" xfId="0" applyFont="1" applyFill="1" applyBorder="1" applyAlignment="1">
      <alignment horizontal="center" vertical="center"/>
    </xf>
    <xf numFmtId="10" fontId="5" fillId="9" borderId="1" xfId="0" applyNumberFormat="1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0" fontId="4" fillId="21" borderId="7" xfId="0" applyFont="1" applyFill="1" applyBorder="1" applyAlignment="1">
      <alignment horizontal="center" vertical="center"/>
    </xf>
    <xf numFmtId="10" fontId="5" fillId="21" borderId="1" xfId="0" applyNumberFormat="1" applyFont="1" applyFill="1" applyBorder="1" applyAlignment="1">
      <alignment horizontal="center" vertical="center"/>
    </xf>
    <xf numFmtId="164" fontId="5" fillId="21" borderId="1" xfId="0" applyNumberFormat="1" applyFont="1" applyFill="1" applyBorder="1" applyAlignment="1">
      <alignment horizontal="center" vertical="center"/>
    </xf>
    <xf numFmtId="0" fontId="4" fillId="22" borderId="7" xfId="0" applyFont="1" applyFill="1" applyBorder="1" applyAlignment="1">
      <alignment horizontal="center" vertical="center"/>
    </xf>
    <xf numFmtId="164" fontId="11" fillId="22" borderId="1" xfId="0" applyNumberFormat="1" applyFont="1" applyFill="1" applyBorder="1" applyAlignment="1">
      <alignment horizontal="center" vertical="center"/>
    </xf>
    <xf numFmtId="10" fontId="11" fillId="22" borderId="1" xfId="0" applyNumberFormat="1" applyFont="1" applyFill="1" applyBorder="1" applyAlignment="1">
      <alignment horizontal="center" vertical="center" wrapText="1"/>
    </xf>
    <xf numFmtId="0" fontId="9" fillId="23" borderId="9" xfId="0" applyFont="1" applyFill="1" applyBorder="1" applyAlignment="1">
      <alignment horizontal="center" vertical="top"/>
    </xf>
    <xf numFmtId="0" fontId="9" fillId="24" borderId="9" xfId="0" applyFont="1" applyFill="1" applyBorder="1" applyAlignment="1">
      <alignment horizontal="center" vertical="top"/>
    </xf>
    <xf numFmtId="0" fontId="9" fillId="25" borderId="9" xfId="0" applyFont="1" applyFill="1" applyBorder="1" applyAlignment="1">
      <alignment horizontal="center" vertical="top"/>
    </xf>
    <xf numFmtId="0" fontId="0" fillId="26" borderId="16" xfId="2" applyNumberFormat="1" applyFont="1" applyFill="1" applyBorder="1"/>
    <xf numFmtId="0" fontId="0" fillId="26" borderId="22" xfId="2" applyNumberFormat="1" applyFont="1" applyFill="1" applyBorder="1"/>
    <xf numFmtId="0" fontId="0" fillId="26" borderId="16" xfId="0" applyFill="1" applyBorder="1"/>
    <xf numFmtId="0" fontId="0" fillId="26" borderId="22" xfId="0" applyFill="1" applyBorder="1"/>
    <xf numFmtId="8" fontId="0" fillId="26" borderId="16" xfId="1" applyNumberFormat="1" applyFont="1" applyFill="1" applyBorder="1"/>
    <xf numFmtId="8" fontId="0" fillId="26" borderId="22" xfId="1" applyNumberFormat="1" applyFont="1" applyFill="1" applyBorder="1"/>
    <xf numFmtId="0" fontId="7" fillId="10" borderId="17" xfId="0" applyFont="1" applyFill="1" applyBorder="1" applyAlignment="1">
      <alignment horizontal="center" vertical="center" wrapText="1"/>
    </xf>
    <xf numFmtId="0" fontId="7" fillId="10" borderId="20" xfId="0" applyFont="1" applyFill="1" applyBorder="1" applyAlignment="1">
      <alignment horizontal="center" vertical="center" wrapText="1"/>
    </xf>
    <xf numFmtId="0" fontId="7" fillId="10" borderId="23" xfId="0" applyFont="1" applyFill="1" applyBorder="1" applyAlignment="1">
      <alignment horizontal="center" vertical="center" wrapText="1"/>
    </xf>
    <xf numFmtId="0" fontId="7" fillId="10" borderId="19" xfId="0" applyFont="1" applyFill="1" applyBorder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0" borderId="16" xfId="0" applyFont="1" applyFill="1" applyBorder="1" applyAlignment="1">
      <alignment horizontal="center" vertical="center" wrapText="1"/>
    </xf>
    <xf numFmtId="0" fontId="7" fillId="10" borderId="22" xfId="0" applyFont="1" applyFill="1" applyBorder="1" applyAlignment="1">
      <alignment horizontal="center" vertical="center" wrapText="1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C775"/>
      <color rgb="FFFFB547"/>
      <color rgb="FFFF9900"/>
      <color rgb="FF2E7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31AC-568B-4682-ADF0-4CBB4B7B1F07}">
  <dimension ref="A1:LY3667"/>
  <sheetViews>
    <sheetView tabSelected="1" topLeftCell="D1" workbookViewId="0">
      <selection activeCell="G2" sqref="G2"/>
    </sheetView>
  </sheetViews>
  <sheetFormatPr defaultRowHeight="14.5" x14ac:dyDescent="0.35"/>
  <cols>
    <col min="1" max="1" width="11.54296875" style="32" customWidth="1"/>
    <col min="2" max="2" width="6.453125" style="32" bestFit="1" customWidth="1"/>
    <col min="3" max="3" width="10.1796875" style="32" bestFit="1" customWidth="1"/>
    <col min="4" max="4" width="24.26953125" style="32" customWidth="1"/>
    <col min="5" max="31" width="20.81640625" style="32" customWidth="1"/>
  </cols>
  <sheetData>
    <row r="1" spans="1:337" s="40" customFormat="1" ht="21.5" thickBot="1" x14ac:dyDescent="0.55000000000000004">
      <c r="A1" s="36" t="s">
        <v>0</v>
      </c>
      <c r="B1" s="36" t="s">
        <v>1</v>
      </c>
      <c r="C1" s="36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9" t="s">
        <v>19</v>
      </c>
      <c r="U1" s="39" t="s">
        <v>20</v>
      </c>
      <c r="V1" s="39" t="s">
        <v>21</v>
      </c>
      <c r="W1" s="39" t="s">
        <v>22</v>
      </c>
      <c r="X1" s="138" t="s">
        <v>23</v>
      </c>
      <c r="Y1" s="138" t="s">
        <v>24</v>
      </c>
      <c r="Z1" s="138" t="s">
        <v>25</v>
      </c>
      <c r="AA1" s="139" t="s">
        <v>26</v>
      </c>
      <c r="AB1" s="139" t="s">
        <v>27</v>
      </c>
      <c r="AC1" s="140" t="s">
        <v>28</v>
      </c>
      <c r="AD1" s="140" t="s">
        <v>29</v>
      </c>
      <c r="AE1" s="140" t="s">
        <v>30</v>
      </c>
    </row>
    <row r="2" spans="1:337" x14ac:dyDescent="0.35">
      <c r="A2" s="41" t="s">
        <v>31</v>
      </c>
      <c r="B2" s="41" t="s">
        <v>32</v>
      </c>
      <c r="C2" s="42">
        <v>46098</v>
      </c>
      <c r="D2" s="43">
        <v>0</v>
      </c>
      <c r="E2" s="43">
        <v>20</v>
      </c>
      <c r="F2" s="43">
        <v>20</v>
      </c>
      <c r="G2" s="43">
        <v>28</v>
      </c>
      <c r="H2" s="43">
        <v>40</v>
      </c>
      <c r="I2" s="43">
        <v>10</v>
      </c>
      <c r="J2" s="43">
        <v>21449</v>
      </c>
      <c r="K2" s="43">
        <f>SUM(L2:L4)</f>
        <v>6</v>
      </c>
      <c r="L2" s="43">
        <v>2</v>
      </c>
      <c r="M2" s="43"/>
      <c r="N2" s="43">
        <v>4</v>
      </c>
      <c r="O2" s="43">
        <v>3</v>
      </c>
      <c r="P2" s="43">
        <v>7</v>
      </c>
      <c r="Q2" s="43">
        <v>6</v>
      </c>
      <c r="R2" s="43">
        <v>9</v>
      </c>
      <c r="S2" s="43">
        <v>9</v>
      </c>
      <c r="T2" s="43">
        <v>20</v>
      </c>
      <c r="U2" s="43">
        <v>3</v>
      </c>
      <c r="V2" s="41" t="s">
        <v>33</v>
      </c>
      <c r="W2" s="41" t="s">
        <v>34</v>
      </c>
      <c r="X2" s="41">
        <v>1</v>
      </c>
      <c r="Y2" s="41">
        <v>3</v>
      </c>
      <c r="Z2" s="41">
        <v>322</v>
      </c>
      <c r="AA2" s="44">
        <v>34</v>
      </c>
      <c r="AB2" s="44">
        <v>34</v>
      </c>
      <c r="AC2" s="43">
        <v>45</v>
      </c>
      <c r="AD2" s="43">
        <v>30</v>
      </c>
      <c r="AE2" s="43">
        <v>45</v>
      </c>
    </row>
    <row r="3" spans="1:337" x14ac:dyDescent="0.35">
      <c r="A3" s="32" t="s">
        <v>31</v>
      </c>
      <c r="B3" s="32" t="s">
        <v>35</v>
      </c>
      <c r="C3" s="33">
        <v>46098</v>
      </c>
      <c r="D3" s="34">
        <v>13</v>
      </c>
      <c r="E3" s="34">
        <v>24</v>
      </c>
      <c r="F3" s="34">
        <v>25</v>
      </c>
      <c r="G3" s="141">
        <f>G2</f>
        <v>28</v>
      </c>
      <c r="H3" s="141"/>
      <c r="I3" s="141"/>
      <c r="J3" s="141"/>
      <c r="K3" s="141"/>
      <c r="L3" s="34">
        <v>2</v>
      </c>
      <c r="M3" s="34">
        <v>5</v>
      </c>
      <c r="N3" s="34">
        <v>4</v>
      </c>
      <c r="O3" s="34">
        <v>4</v>
      </c>
      <c r="P3" s="32">
        <v>7</v>
      </c>
      <c r="Q3" s="32">
        <v>7</v>
      </c>
      <c r="R3" s="32">
        <v>8</v>
      </c>
      <c r="S3" s="32">
        <v>6</v>
      </c>
      <c r="T3" s="143"/>
      <c r="U3" s="143"/>
      <c r="V3" s="32" t="s">
        <v>36</v>
      </c>
      <c r="W3" s="32" t="s">
        <v>37</v>
      </c>
      <c r="X3" s="32">
        <v>1</v>
      </c>
      <c r="Y3" s="143"/>
      <c r="Z3" s="143"/>
      <c r="AA3" s="145"/>
      <c r="AB3" s="145"/>
      <c r="AC3" s="141"/>
      <c r="AD3" s="141"/>
      <c r="AE3" s="141"/>
    </row>
    <row r="4" spans="1:337" ht="15" thickBot="1" x14ac:dyDescent="0.4">
      <c r="A4" s="45" t="s">
        <v>31</v>
      </c>
      <c r="B4" s="45" t="s">
        <v>38</v>
      </c>
      <c r="C4" s="46">
        <v>46098</v>
      </c>
      <c r="D4" s="47"/>
      <c r="E4" s="47"/>
      <c r="F4" s="47"/>
      <c r="G4" s="142">
        <f>G2</f>
        <v>28</v>
      </c>
      <c r="H4" s="142"/>
      <c r="I4" s="142"/>
      <c r="J4" s="142"/>
      <c r="K4" s="142"/>
      <c r="L4" s="47">
        <v>2</v>
      </c>
      <c r="M4" s="47"/>
      <c r="N4" s="47"/>
      <c r="O4" s="47"/>
      <c r="P4" s="47"/>
      <c r="Q4" s="47"/>
      <c r="R4" s="47"/>
      <c r="S4" s="47"/>
      <c r="T4" s="144"/>
      <c r="U4" s="144"/>
      <c r="V4" s="45"/>
      <c r="W4" s="45"/>
      <c r="X4" s="47"/>
      <c r="Y4" s="144"/>
      <c r="Z4" s="144"/>
      <c r="AA4" s="146"/>
      <c r="AB4" s="146"/>
      <c r="AC4" s="142"/>
      <c r="AD4" s="142"/>
      <c r="AE4" s="142"/>
    </row>
    <row r="5" spans="1:337" s="53" customFormat="1" ht="15" thickBot="1" x14ac:dyDescent="0.4">
      <c r="A5" s="49"/>
      <c r="B5" s="49"/>
      <c r="C5" s="50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49"/>
      <c r="U5" s="49"/>
      <c r="V5" s="49"/>
      <c r="W5" s="49"/>
      <c r="X5" s="51"/>
      <c r="Y5" s="49"/>
      <c r="Z5" s="49"/>
      <c r="AA5" s="52"/>
      <c r="AB5" s="52"/>
      <c r="AC5" s="51"/>
      <c r="AD5" s="51"/>
      <c r="AE5" s="51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</row>
    <row r="6" spans="1:337" x14ac:dyDescent="0.35">
      <c r="A6" s="41" t="s">
        <v>31</v>
      </c>
      <c r="B6" s="41" t="s">
        <v>32</v>
      </c>
      <c r="C6" s="42">
        <v>46099</v>
      </c>
      <c r="D6" s="43">
        <v>0</v>
      </c>
      <c r="E6" s="43">
        <v>20</v>
      </c>
      <c r="F6" s="43">
        <v>20</v>
      </c>
      <c r="G6" s="43">
        <v>28</v>
      </c>
      <c r="H6" s="43">
        <v>40</v>
      </c>
      <c r="I6" s="43">
        <v>10</v>
      </c>
      <c r="J6" s="43">
        <v>21449</v>
      </c>
      <c r="K6" s="43">
        <f>SUM(L6:L8)</f>
        <v>6</v>
      </c>
      <c r="L6" s="43">
        <v>2</v>
      </c>
      <c r="M6" s="43"/>
      <c r="N6" s="43">
        <v>4</v>
      </c>
      <c r="O6" s="43">
        <v>3</v>
      </c>
      <c r="P6" s="43">
        <v>7</v>
      </c>
      <c r="Q6" s="43">
        <v>6</v>
      </c>
      <c r="R6" s="43">
        <v>9</v>
      </c>
      <c r="S6" s="43">
        <v>9</v>
      </c>
      <c r="T6" s="43">
        <v>25</v>
      </c>
      <c r="U6" s="43">
        <v>4</v>
      </c>
      <c r="V6" s="41" t="s">
        <v>33</v>
      </c>
      <c r="W6" s="41" t="s">
        <v>34</v>
      </c>
      <c r="X6" s="41">
        <v>1</v>
      </c>
      <c r="Y6" s="41">
        <v>3</v>
      </c>
      <c r="Z6" s="41">
        <v>322</v>
      </c>
      <c r="AA6" s="44">
        <v>34</v>
      </c>
      <c r="AB6" s="44">
        <v>34</v>
      </c>
      <c r="AC6" s="43">
        <v>45</v>
      </c>
      <c r="AD6" s="43">
        <v>30</v>
      </c>
      <c r="AE6" s="43">
        <v>45</v>
      </c>
    </row>
    <row r="7" spans="1:337" x14ac:dyDescent="0.35">
      <c r="A7" s="32" t="s">
        <v>31</v>
      </c>
      <c r="B7" s="32" t="s">
        <v>35</v>
      </c>
      <c r="C7" s="33">
        <v>46099</v>
      </c>
      <c r="D7" s="34">
        <v>13</v>
      </c>
      <c r="E7" s="34">
        <v>24</v>
      </c>
      <c r="F7" s="34">
        <v>25</v>
      </c>
      <c r="G7" s="141"/>
      <c r="H7" s="141"/>
      <c r="I7" s="141"/>
      <c r="J7" s="141"/>
      <c r="K7" s="141"/>
      <c r="L7" s="34">
        <v>2</v>
      </c>
      <c r="M7" s="34">
        <v>5</v>
      </c>
      <c r="N7" s="34">
        <v>4</v>
      </c>
      <c r="O7" s="34">
        <v>4</v>
      </c>
      <c r="P7" s="32">
        <v>7</v>
      </c>
      <c r="Q7" s="32">
        <v>7</v>
      </c>
      <c r="R7" s="32">
        <v>8</v>
      </c>
      <c r="S7" s="32">
        <v>6</v>
      </c>
      <c r="T7" s="143"/>
      <c r="U7" s="143"/>
      <c r="V7" s="32" t="s">
        <v>36</v>
      </c>
      <c r="W7" s="32" t="s">
        <v>37</v>
      </c>
      <c r="X7" s="32">
        <v>1</v>
      </c>
      <c r="Y7" s="143"/>
      <c r="Z7" s="143"/>
      <c r="AA7" s="145"/>
      <c r="AB7" s="145"/>
      <c r="AC7" s="141"/>
      <c r="AD7" s="141"/>
      <c r="AE7" s="141"/>
    </row>
    <row r="8" spans="1:337" ht="15" thickBot="1" x14ac:dyDescent="0.4">
      <c r="A8" s="45" t="s">
        <v>31</v>
      </c>
      <c r="B8" s="45" t="s">
        <v>38</v>
      </c>
      <c r="C8" s="46">
        <v>46099</v>
      </c>
      <c r="D8" s="47"/>
      <c r="E8" s="47"/>
      <c r="F8" s="47"/>
      <c r="G8" s="142"/>
      <c r="H8" s="142"/>
      <c r="I8" s="142"/>
      <c r="J8" s="142"/>
      <c r="K8" s="142"/>
      <c r="L8" s="47">
        <v>2</v>
      </c>
      <c r="M8" s="47"/>
      <c r="N8" s="47"/>
      <c r="O8" s="47"/>
      <c r="P8" s="47"/>
      <c r="Q8" s="47"/>
      <c r="R8" s="47"/>
      <c r="S8" s="47"/>
      <c r="T8" s="144"/>
      <c r="U8" s="144"/>
      <c r="V8" s="45"/>
      <c r="W8" s="45"/>
      <c r="X8" s="47"/>
      <c r="Y8" s="144"/>
      <c r="Z8" s="144"/>
      <c r="AA8" s="146"/>
      <c r="AB8" s="146"/>
      <c r="AC8" s="142"/>
      <c r="AD8" s="142"/>
      <c r="AE8" s="142"/>
    </row>
    <row r="9" spans="1:337" s="53" customFormat="1" ht="15" thickBot="1" x14ac:dyDescent="0.4">
      <c r="A9" s="49"/>
      <c r="B9" s="49"/>
      <c r="C9" s="50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49"/>
      <c r="U9" s="49"/>
      <c r="V9" s="49"/>
      <c r="W9" s="49"/>
      <c r="X9" s="51"/>
      <c r="Y9" s="49"/>
      <c r="Z9" s="49"/>
      <c r="AA9" s="52"/>
      <c r="AB9" s="52"/>
      <c r="AC9" s="51"/>
      <c r="AD9" s="51"/>
      <c r="AE9" s="51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</row>
    <row r="10" spans="1:337" x14ac:dyDescent="0.35">
      <c r="A10" s="41" t="s">
        <v>31</v>
      </c>
      <c r="B10" s="41" t="s">
        <v>32</v>
      </c>
      <c r="C10" s="42">
        <v>46100</v>
      </c>
      <c r="D10" s="43">
        <v>0</v>
      </c>
      <c r="E10" s="43">
        <v>20</v>
      </c>
      <c r="F10" s="43">
        <v>20</v>
      </c>
      <c r="G10" s="43">
        <v>28</v>
      </c>
      <c r="H10" s="43">
        <v>40</v>
      </c>
      <c r="I10" s="43">
        <v>10</v>
      </c>
      <c r="J10" s="43">
        <v>21449</v>
      </c>
      <c r="K10" s="43">
        <f>SUM(L10:L12)</f>
        <v>6</v>
      </c>
      <c r="L10" s="43">
        <v>2</v>
      </c>
      <c r="M10" s="43"/>
      <c r="N10" s="43">
        <v>4</v>
      </c>
      <c r="O10" s="43">
        <v>3</v>
      </c>
      <c r="P10" s="43">
        <v>7</v>
      </c>
      <c r="Q10" s="43">
        <v>6</v>
      </c>
      <c r="R10" s="43">
        <v>9</v>
      </c>
      <c r="S10" s="43">
        <v>9</v>
      </c>
      <c r="T10" s="43">
        <v>25</v>
      </c>
      <c r="U10" s="43">
        <v>4</v>
      </c>
      <c r="V10" s="41" t="s">
        <v>33</v>
      </c>
      <c r="W10" s="41" t="s">
        <v>34</v>
      </c>
      <c r="X10" s="41">
        <v>1</v>
      </c>
      <c r="Y10" s="41">
        <v>3</v>
      </c>
      <c r="Z10" s="41">
        <v>322</v>
      </c>
      <c r="AA10" s="44">
        <v>34</v>
      </c>
      <c r="AB10" s="44">
        <v>34</v>
      </c>
      <c r="AC10" s="43">
        <v>45</v>
      </c>
      <c r="AD10" s="43">
        <v>30</v>
      </c>
      <c r="AE10" s="43">
        <v>45</v>
      </c>
    </row>
    <row r="11" spans="1:337" x14ac:dyDescent="0.35">
      <c r="A11" s="32" t="s">
        <v>31</v>
      </c>
      <c r="B11" s="32" t="s">
        <v>35</v>
      </c>
      <c r="C11" s="33">
        <v>46100</v>
      </c>
      <c r="D11" s="34">
        <v>13</v>
      </c>
      <c r="E11" s="34">
        <v>24</v>
      </c>
      <c r="F11" s="34">
        <v>25</v>
      </c>
      <c r="G11" s="141"/>
      <c r="H11" s="141"/>
      <c r="I11" s="141"/>
      <c r="J11" s="141"/>
      <c r="K11" s="141"/>
      <c r="L11" s="34">
        <v>2</v>
      </c>
      <c r="M11" s="34">
        <v>5</v>
      </c>
      <c r="N11" s="34">
        <v>4</v>
      </c>
      <c r="O11" s="34">
        <v>4</v>
      </c>
      <c r="P11" s="32">
        <v>7</v>
      </c>
      <c r="Q11" s="32">
        <v>7</v>
      </c>
      <c r="R11" s="32">
        <v>8</v>
      </c>
      <c r="S11" s="32">
        <v>6</v>
      </c>
      <c r="T11" s="143"/>
      <c r="U11" s="143"/>
      <c r="V11" s="32" t="s">
        <v>36</v>
      </c>
      <c r="W11" s="32" t="s">
        <v>37</v>
      </c>
      <c r="X11" s="32">
        <v>1</v>
      </c>
      <c r="Y11" s="143"/>
      <c r="Z11" s="143"/>
      <c r="AA11" s="145"/>
      <c r="AB11" s="145"/>
      <c r="AC11" s="141"/>
      <c r="AD11" s="141"/>
      <c r="AE11" s="141"/>
    </row>
    <row r="12" spans="1:337" ht="15" thickBot="1" x14ac:dyDescent="0.4">
      <c r="A12" s="45" t="s">
        <v>31</v>
      </c>
      <c r="B12" s="45" t="s">
        <v>38</v>
      </c>
      <c r="C12" s="46">
        <v>46100</v>
      </c>
      <c r="D12" s="47"/>
      <c r="E12" s="47"/>
      <c r="F12" s="47"/>
      <c r="G12" s="142"/>
      <c r="H12" s="142"/>
      <c r="I12" s="142"/>
      <c r="J12" s="142"/>
      <c r="K12" s="142"/>
      <c r="L12" s="47">
        <v>2</v>
      </c>
      <c r="M12" s="47"/>
      <c r="N12" s="47"/>
      <c r="O12" s="47"/>
      <c r="P12" s="47"/>
      <c r="Q12" s="47"/>
      <c r="R12" s="47"/>
      <c r="S12" s="47"/>
      <c r="T12" s="144"/>
      <c r="U12" s="144"/>
      <c r="V12" s="45"/>
      <c r="W12" s="45"/>
      <c r="X12" s="47"/>
      <c r="Y12" s="144"/>
      <c r="Z12" s="144"/>
      <c r="AA12" s="146"/>
      <c r="AB12" s="146"/>
      <c r="AC12" s="142"/>
      <c r="AD12" s="142"/>
      <c r="AE12" s="142"/>
    </row>
    <row r="13" spans="1:337" s="53" customFormat="1" ht="15" thickBot="1" x14ac:dyDescent="0.4">
      <c r="A13" s="49"/>
      <c r="B13" s="49"/>
      <c r="C13" s="50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49"/>
      <c r="U13" s="49"/>
      <c r="V13" s="49"/>
      <c r="W13" s="49"/>
      <c r="X13" s="51"/>
      <c r="Y13" s="49"/>
      <c r="Z13" s="49"/>
      <c r="AA13" s="52"/>
      <c r="AB13" s="52"/>
      <c r="AC13" s="51"/>
      <c r="AD13" s="51"/>
      <c r="AE13" s="51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</row>
    <row r="14" spans="1:337" x14ac:dyDescent="0.35">
      <c r="A14" s="41" t="s">
        <v>31</v>
      </c>
      <c r="B14" s="41" t="s">
        <v>32</v>
      </c>
      <c r="C14" s="42">
        <v>46101</v>
      </c>
      <c r="D14" s="43">
        <v>0</v>
      </c>
      <c r="E14" s="43">
        <v>20</v>
      </c>
      <c r="F14" s="43">
        <v>20</v>
      </c>
      <c r="G14" s="43">
        <v>28</v>
      </c>
      <c r="H14" s="43">
        <v>40</v>
      </c>
      <c r="I14" s="43">
        <v>10</v>
      </c>
      <c r="J14" s="43">
        <v>21449</v>
      </c>
      <c r="K14" s="43">
        <f>SUM(L14:L16)</f>
        <v>6</v>
      </c>
      <c r="L14" s="43">
        <v>2</v>
      </c>
      <c r="M14" s="43"/>
      <c r="N14" s="43">
        <v>4</v>
      </c>
      <c r="O14" s="43">
        <v>3</v>
      </c>
      <c r="P14" s="43">
        <v>7</v>
      </c>
      <c r="Q14" s="43">
        <v>6</v>
      </c>
      <c r="R14" s="43">
        <v>9</v>
      </c>
      <c r="S14" s="43">
        <v>9</v>
      </c>
      <c r="T14" s="43">
        <v>25</v>
      </c>
      <c r="U14" s="43">
        <v>4</v>
      </c>
      <c r="V14" s="41" t="s">
        <v>33</v>
      </c>
      <c r="W14" s="41" t="s">
        <v>34</v>
      </c>
      <c r="X14" s="41">
        <v>1</v>
      </c>
      <c r="Y14" s="41">
        <v>3</v>
      </c>
      <c r="Z14" s="41">
        <v>322</v>
      </c>
      <c r="AA14" s="44">
        <v>34</v>
      </c>
      <c r="AB14" s="44">
        <v>34</v>
      </c>
      <c r="AC14" s="43">
        <v>45</v>
      </c>
      <c r="AD14" s="43">
        <v>30</v>
      </c>
      <c r="AE14" s="43">
        <v>45</v>
      </c>
    </row>
    <row r="15" spans="1:337" x14ac:dyDescent="0.35">
      <c r="A15" s="32" t="s">
        <v>31</v>
      </c>
      <c r="B15" s="32" t="s">
        <v>35</v>
      </c>
      <c r="C15" s="33">
        <v>46101</v>
      </c>
      <c r="D15" s="34">
        <v>13</v>
      </c>
      <c r="E15" s="34">
        <v>24</v>
      </c>
      <c r="F15" s="34">
        <v>25</v>
      </c>
      <c r="G15" s="141"/>
      <c r="H15" s="141"/>
      <c r="I15" s="141"/>
      <c r="J15" s="141"/>
      <c r="K15" s="141"/>
      <c r="L15" s="34">
        <v>2</v>
      </c>
      <c r="M15" s="34">
        <v>5</v>
      </c>
      <c r="N15" s="34">
        <v>4</v>
      </c>
      <c r="O15" s="34">
        <v>4</v>
      </c>
      <c r="P15" s="32">
        <v>7</v>
      </c>
      <c r="Q15" s="32">
        <v>7</v>
      </c>
      <c r="R15" s="32">
        <v>8</v>
      </c>
      <c r="S15" s="32">
        <v>6</v>
      </c>
      <c r="T15" s="143"/>
      <c r="U15" s="143"/>
      <c r="V15" s="32" t="s">
        <v>36</v>
      </c>
      <c r="W15" s="32" t="s">
        <v>37</v>
      </c>
      <c r="X15" s="32">
        <v>1</v>
      </c>
      <c r="Y15" s="143"/>
      <c r="Z15" s="143"/>
      <c r="AA15" s="145"/>
      <c r="AB15" s="145"/>
      <c r="AC15" s="141"/>
      <c r="AD15" s="141"/>
      <c r="AE15" s="141"/>
    </row>
    <row r="16" spans="1:337" ht="15" thickBot="1" x14ac:dyDescent="0.4">
      <c r="A16" s="45" t="s">
        <v>31</v>
      </c>
      <c r="B16" s="45" t="s">
        <v>38</v>
      </c>
      <c r="C16" s="46">
        <v>46101</v>
      </c>
      <c r="D16" s="47"/>
      <c r="E16" s="47"/>
      <c r="F16" s="47"/>
      <c r="G16" s="142"/>
      <c r="H16" s="142"/>
      <c r="I16" s="142"/>
      <c r="J16" s="142"/>
      <c r="K16" s="142"/>
      <c r="L16" s="47">
        <v>2</v>
      </c>
      <c r="M16" s="47"/>
      <c r="N16" s="47"/>
      <c r="O16" s="47"/>
      <c r="P16" s="47"/>
      <c r="Q16" s="47"/>
      <c r="R16" s="47"/>
      <c r="S16" s="47"/>
      <c r="T16" s="144"/>
      <c r="U16" s="144"/>
      <c r="V16" s="45"/>
      <c r="W16" s="45"/>
      <c r="X16" s="47"/>
      <c r="Y16" s="144"/>
      <c r="Z16" s="144"/>
      <c r="AA16" s="146"/>
      <c r="AB16" s="146"/>
      <c r="AC16" s="142"/>
      <c r="AD16" s="142"/>
      <c r="AE16" s="142"/>
    </row>
    <row r="17" spans="1:337" s="53" customFormat="1" ht="15" thickBot="1" x14ac:dyDescent="0.4">
      <c r="A17" s="49"/>
      <c r="B17" s="49"/>
      <c r="C17" s="50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49"/>
      <c r="U17" s="49"/>
      <c r="V17" s="49"/>
      <c r="W17" s="49"/>
      <c r="X17" s="51"/>
      <c r="Y17" s="49"/>
      <c r="Z17" s="49"/>
      <c r="AA17" s="52"/>
      <c r="AB17" s="52"/>
      <c r="AC17" s="51"/>
      <c r="AD17" s="51"/>
      <c r="AE17" s="51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</row>
    <row r="18" spans="1:337" x14ac:dyDescent="0.35">
      <c r="A18" s="41" t="s">
        <v>31</v>
      </c>
      <c r="B18" s="41" t="s">
        <v>32</v>
      </c>
      <c r="C18" s="42">
        <v>46102</v>
      </c>
      <c r="D18" s="43">
        <v>0</v>
      </c>
      <c r="E18" s="43">
        <v>20</v>
      </c>
      <c r="F18" s="43">
        <v>20</v>
      </c>
      <c r="G18" s="43">
        <v>28</v>
      </c>
      <c r="H18" s="43">
        <v>40</v>
      </c>
      <c r="I18" s="43">
        <v>10</v>
      </c>
      <c r="J18" s="43">
        <v>21449</v>
      </c>
      <c r="K18" s="43">
        <f>SUM(L18:L20)</f>
        <v>6</v>
      </c>
      <c r="L18" s="43">
        <v>2</v>
      </c>
      <c r="M18" s="43"/>
      <c r="N18" s="43">
        <v>4</v>
      </c>
      <c r="O18" s="43">
        <v>3</v>
      </c>
      <c r="P18" s="43">
        <v>7</v>
      </c>
      <c r="Q18" s="43">
        <v>6</v>
      </c>
      <c r="R18" s="43">
        <v>9</v>
      </c>
      <c r="S18" s="43">
        <v>9</v>
      </c>
      <c r="T18" s="43">
        <v>25</v>
      </c>
      <c r="U18" s="43">
        <v>4</v>
      </c>
      <c r="V18" s="41" t="s">
        <v>33</v>
      </c>
      <c r="W18" s="41" t="s">
        <v>34</v>
      </c>
      <c r="X18" s="41">
        <v>1</v>
      </c>
      <c r="Y18" s="41">
        <v>3</v>
      </c>
      <c r="Z18" s="41">
        <v>322</v>
      </c>
      <c r="AA18" s="44">
        <v>34</v>
      </c>
      <c r="AB18" s="44">
        <v>34</v>
      </c>
      <c r="AC18" s="43">
        <v>45</v>
      </c>
      <c r="AD18" s="43">
        <v>30</v>
      </c>
      <c r="AE18" s="43">
        <v>45</v>
      </c>
    </row>
    <row r="19" spans="1:337" x14ac:dyDescent="0.35">
      <c r="A19" s="32" t="s">
        <v>31</v>
      </c>
      <c r="B19" s="32" t="s">
        <v>35</v>
      </c>
      <c r="C19" s="33">
        <v>46102</v>
      </c>
      <c r="D19" s="34">
        <v>13</v>
      </c>
      <c r="E19" s="34">
        <v>24</v>
      </c>
      <c r="F19" s="34">
        <v>25</v>
      </c>
      <c r="G19" s="141"/>
      <c r="H19" s="141"/>
      <c r="I19" s="141"/>
      <c r="J19" s="141"/>
      <c r="K19" s="141"/>
      <c r="L19" s="34">
        <v>2</v>
      </c>
      <c r="M19" s="34">
        <v>5</v>
      </c>
      <c r="N19" s="34">
        <v>4</v>
      </c>
      <c r="O19" s="34">
        <v>4</v>
      </c>
      <c r="P19" s="32">
        <v>7</v>
      </c>
      <c r="Q19" s="32">
        <v>7</v>
      </c>
      <c r="R19" s="32">
        <v>8</v>
      </c>
      <c r="S19" s="32">
        <v>6</v>
      </c>
      <c r="T19" s="143"/>
      <c r="U19" s="143"/>
      <c r="V19" s="32" t="s">
        <v>36</v>
      </c>
      <c r="W19" s="32" t="s">
        <v>37</v>
      </c>
      <c r="X19" s="32">
        <v>1</v>
      </c>
      <c r="Y19" s="143"/>
      <c r="Z19" s="143"/>
      <c r="AA19" s="145"/>
      <c r="AB19" s="145"/>
      <c r="AC19" s="141"/>
      <c r="AD19" s="141"/>
      <c r="AE19" s="141"/>
    </row>
    <row r="20" spans="1:337" ht="15" thickBot="1" x14ac:dyDescent="0.4">
      <c r="A20" s="45" t="s">
        <v>31</v>
      </c>
      <c r="B20" s="45" t="s">
        <v>38</v>
      </c>
      <c r="C20" s="46">
        <v>46102</v>
      </c>
      <c r="D20" s="47"/>
      <c r="E20" s="47"/>
      <c r="F20" s="47"/>
      <c r="G20" s="142"/>
      <c r="H20" s="142"/>
      <c r="I20" s="142"/>
      <c r="J20" s="142"/>
      <c r="K20" s="142"/>
      <c r="L20" s="47">
        <v>2</v>
      </c>
      <c r="M20" s="47"/>
      <c r="N20" s="47"/>
      <c r="O20" s="47"/>
      <c r="P20" s="47"/>
      <c r="Q20" s="47"/>
      <c r="R20" s="47"/>
      <c r="S20" s="47"/>
      <c r="T20" s="144"/>
      <c r="U20" s="144"/>
      <c r="V20" s="45"/>
      <c r="W20" s="45"/>
      <c r="X20" s="47"/>
      <c r="Y20" s="144"/>
      <c r="Z20" s="144"/>
      <c r="AA20" s="146"/>
      <c r="AB20" s="146"/>
      <c r="AC20" s="142"/>
      <c r="AD20" s="142"/>
      <c r="AE20" s="142"/>
    </row>
    <row r="21" spans="1:337" s="53" customFormat="1" ht="15" thickBot="1" x14ac:dyDescent="0.4">
      <c r="A21" s="49"/>
      <c r="B21" s="49"/>
      <c r="C21" s="50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49"/>
      <c r="U21" s="49"/>
      <c r="V21" s="49"/>
      <c r="W21" s="49"/>
      <c r="X21" s="51"/>
      <c r="Y21" s="49"/>
      <c r="Z21" s="49"/>
      <c r="AA21" s="52"/>
      <c r="AB21" s="52"/>
      <c r="AC21" s="51"/>
      <c r="AD21" s="51"/>
      <c r="AE21" s="5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</row>
    <row r="22" spans="1:337" x14ac:dyDescent="0.35">
      <c r="A22" s="41" t="s">
        <v>31</v>
      </c>
      <c r="B22" s="41" t="s">
        <v>32</v>
      </c>
      <c r="C22" s="42">
        <v>46103</v>
      </c>
      <c r="D22" s="43">
        <v>0</v>
      </c>
      <c r="E22" s="43">
        <v>20</v>
      </c>
      <c r="F22" s="43">
        <v>20</v>
      </c>
      <c r="G22" s="43">
        <v>28</v>
      </c>
      <c r="H22" s="43">
        <v>40</v>
      </c>
      <c r="I22" s="43">
        <v>10</v>
      </c>
      <c r="J22" s="43">
        <v>21449</v>
      </c>
      <c r="K22" s="43">
        <f>SUM(L22:L24)</f>
        <v>6</v>
      </c>
      <c r="L22" s="43">
        <v>2</v>
      </c>
      <c r="M22" s="43"/>
      <c r="N22" s="43">
        <v>4</v>
      </c>
      <c r="O22" s="43">
        <v>3</v>
      </c>
      <c r="P22" s="43">
        <v>7</v>
      </c>
      <c r="Q22" s="43">
        <v>6</v>
      </c>
      <c r="R22" s="43">
        <v>9</v>
      </c>
      <c r="S22" s="43">
        <v>9</v>
      </c>
      <c r="T22" s="43">
        <v>25</v>
      </c>
      <c r="U22" s="43">
        <v>4</v>
      </c>
      <c r="V22" s="41" t="s">
        <v>33</v>
      </c>
      <c r="W22" s="41" t="s">
        <v>34</v>
      </c>
      <c r="X22" s="41">
        <v>1</v>
      </c>
      <c r="Y22" s="41">
        <v>3</v>
      </c>
      <c r="Z22" s="41">
        <v>322</v>
      </c>
      <c r="AA22" s="44">
        <v>34</v>
      </c>
      <c r="AB22" s="44">
        <v>34</v>
      </c>
      <c r="AC22" s="43">
        <v>45</v>
      </c>
      <c r="AD22" s="43">
        <v>30</v>
      </c>
      <c r="AE22" s="43">
        <v>45</v>
      </c>
    </row>
    <row r="23" spans="1:337" x14ac:dyDescent="0.35">
      <c r="A23" s="32" t="s">
        <v>31</v>
      </c>
      <c r="B23" s="32" t="s">
        <v>35</v>
      </c>
      <c r="C23" s="33">
        <v>46103</v>
      </c>
      <c r="D23" s="34">
        <v>13</v>
      </c>
      <c r="E23" s="34">
        <v>24</v>
      </c>
      <c r="F23" s="34">
        <v>25</v>
      </c>
      <c r="G23" s="141"/>
      <c r="H23" s="141"/>
      <c r="I23" s="141"/>
      <c r="J23" s="141"/>
      <c r="K23" s="141"/>
      <c r="L23" s="34">
        <v>2</v>
      </c>
      <c r="M23" s="34">
        <v>5</v>
      </c>
      <c r="N23" s="34">
        <v>4</v>
      </c>
      <c r="O23" s="34">
        <v>4</v>
      </c>
      <c r="P23" s="32">
        <v>7</v>
      </c>
      <c r="Q23" s="32">
        <v>7</v>
      </c>
      <c r="R23" s="32">
        <v>8</v>
      </c>
      <c r="S23" s="32">
        <v>6</v>
      </c>
      <c r="T23" s="143"/>
      <c r="U23" s="143"/>
      <c r="V23" s="32" t="s">
        <v>36</v>
      </c>
      <c r="W23" s="32" t="s">
        <v>37</v>
      </c>
      <c r="X23" s="32">
        <v>1</v>
      </c>
      <c r="Y23" s="143"/>
      <c r="Z23" s="143"/>
      <c r="AA23" s="145"/>
      <c r="AB23" s="145"/>
      <c r="AC23" s="141"/>
      <c r="AD23" s="141"/>
      <c r="AE23" s="141"/>
    </row>
    <row r="24" spans="1:337" ht="15" thickBot="1" x14ac:dyDescent="0.4">
      <c r="A24" s="45" t="s">
        <v>31</v>
      </c>
      <c r="B24" s="45" t="s">
        <v>38</v>
      </c>
      <c r="C24" s="46">
        <v>46103</v>
      </c>
      <c r="D24" s="47"/>
      <c r="E24" s="47"/>
      <c r="F24" s="47"/>
      <c r="G24" s="142"/>
      <c r="H24" s="142"/>
      <c r="I24" s="142"/>
      <c r="J24" s="142"/>
      <c r="K24" s="142"/>
      <c r="L24" s="47">
        <v>2</v>
      </c>
      <c r="M24" s="47"/>
      <c r="N24" s="47"/>
      <c r="O24" s="47"/>
      <c r="P24" s="47"/>
      <c r="Q24" s="47"/>
      <c r="R24" s="47"/>
      <c r="S24" s="47"/>
      <c r="T24" s="144"/>
      <c r="U24" s="144"/>
      <c r="V24" s="45"/>
      <c r="W24" s="45"/>
      <c r="X24" s="47"/>
      <c r="Y24" s="144"/>
      <c r="Z24" s="144"/>
      <c r="AA24" s="146"/>
      <c r="AB24" s="146"/>
      <c r="AC24" s="142"/>
      <c r="AD24" s="142"/>
      <c r="AE24" s="142"/>
    </row>
    <row r="25" spans="1:337" s="53" customFormat="1" ht="15" thickBot="1" x14ac:dyDescent="0.4">
      <c r="A25" s="49"/>
      <c r="B25" s="49"/>
      <c r="C25" s="50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49"/>
      <c r="U25" s="49"/>
      <c r="V25" s="49"/>
      <c r="W25" s="49"/>
      <c r="X25" s="51"/>
      <c r="Y25" s="49"/>
      <c r="Z25" s="49"/>
      <c r="AA25" s="52"/>
      <c r="AB25" s="52"/>
      <c r="AC25" s="51"/>
      <c r="AD25" s="51"/>
      <c r="AE25" s="51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</row>
    <row r="26" spans="1:337" x14ac:dyDescent="0.35">
      <c r="A26" s="41" t="s">
        <v>31</v>
      </c>
      <c r="B26" s="41" t="s">
        <v>32</v>
      </c>
      <c r="C26" s="42">
        <v>46104</v>
      </c>
      <c r="D26" s="43">
        <v>0</v>
      </c>
      <c r="E26" s="43">
        <v>20</v>
      </c>
      <c r="F26" s="43">
        <v>20</v>
      </c>
      <c r="G26" s="43">
        <v>28</v>
      </c>
      <c r="H26" s="43">
        <v>40</v>
      </c>
      <c r="I26" s="43">
        <v>10</v>
      </c>
      <c r="J26" s="43">
        <v>21449</v>
      </c>
      <c r="K26" s="43">
        <f>SUM(L26:L28)</f>
        <v>6</v>
      </c>
      <c r="L26" s="43">
        <v>2</v>
      </c>
      <c r="M26" s="43"/>
      <c r="N26" s="43">
        <v>4</v>
      </c>
      <c r="O26" s="43">
        <v>3</v>
      </c>
      <c r="P26" s="43">
        <v>7</v>
      </c>
      <c r="Q26" s="43">
        <v>6</v>
      </c>
      <c r="R26" s="43">
        <v>9</v>
      </c>
      <c r="S26" s="43">
        <v>9</v>
      </c>
      <c r="T26" s="43">
        <v>20</v>
      </c>
      <c r="U26" s="43">
        <v>3</v>
      </c>
      <c r="V26" s="41" t="s">
        <v>33</v>
      </c>
      <c r="W26" s="41" t="s">
        <v>34</v>
      </c>
      <c r="X26" s="41">
        <v>1</v>
      </c>
      <c r="Y26" s="41">
        <v>3</v>
      </c>
      <c r="Z26" s="41">
        <v>322</v>
      </c>
      <c r="AA26" s="44">
        <v>34</v>
      </c>
      <c r="AB26" s="44">
        <v>34</v>
      </c>
      <c r="AC26" s="43">
        <v>45</v>
      </c>
      <c r="AD26" s="43">
        <v>30</v>
      </c>
      <c r="AE26" s="43">
        <v>45</v>
      </c>
    </row>
    <row r="27" spans="1:337" x14ac:dyDescent="0.35">
      <c r="A27" s="32" t="s">
        <v>31</v>
      </c>
      <c r="B27" s="32" t="s">
        <v>35</v>
      </c>
      <c r="C27" s="33">
        <v>46104</v>
      </c>
      <c r="D27" s="34">
        <v>13</v>
      </c>
      <c r="E27" s="34">
        <v>24</v>
      </c>
      <c r="F27" s="34">
        <v>25</v>
      </c>
      <c r="G27" s="141"/>
      <c r="H27" s="141"/>
      <c r="I27" s="141"/>
      <c r="J27" s="141"/>
      <c r="K27" s="141"/>
      <c r="L27" s="34">
        <v>2</v>
      </c>
      <c r="M27" s="34">
        <v>5</v>
      </c>
      <c r="N27" s="34">
        <v>4</v>
      </c>
      <c r="O27" s="34">
        <v>4</v>
      </c>
      <c r="P27" s="32">
        <v>7</v>
      </c>
      <c r="Q27" s="32">
        <v>7</v>
      </c>
      <c r="R27" s="32">
        <v>8</v>
      </c>
      <c r="S27" s="32">
        <v>6</v>
      </c>
      <c r="T27" s="143"/>
      <c r="U27" s="143"/>
      <c r="V27" s="32" t="s">
        <v>36</v>
      </c>
      <c r="W27" s="32" t="s">
        <v>37</v>
      </c>
      <c r="X27" s="32">
        <v>1</v>
      </c>
      <c r="Y27" s="143"/>
      <c r="Z27" s="143"/>
      <c r="AA27" s="145"/>
      <c r="AB27" s="145"/>
      <c r="AC27" s="141"/>
      <c r="AD27" s="141"/>
      <c r="AE27" s="141"/>
    </row>
    <row r="28" spans="1:337" ht="15" thickBot="1" x14ac:dyDescent="0.4">
      <c r="A28" s="45" t="s">
        <v>31</v>
      </c>
      <c r="B28" s="45" t="s">
        <v>38</v>
      </c>
      <c r="C28" s="46">
        <v>46104</v>
      </c>
      <c r="D28" s="47"/>
      <c r="E28" s="47"/>
      <c r="F28" s="47"/>
      <c r="G28" s="142"/>
      <c r="H28" s="142"/>
      <c r="I28" s="142"/>
      <c r="J28" s="142"/>
      <c r="K28" s="142"/>
      <c r="L28" s="47">
        <v>2</v>
      </c>
      <c r="M28" s="47"/>
      <c r="N28" s="47"/>
      <c r="O28" s="47"/>
      <c r="P28" s="47"/>
      <c r="Q28" s="47"/>
      <c r="R28" s="47"/>
      <c r="S28" s="47"/>
      <c r="T28" s="144"/>
      <c r="U28" s="144"/>
      <c r="V28" s="45"/>
      <c r="W28" s="45"/>
      <c r="X28" s="47"/>
      <c r="Y28" s="144"/>
      <c r="Z28" s="144"/>
      <c r="AA28" s="146"/>
      <c r="AB28" s="146"/>
      <c r="AC28" s="142"/>
      <c r="AD28" s="142"/>
      <c r="AE28" s="142"/>
    </row>
    <row r="29" spans="1:337" s="53" customFormat="1" ht="15" thickBot="1" x14ac:dyDescent="0.4">
      <c r="A29" s="49"/>
      <c r="B29" s="49"/>
      <c r="C29" s="50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49"/>
      <c r="U29" s="49"/>
      <c r="V29" s="49"/>
      <c r="W29" s="49"/>
      <c r="X29" s="51"/>
      <c r="Y29" s="49"/>
      <c r="Z29" s="49"/>
      <c r="AA29" s="52"/>
      <c r="AB29" s="52"/>
      <c r="AC29" s="51"/>
      <c r="AD29" s="51"/>
      <c r="AE29" s="51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</row>
    <row r="30" spans="1:337" x14ac:dyDescent="0.35">
      <c r="A30" s="41" t="s">
        <v>31</v>
      </c>
      <c r="B30" s="41" t="s">
        <v>32</v>
      </c>
      <c r="C30" s="42">
        <v>46105</v>
      </c>
      <c r="D30" s="43">
        <v>0</v>
      </c>
      <c r="E30" s="43">
        <v>20</v>
      </c>
      <c r="F30" s="43">
        <v>20</v>
      </c>
      <c r="G30" s="43">
        <v>28</v>
      </c>
      <c r="H30" s="43">
        <v>40</v>
      </c>
      <c r="I30" s="43">
        <v>10</v>
      </c>
      <c r="J30" s="43">
        <v>21449</v>
      </c>
      <c r="K30" s="43">
        <f>SUM(L30:L32)</f>
        <v>6</v>
      </c>
      <c r="L30" s="43">
        <v>2</v>
      </c>
      <c r="M30" s="43"/>
      <c r="N30" s="43">
        <v>4</v>
      </c>
      <c r="O30" s="43">
        <v>3</v>
      </c>
      <c r="P30" s="43">
        <v>7</v>
      </c>
      <c r="Q30" s="43">
        <v>6</v>
      </c>
      <c r="R30" s="43">
        <v>9</v>
      </c>
      <c r="S30" s="43">
        <v>9</v>
      </c>
      <c r="T30" s="43">
        <v>25</v>
      </c>
      <c r="U30" s="43">
        <v>4</v>
      </c>
      <c r="V30" s="41" t="s">
        <v>33</v>
      </c>
      <c r="W30" s="41" t="s">
        <v>34</v>
      </c>
      <c r="X30" s="41">
        <v>1</v>
      </c>
      <c r="Y30" s="41">
        <v>3</v>
      </c>
      <c r="Z30" s="41">
        <v>322</v>
      </c>
      <c r="AA30" s="44">
        <v>34</v>
      </c>
      <c r="AB30" s="44">
        <v>34</v>
      </c>
      <c r="AC30" s="43">
        <v>45</v>
      </c>
      <c r="AD30" s="43">
        <v>30</v>
      </c>
      <c r="AE30" s="43">
        <v>45</v>
      </c>
    </row>
    <row r="31" spans="1:337" x14ac:dyDescent="0.35">
      <c r="A31" s="32" t="s">
        <v>31</v>
      </c>
      <c r="B31" s="32" t="s">
        <v>35</v>
      </c>
      <c r="C31" s="33">
        <v>46105</v>
      </c>
      <c r="D31" s="34">
        <v>13</v>
      </c>
      <c r="E31" s="34">
        <v>24</v>
      </c>
      <c r="F31" s="34">
        <v>25</v>
      </c>
      <c r="G31" s="141"/>
      <c r="H31" s="141"/>
      <c r="I31" s="141"/>
      <c r="J31" s="141"/>
      <c r="K31" s="141"/>
      <c r="L31" s="34">
        <v>2</v>
      </c>
      <c r="M31" s="34">
        <v>5</v>
      </c>
      <c r="N31" s="34">
        <v>4</v>
      </c>
      <c r="O31" s="34">
        <v>4</v>
      </c>
      <c r="P31" s="32">
        <v>7</v>
      </c>
      <c r="Q31" s="32">
        <v>7</v>
      </c>
      <c r="R31" s="32">
        <v>8</v>
      </c>
      <c r="S31" s="32">
        <v>6</v>
      </c>
      <c r="T31" s="143"/>
      <c r="U31" s="143"/>
      <c r="V31" s="32" t="s">
        <v>36</v>
      </c>
      <c r="W31" s="32" t="s">
        <v>37</v>
      </c>
      <c r="X31" s="32">
        <v>1</v>
      </c>
      <c r="Y31" s="143"/>
      <c r="Z31" s="143"/>
      <c r="AA31" s="145"/>
      <c r="AB31" s="145"/>
      <c r="AC31" s="141"/>
      <c r="AD31" s="141"/>
      <c r="AE31" s="141"/>
    </row>
    <row r="32" spans="1:337" ht="15" thickBot="1" x14ac:dyDescent="0.4">
      <c r="A32" s="45" t="s">
        <v>31</v>
      </c>
      <c r="B32" s="45" t="s">
        <v>38</v>
      </c>
      <c r="C32" s="46">
        <v>46105</v>
      </c>
      <c r="D32" s="47"/>
      <c r="E32" s="47"/>
      <c r="F32" s="47"/>
      <c r="G32" s="142"/>
      <c r="H32" s="142"/>
      <c r="I32" s="142"/>
      <c r="J32" s="142"/>
      <c r="K32" s="142"/>
      <c r="L32" s="47">
        <v>2</v>
      </c>
      <c r="M32" s="47"/>
      <c r="N32" s="47"/>
      <c r="O32" s="47"/>
      <c r="P32" s="47"/>
      <c r="Q32" s="47"/>
      <c r="R32" s="47"/>
      <c r="S32" s="47"/>
      <c r="T32" s="144"/>
      <c r="U32" s="144"/>
      <c r="V32" s="45"/>
      <c r="W32" s="45"/>
      <c r="X32" s="47"/>
      <c r="Y32" s="144"/>
      <c r="Z32" s="144"/>
      <c r="AA32" s="146"/>
      <c r="AB32" s="146"/>
      <c r="AC32" s="142"/>
      <c r="AD32" s="142"/>
      <c r="AE32" s="142"/>
    </row>
    <row r="33" spans="1:337" s="53" customFormat="1" ht="15" thickBot="1" x14ac:dyDescent="0.4">
      <c r="A33" s="49"/>
      <c r="B33" s="49"/>
      <c r="C33" s="50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49"/>
      <c r="U33" s="49"/>
      <c r="V33" s="49"/>
      <c r="W33" s="49"/>
      <c r="X33" s="51"/>
      <c r="Y33" s="49"/>
      <c r="Z33" s="49"/>
      <c r="AA33" s="52"/>
      <c r="AB33" s="52"/>
      <c r="AC33" s="51"/>
      <c r="AD33" s="51"/>
      <c r="AE33" s="51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</row>
    <row r="34" spans="1:337" x14ac:dyDescent="0.35">
      <c r="A34" s="41" t="s">
        <v>31</v>
      </c>
      <c r="B34" s="41" t="s">
        <v>32</v>
      </c>
      <c r="C34" s="42">
        <v>46106</v>
      </c>
      <c r="D34" s="43">
        <v>0</v>
      </c>
      <c r="E34" s="43">
        <v>20</v>
      </c>
      <c r="F34" s="43">
        <v>20</v>
      </c>
      <c r="G34" s="43">
        <v>28</v>
      </c>
      <c r="H34" s="43">
        <v>40</v>
      </c>
      <c r="I34" s="43">
        <v>10</v>
      </c>
      <c r="J34" s="43">
        <v>21449</v>
      </c>
      <c r="K34" s="43">
        <f>SUM(L34:L36)</f>
        <v>6</v>
      </c>
      <c r="L34" s="43">
        <v>2</v>
      </c>
      <c r="M34" s="43"/>
      <c r="N34" s="43">
        <v>4</v>
      </c>
      <c r="O34" s="43">
        <v>3</v>
      </c>
      <c r="P34" s="43">
        <v>7</v>
      </c>
      <c r="Q34" s="43">
        <v>6</v>
      </c>
      <c r="R34" s="43">
        <v>9</v>
      </c>
      <c r="S34" s="43">
        <v>9</v>
      </c>
      <c r="T34" s="43">
        <v>25</v>
      </c>
      <c r="U34" s="43">
        <v>4</v>
      </c>
      <c r="V34" s="41" t="s">
        <v>33</v>
      </c>
      <c r="W34" s="41" t="s">
        <v>34</v>
      </c>
      <c r="X34" s="41">
        <v>1</v>
      </c>
      <c r="Y34" s="41">
        <v>3</v>
      </c>
      <c r="Z34" s="41">
        <v>322</v>
      </c>
      <c r="AA34" s="44">
        <v>34</v>
      </c>
      <c r="AB34" s="44">
        <v>34</v>
      </c>
      <c r="AC34" s="43">
        <v>45</v>
      </c>
      <c r="AD34" s="43">
        <v>30</v>
      </c>
      <c r="AE34" s="43">
        <v>45</v>
      </c>
    </row>
    <row r="35" spans="1:337" x14ac:dyDescent="0.35">
      <c r="A35" s="32" t="s">
        <v>31</v>
      </c>
      <c r="B35" s="32" t="s">
        <v>35</v>
      </c>
      <c r="C35" s="33">
        <v>46106</v>
      </c>
      <c r="D35" s="34">
        <v>13</v>
      </c>
      <c r="E35" s="34">
        <v>24</v>
      </c>
      <c r="F35" s="34">
        <v>25</v>
      </c>
      <c r="G35" s="141"/>
      <c r="H35" s="141"/>
      <c r="I35" s="141"/>
      <c r="J35" s="141"/>
      <c r="K35" s="141"/>
      <c r="L35" s="34">
        <v>2</v>
      </c>
      <c r="M35" s="34">
        <v>5</v>
      </c>
      <c r="N35" s="34">
        <v>4</v>
      </c>
      <c r="O35" s="34">
        <v>4</v>
      </c>
      <c r="P35" s="32">
        <v>7</v>
      </c>
      <c r="Q35" s="32">
        <v>7</v>
      </c>
      <c r="R35" s="32">
        <v>8</v>
      </c>
      <c r="S35" s="32">
        <v>6</v>
      </c>
      <c r="T35" s="143"/>
      <c r="U35" s="143"/>
      <c r="V35" s="32" t="s">
        <v>36</v>
      </c>
      <c r="W35" s="32" t="s">
        <v>37</v>
      </c>
      <c r="X35" s="32">
        <v>1</v>
      </c>
      <c r="Y35" s="143"/>
      <c r="Z35" s="143"/>
      <c r="AA35" s="145"/>
      <c r="AB35" s="145"/>
      <c r="AC35" s="141"/>
      <c r="AD35" s="141"/>
      <c r="AE35" s="141"/>
    </row>
    <row r="36" spans="1:337" ht="15" thickBot="1" x14ac:dyDescent="0.4">
      <c r="A36" s="45" t="s">
        <v>31</v>
      </c>
      <c r="B36" s="45" t="s">
        <v>38</v>
      </c>
      <c r="C36" s="46">
        <v>46106</v>
      </c>
      <c r="D36" s="47"/>
      <c r="E36" s="47"/>
      <c r="F36" s="47"/>
      <c r="G36" s="142"/>
      <c r="H36" s="142"/>
      <c r="I36" s="142"/>
      <c r="J36" s="142"/>
      <c r="K36" s="142"/>
      <c r="L36" s="47">
        <v>2</v>
      </c>
      <c r="M36" s="47"/>
      <c r="N36" s="47"/>
      <c r="O36" s="47"/>
      <c r="P36" s="47"/>
      <c r="Q36" s="47"/>
      <c r="R36" s="47"/>
      <c r="S36" s="47"/>
      <c r="T36" s="144"/>
      <c r="U36" s="144"/>
      <c r="V36" s="45"/>
      <c r="W36" s="45"/>
      <c r="X36" s="47"/>
      <c r="Y36" s="144"/>
      <c r="Z36" s="144"/>
      <c r="AA36" s="146"/>
      <c r="AB36" s="146"/>
      <c r="AC36" s="142"/>
      <c r="AD36" s="142"/>
      <c r="AE36" s="142"/>
    </row>
    <row r="37" spans="1:337" s="53" customFormat="1" ht="15" thickBot="1" x14ac:dyDescent="0.4">
      <c r="A37" s="49"/>
      <c r="B37" s="49"/>
      <c r="C37" s="50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49"/>
      <c r="U37" s="49"/>
      <c r="V37" s="49"/>
      <c r="W37" s="49"/>
      <c r="X37" s="51"/>
      <c r="Y37" s="49"/>
      <c r="Z37" s="49"/>
      <c r="AA37" s="52"/>
      <c r="AB37" s="52"/>
      <c r="AC37" s="51"/>
      <c r="AD37" s="51"/>
      <c r="AE37" s="51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</row>
    <row r="38" spans="1:337" x14ac:dyDescent="0.35">
      <c r="A38" s="41" t="s">
        <v>31</v>
      </c>
      <c r="B38" s="41" t="s">
        <v>32</v>
      </c>
      <c r="C38" s="42">
        <v>46107</v>
      </c>
      <c r="D38" s="43">
        <v>55</v>
      </c>
      <c r="E38" s="43">
        <v>20</v>
      </c>
      <c r="F38" s="43">
        <v>20</v>
      </c>
      <c r="G38" s="43">
        <v>28</v>
      </c>
      <c r="H38" s="43">
        <v>40</v>
      </c>
      <c r="I38" s="43">
        <v>10</v>
      </c>
      <c r="J38" s="43">
        <v>21449</v>
      </c>
      <c r="K38" s="43">
        <f>SUM(L38:L40)</f>
        <v>1178</v>
      </c>
      <c r="L38" s="43">
        <v>108</v>
      </c>
      <c r="M38" s="43">
        <v>123</v>
      </c>
      <c r="N38" s="43">
        <v>32</v>
      </c>
      <c r="O38" s="43">
        <v>236</v>
      </c>
      <c r="P38" s="43">
        <v>353</v>
      </c>
      <c r="Q38" s="43">
        <v>5</v>
      </c>
      <c r="R38" s="43">
        <v>21</v>
      </c>
      <c r="S38" s="43">
        <v>345</v>
      </c>
      <c r="T38" s="43">
        <v>66</v>
      </c>
      <c r="U38" s="43">
        <v>44</v>
      </c>
      <c r="V38" s="41" t="s">
        <v>33</v>
      </c>
      <c r="W38" s="41" t="s">
        <v>34</v>
      </c>
      <c r="X38" s="41">
        <v>234</v>
      </c>
      <c r="Y38" s="41">
        <v>42</v>
      </c>
      <c r="Z38" s="41">
        <v>788</v>
      </c>
      <c r="AA38" s="44">
        <v>333</v>
      </c>
      <c r="AB38" s="44">
        <v>1125</v>
      </c>
      <c r="AC38" s="43">
        <v>15678</v>
      </c>
      <c r="AD38" s="43">
        <v>678</v>
      </c>
      <c r="AE38" s="43">
        <v>155</v>
      </c>
    </row>
    <row r="39" spans="1:337" x14ac:dyDescent="0.35">
      <c r="A39" s="32" t="s">
        <v>31</v>
      </c>
      <c r="B39" s="32" t="s">
        <v>35</v>
      </c>
      <c r="C39" s="33">
        <v>46107</v>
      </c>
      <c r="D39" s="34">
        <v>13</v>
      </c>
      <c r="E39" s="34">
        <v>24</v>
      </c>
      <c r="F39" s="34">
        <v>25</v>
      </c>
      <c r="G39" s="141"/>
      <c r="H39" s="141"/>
      <c r="I39" s="141"/>
      <c r="J39" s="141"/>
      <c r="K39" s="141"/>
      <c r="L39" s="34">
        <v>1000</v>
      </c>
      <c r="M39" s="34">
        <v>5</v>
      </c>
      <c r="N39" s="34">
        <v>54</v>
      </c>
      <c r="O39" s="34">
        <v>67967</v>
      </c>
      <c r="P39" s="32">
        <v>32</v>
      </c>
      <c r="Q39" s="32">
        <v>4</v>
      </c>
      <c r="R39" s="32">
        <v>124</v>
      </c>
      <c r="S39" s="32">
        <v>78</v>
      </c>
      <c r="T39" s="143"/>
      <c r="U39" s="143"/>
      <c r="V39" s="32" t="s">
        <v>36</v>
      </c>
      <c r="W39" s="32" t="s">
        <v>37</v>
      </c>
      <c r="X39" s="32">
        <v>2131</v>
      </c>
      <c r="Y39" s="143"/>
      <c r="Z39" s="143"/>
      <c r="AA39" s="145"/>
      <c r="AB39" s="145"/>
      <c r="AC39" s="141"/>
      <c r="AD39" s="141"/>
      <c r="AE39" s="141"/>
    </row>
    <row r="40" spans="1:337" ht="15" thickBot="1" x14ac:dyDescent="0.4">
      <c r="A40" s="45" t="s">
        <v>31</v>
      </c>
      <c r="B40" s="45" t="s">
        <v>38</v>
      </c>
      <c r="C40" s="46">
        <v>46107</v>
      </c>
      <c r="D40" s="47">
        <v>30</v>
      </c>
      <c r="E40" s="47">
        <v>22</v>
      </c>
      <c r="F40" s="47">
        <v>33</v>
      </c>
      <c r="G40" s="142"/>
      <c r="H40" s="142"/>
      <c r="I40" s="142"/>
      <c r="J40" s="142"/>
      <c r="K40" s="142"/>
      <c r="L40" s="47">
        <v>70</v>
      </c>
      <c r="M40" s="47">
        <v>1334</v>
      </c>
      <c r="N40" s="47">
        <v>64</v>
      </c>
      <c r="O40" s="47">
        <v>474</v>
      </c>
      <c r="P40" s="47">
        <v>2</v>
      </c>
      <c r="Q40" s="47">
        <v>67889</v>
      </c>
      <c r="R40" s="47">
        <v>53</v>
      </c>
      <c r="S40" s="47">
        <v>56</v>
      </c>
      <c r="T40" s="144"/>
      <c r="U40" s="144"/>
      <c r="V40" s="45"/>
      <c r="W40" s="45"/>
      <c r="X40" s="47"/>
      <c r="Y40" s="144"/>
      <c r="Z40" s="144"/>
      <c r="AA40" s="146"/>
      <c r="AB40" s="146"/>
      <c r="AC40" s="142"/>
      <c r="AD40" s="142"/>
      <c r="AE40" s="142"/>
    </row>
    <row r="41" spans="1:337" s="53" customFormat="1" ht="15" thickBot="1" x14ac:dyDescent="0.4">
      <c r="A41" s="49"/>
      <c r="B41" s="49"/>
      <c r="C41" s="50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49"/>
      <c r="U41" s="49"/>
      <c r="V41" s="49"/>
      <c r="W41" s="49"/>
      <c r="X41" s="51"/>
      <c r="Y41" s="49"/>
      <c r="Z41" s="49"/>
      <c r="AA41" s="52"/>
      <c r="AB41" s="52"/>
      <c r="AC41" s="51"/>
      <c r="AD41" s="51"/>
      <c r="AE41" s="5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</row>
    <row r="42" spans="1:337" x14ac:dyDescent="0.35">
      <c r="A42" s="41" t="s">
        <v>31</v>
      </c>
      <c r="B42" s="41" t="s">
        <v>32</v>
      </c>
      <c r="C42" s="42">
        <v>46108</v>
      </c>
      <c r="D42" s="43">
        <v>0</v>
      </c>
      <c r="E42" s="43">
        <v>20</v>
      </c>
      <c r="F42" s="43">
        <v>20</v>
      </c>
      <c r="G42" s="43">
        <v>28</v>
      </c>
      <c r="H42" s="43">
        <v>40</v>
      </c>
      <c r="I42" s="43">
        <v>10</v>
      </c>
      <c r="J42" s="43">
        <v>21449</v>
      </c>
      <c r="K42" s="43">
        <f>SUM(L42:L44)</f>
        <v>6</v>
      </c>
      <c r="L42" s="43">
        <v>2</v>
      </c>
      <c r="M42" s="43"/>
      <c r="N42" s="43">
        <v>4</v>
      </c>
      <c r="O42" s="43">
        <v>3</v>
      </c>
      <c r="P42" s="43">
        <v>7</v>
      </c>
      <c r="Q42" s="43">
        <v>6</v>
      </c>
      <c r="R42" s="43">
        <v>9</v>
      </c>
      <c r="S42" s="43">
        <v>9</v>
      </c>
      <c r="T42" s="43">
        <v>25</v>
      </c>
      <c r="U42" s="43">
        <v>4</v>
      </c>
      <c r="V42" s="41" t="s">
        <v>33</v>
      </c>
      <c r="W42" s="41" t="s">
        <v>34</v>
      </c>
      <c r="X42" s="41">
        <v>1</v>
      </c>
      <c r="Y42" s="41">
        <v>3</v>
      </c>
      <c r="Z42" s="41">
        <v>322</v>
      </c>
      <c r="AA42" s="44">
        <v>34</v>
      </c>
      <c r="AB42" s="44">
        <v>34</v>
      </c>
      <c r="AC42" s="43">
        <v>45</v>
      </c>
      <c r="AD42" s="43">
        <v>30</v>
      </c>
      <c r="AE42" s="43">
        <v>45</v>
      </c>
    </row>
    <row r="43" spans="1:337" x14ac:dyDescent="0.35">
      <c r="A43" s="32" t="s">
        <v>31</v>
      </c>
      <c r="B43" s="32" t="s">
        <v>35</v>
      </c>
      <c r="C43" s="33">
        <v>46108</v>
      </c>
      <c r="D43" s="34">
        <v>13</v>
      </c>
      <c r="E43" s="34">
        <v>24</v>
      </c>
      <c r="F43" s="34">
        <v>25</v>
      </c>
      <c r="G43" s="141"/>
      <c r="H43" s="141"/>
      <c r="I43" s="141"/>
      <c r="J43" s="141"/>
      <c r="K43" s="141"/>
      <c r="L43" s="34">
        <v>2</v>
      </c>
      <c r="M43" s="34">
        <v>5</v>
      </c>
      <c r="N43" s="34">
        <v>4</v>
      </c>
      <c r="O43" s="34">
        <v>4</v>
      </c>
      <c r="P43" s="32">
        <v>7</v>
      </c>
      <c r="Q43" s="32">
        <v>7</v>
      </c>
      <c r="R43" s="32">
        <v>8</v>
      </c>
      <c r="S43" s="32">
        <v>6</v>
      </c>
      <c r="T43" s="143"/>
      <c r="U43" s="143"/>
      <c r="V43" s="32" t="s">
        <v>36</v>
      </c>
      <c r="W43" s="32" t="s">
        <v>37</v>
      </c>
      <c r="X43" s="32">
        <v>1</v>
      </c>
      <c r="Y43" s="143"/>
      <c r="Z43" s="143"/>
      <c r="AA43" s="145"/>
      <c r="AB43" s="145"/>
      <c r="AC43" s="141"/>
      <c r="AD43" s="141"/>
      <c r="AE43" s="141"/>
    </row>
    <row r="44" spans="1:337" ht="15" thickBot="1" x14ac:dyDescent="0.4">
      <c r="A44" s="45" t="s">
        <v>31</v>
      </c>
      <c r="B44" s="45" t="s">
        <v>38</v>
      </c>
      <c r="C44" s="46">
        <v>46108</v>
      </c>
      <c r="D44" s="47"/>
      <c r="E44" s="47"/>
      <c r="F44" s="47"/>
      <c r="G44" s="142"/>
      <c r="H44" s="142"/>
      <c r="I44" s="142"/>
      <c r="J44" s="142"/>
      <c r="K44" s="142"/>
      <c r="L44" s="47">
        <v>2</v>
      </c>
      <c r="M44" s="47"/>
      <c r="N44" s="47"/>
      <c r="O44" s="47"/>
      <c r="P44" s="47"/>
      <c r="Q44" s="47"/>
      <c r="R44" s="47"/>
      <c r="S44" s="47"/>
      <c r="T44" s="144"/>
      <c r="U44" s="144"/>
      <c r="V44" s="45"/>
      <c r="W44" s="45"/>
      <c r="X44" s="47"/>
      <c r="Y44" s="144"/>
      <c r="Z44" s="144"/>
      <c r="AA44" s="146"/>
      <c r="AB44" s="146"/>
      <c r="AC44" s="142"/>
      <c r="AD44" s="142"/>
      <c r="AE44" s="142"/>
    </row>
    <row r="45" spans="1:337" s="53" customFormat="1" ht="15" thickBot="1" x14ac:dyDescent="0.4">
      <c r="A45" s="49"/>
      <c r="B45" s="49"/>
      <c r="C45" s="50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49"/>
      <c r="U45" s="49"/>
      <c r="V45" s="49"/>
      <c r="W45" s="49"/>
      <c r="X45" s="51"/>
      <c r="Y45" s="49"/>
      <c r="Z45" s="49"/>
      <c r="AA45" s="52"/>
      <c r="AB45" s="52"/>
      <c r="AC45" s="51"/>
      <c r="AD45" s="51"/>
      <c r="AE45" s="51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</row>
    <row r="46" spans="1:337" x14ac:dyDescent="0.35">
      <c r="A46" s="41" t="s">
        <v>31</v>
      </c>
      <c r="B46" s="41" t="s">
        <v>32</v>
      </c>
      <c r="C46" s="42">
        <v>46111</v>
      </c>
      <c r="D46" s="43">
        <v>0</v>
      </c>
      <c r="E46" s="43">
        <v>20</v>
      </c>
      <c r="F46" s="43">
        <v>20</v>
      </c>
      <c r="G46" s="43">
        <v>28</v>
      </c>
      <c r="H46" s="43">
        <v>40</v>
      </c>
      <c r="I46" s="43">
        <v>10</v>
      </c>
      <c r="J46" s="43">
        <v>21449</v>
      </c>
      <c r="K46" s="43">
        <f>SUM(L46:L48)</f>
        <v>6</v>
      </c>
      <c r="L46" s="43">
        <v>2</v>
      </c>
      <c r="M46" s="43"/>
      <c r="N46" s="43">
        <v>4</v>
      </c>
      <c r="O46" s="43">
        <v>3</v>
      </c>
      <c r="P46" s="43">
        <v>7</v>
      </c>
      <c r="Q46" s="43">
        <v>6</v>
      </c>
      <c r="R46" s="43">
        <v>9</v>
      </c>
      <c r="S46" s="43">
        <v>9</v>
      </c>
      <c r="T46" s="43">
        <v>25</v>
      </c>
      <c r="U46" s="43">
        <v>4</v>
      </c>
      <c r="V46" s="41" t="s">
        <v>33</v>
      </c>
      <c r="W46" s="41" t="s">
        <v>34</v>
      </c>
      <c r="X46" s="41">
        <v>1</v>
      </c>
      <c r="Y46" s="41">
        <v>3</v>
      </c>
      <c r="Z46" s="41">
        <v>322</v>
      </c>
      <c r="AA46" s="44">
        <v>34</v>
      </c>
      <c r="AB46" s="44">
        <v>34</v>
      </c>
      <c r="AC46" s="43">
        <v>45</v>
      </c>
      <c r="AD46" s="43">
        <v>30</v>
      </c>
      <c r="AE46" s="43">
        <v>45</v>
      </c>
    </row>
    <row r="47" spans="1:337" x14ac:dyDescent="0.35">
      <c r="A47" s="32" t="s">
        <v>31</v>
      </c>
      <c r="B47" s="32" t="s">
        <v>35</v>
      </c>
      <c r="C47" s="33">
        <v>46111</v>
      </c>
      <c r="D47" s="34">
        <v>13</v>
      </c>
      <c r="E47" s="34">
        <v>24</v>
      </c>
      <c r="F47" s="34">
        <v>25</v>
      </c>
      <c r="G47" s="141"/>
      <c r="H47" s="141"/>
      <c r="I47" s="141"/>
      <c r="J47" s="141"/>
      <c r="K47" s="141"/>
      <c r="L47" s="34">
        <v>2</v>
      </c>
      <c r="M47" s="34">
        <v>5</v>
      </c>
      <c r="N47" s="34">
        <v>4</v>
      </c>
      <c r="O47" s="34">
        <v>4</v>
      </c>
      <c r="P47" s="32">
        <v>7</v>
      </c>
      <c r="Q47" s="32">
        <v>7</v>
      </c>
      <c r="R47" s="32">
        <v>8</v>
      </c>
      <c r="S47" s="32">
        <v>6</v>
      </c>
      <c r="T47" s="143"/>
      <c r="U47" s="143"/>
      <c r="V47" s="32" t="s">
        <v>36</v>
      </c>
      <c r="W47" s="32" t="s">
        <v>37</v>
      </c>
      <c r="X47" s="32">
        <v>1</v>
      </c>
      <c r="Y47" s="143"/>
      <c r="Z47" s="143"/>
      <c r="AA47" s="145"/>
      <c r="AB47" s="145"/>
      <c r="AC47" s="141"/>
      <c r="AD47" s="141"/>
      <c r="AE47" s="141"/>
    </row>
    <row r="48" spans="1:337" ht="15" thickBot="1" x14ac:dyDescent="0.4">
      <c r="A48" s="45" t="s">
        <v>31</v>
      </c>
      <c r="B48" s="45" t="s">
        <v>38</v>
      </c>
      <c r="C48" s="46">
        <v>46111</v>
      </c>
      <c r="D48" s="47"/>
      <c r="E48" s="47"/>
      <c r="F48" s="47"/>
      <c r="G48" s="142"/>
      <c r="H48" s="142"/>
      <c r="I48" s="142"/>
      <c r="J48" s="142"/>
      <c r="K48" s="142"/>
      <c r="L48" s="47">
        <v>2</v>
      </c>
      <c r="M48" s="47"/>
      <c r="N48" s="47"/>
      <c r="O48" s="47"/>
      <c r="P48" s="47"/>
      <c r="Q48" s="47"/>
      <c r="R48" s="47"/>
      <c r="S48" s="47"/>
      <c r="T48" s="144"/>
      <c r="U48" s="144"/>
      <c r="V48" s="45"/>
      <c r="W48" s="45"/>
      <c r="X48" s="47"/>
      <c r="Y48" s="144"/>
      <c r="Z48" s="144"/>
      <c r="AA48" s="146"/>
      <c r="AB48" s="146"/>
      <c r="AC48" s="142"/>
      <c r="AD48" s="142"/>
      <c r="AE48" s="142"/>
    </row>
    <row r="49" spans="1:337" s="53" customFormat="1" ht="15" thickBot="1" x14ac:dyDescent="0.4">
      <c r="A49" s="49"/>
      <c r="B49" s="49"/>
      <c r="C49" s="50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49"/>
      <c r="U49" s="49"/>
      <c r="V49" s="49"/>
      <c r="W49" s="49"/>
      <c r="X49" s="51"/>
      <c r="Y49" s="49"/>
      <c r="Z49" s="49"/>
      <c r="AA49" s="52"/>
      <c r="AB49" s="52"/>
      <c r="AC49" s="51"/>
      <c r="AD49" s="51"/>
      <c r="AE49" s="51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</row>
    <row r="50" spans="1:337" x14ac:dyDescent="0.35">
      <c r="A50" s="41" t="s">
        <v>31</v>
      </c>
      <c r="B50" s="41" t="s">
        <v>32</v>
      </c>
      <c r="C50" s="42">
        <v>46112</v>
      </c>
      <c r="D50" s="43">
        <v>0</v>
      </c>
      <c r="E50" s="43">
        <v>20</v>
      </c>
      <c r="F50" s="43">
        <v>20</v>
      </c>
      <c r="G50" s="43">
        <v>28</v>
      </c>
      <c r="H50" s="43">
        <v>40</v>
      </c>
      <c r="I50" s="43">
        <v>10</v>
      </c>
      <c r="J50" s="43">
        <v>21449</v>
      </c>
      <c r="K50" s="43">
        <f>SUM(L50:L52)</f>
        <v>6</v>
      </c>
      <c r="L50" s="43">
        <v>2</v>
      </c>
      <c r="M50" s="43"/>
      <c r="N50" s="43">
        <v>4</v>
      </c>
      <c r="O50" s="43">
        <v>3</v>
      </c>
      <c r="P50" s="43">
        <v>7</v>
      </c>
      <c r="Q50" s="43">
        <v>6</v>
      </c>
      <c r="R50" s="43">
        <v>9</v>
      </c>
      <c r="S50" s="43">
        <v>9</v>
      </c>
      <c r="T50" s="43">
        <v>20</v>
      </c>
      <c r="U50" s="43">
        <v>3</v>
      </c>
      <c r="V50" s="41" t="s">
        <v>33</v>
      </c>
      <c r="W50" s="41" t="s">
        <v>34</v>
      </c>
      <c r="X50" s="41">
        <v>1</v>
      </c>
      <c r="Y50" s="41">
        <v>3</v>
      </c>
      <c r="Z50" s="41">
        <v>322</v>
      </c>
      <c r="AA50" s="44">
        <v>34</v>
      </c>
      <c r="AB50" s="44">
        <v>34</v>
      </c>
      <c r="AC50" s="43">
        <v>45</v>
      </c>
      <c r="AD50" s="43">
        <v>30</v>
      </c>
      <c r="AE50" s="43">
        <v>45</v>
      </c>
    </row>
    <row r="51" spans="1:337" x14ac:dyDescent="0.35">
      <c r="A51" s="32" t="s">
        <v>31</v>
      </c>
      <c r="B51" s="32" t="s">
        <v>35</v>
      </c>
      <c r="C51" s="33">
        <v>46112</v>
      </c>
      <c r="D51" s="34">
        <v>13</v>
      </c>
      <c r="E51" s="34">
        <v>24</v>
      </c>
      <c r="F51" s="34">
        <v>25</v>
      </c>
      <c r="G51" s="141"/>
      <c r="H51" s="141"/>
      <c r="I51" s="141"/>
      <c r="J51" s="141"/>
      <c r="K51" s="141"/>
      <c r="L51" s="34">
        <v>2</v>
      </c>
      <c r="M51" s="34">
        <v>5</v>
      </c>
      <c r="N51" s="34">
        <v>4</v>
      </c>
      <c r="O51" s="34">
        <v>4</v>
      </c>
      <c r="P51" s="32">
        <v>7</v>
      </c>
      <c r="Q51" s="32">
        <v>7</v>
      </c>
      <c r="R51" s="32">
        <v>8</v>
      </c>
      <c r="S51" s="32">
        <v>6</v>
      </c>
      <c r="T51" s="143"/>
      <c r="U51" s="143"/>
      <c r="V51" s="32" t="s">
        <v>36</v>
      </c>
      <c r="W51" s="32" t="s">
        <v>37</v>
      </c>
      <c r="X51" s="32">
        <v>1</v>
      </c>
      <c r="Y51" s="143"/>
      <c r="Z51" s="143"/>
      <c r="AA51" s="145"/>
      <c r="AB51" s="145"/>
      <c r="AC51" s="141"/>
      <c r="AD51" s="141"/>
      <c r="AE51" s="141"/>
    </row>
    <row r="52" spans="1:337" ht="15" thickBot="1" x14ac:dyDescent="0.4">
      <c r="A52" s="45" t="s">
        <v>31</v>
      </c>
      <c r="B52" s="45" t="s">
        <v>38</v>
      </c>
      <c r="C52" s="46">
        <v>46112</v>
      </c>
      <c r="D52" s="47"/>
      <c r="E52" s="47"/>
      <c r="F52" s="47"/>
      <c r="G52" s="142"/>
      <c r="H52" s="142"/>
      <c r="I52" s="142"/>
      <c r="J52" s="142"/>
      <c r="K52" s="142"/>
      <c r="L52" s="47">
        <v>2</v>
      </c>
      <c r="M52" s="47"/>
      <c r="N52" s="47"/>
      <c r="O52" s="47"/>
      <c r="P52" s="47"/>
      <c r="Q52" s="47"/>
      <c r="R52" s="47"/>
      <c r="S52" s="47"/>
      <c r="T52" s="144"/>
      <c r="U52" s="144"/>
      <c r="V52" s="45"/>
      <c r="W52" s="45"/>
      <c r="X52" s="47"/>
      <c r="Y52" s="144"/>
      <c r="Z52" s="144"/>
      <c r="AA52" s="146"/>
      <c r="AB52" s="146"/>
      <c r="AC52" s="142"/>
      <c r="AD52" s="142"/>
      <c r="AE52" s="142"/>
    </row>
    <row r="53" spans="1:337" s="53" customFormat="1" ht="15" thickBot="1" x14ac:dyDescent="0.4">
      <c r="A53" s="49"/>
      <c r="B53" s="49"/>
      <c r="C53" s="50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49"/>
      <c r="U53" s="49"/>
      <c r="V53" s="49"/>
      <c r="W53" s="49"/>
      <c r="X53" s="51"/>
      <c r="Y53" s="49"/>
      <c r="Z53" s="49"/>
      <c r="AA53" s="52"/>
      <c r="AB53" s="52"/>
      <c r="AC53" s="51"/>
      <c r="AD53" s="51"/>
      <c r="AE53" s="51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</row>
    <row r="54" spans="1:337" x14ac:dyDescent="0.35">
      <c r="A54" s="41" t="s">
        <v>31</v>
      </c>
      <c r="B54" s="41" t="s">
        <v>32</v>
      </c>
      <c r="C54" s="42">
        <v>46113</v>
      </c>
      <c r="D54" s="43">
        <v>0</v>
      </c>
      <c r="E54" s="43">
        <v>20</v>
      </c>
      <c r="F54" s="43">
        <v>20</v>
      </c>
      <c r="G54" s="43">
        <v>28</v>
      </c>
      <c r="H54" s="43">
        <v>40</v>
      </c>
      <c r="I54" s="43">
        <v>10</v>
      </c>
      <c r="J54" s="43">
        <v>21449</v>
      </c>
      <c r="K54" s="43">
        <f>SUM(L54:L56)</f>
        <v>6</v>
      </c>
      <c r="L54" s="43">
        <v>2</v>
      </c>
      <c r="M54" s="43"/>
      <c r="N54" s="43">
        <v>4</v>
      </c>
      <c r="O54" s="43">
        <v>3</v>
      </c>
      <c r="P54" s="43">
        <v>7</v>
      </c>
      <c r="Q54" s="43">
        <v>6</v>
      </c>
      <c r="R54" s="43">
        <v>9</v>
      </c>
      <c r="S54" s="43">
        <v>9</v>
      </c>
      <c r="T54" s="43">
        <v>25</v>
      </c>
      <c r="U54" s="43">
        <v>4</v>
      </c>
      <c r="V54" s="41" t="s">
        <v>33</v>
      </c>
      <c r="W54" s="41" t="s">
        <v>34</v>
      </c>
      <c r="X54" s="41">
        <v>1</v>
      </c>
      <c r="Y54" s="41">
        <v>3</v>
      </c>
      <c r="Z54" s="41">
        <v>322</v>
      </c>
      <c r="AA54" s="44">
        <v>34</v>
      </c>
      <c r="AB54" s="44">
        <v>34</v>
      </c>
      <c r="AC54" s="43">
        <v>45</v>
      </c>
      <c r="AD54" s="43">
        <v>30</v>
      </c>
      <c r="AE54" s="43">
        <v>45</v>
      </c>
    </row>
    <row r="55" spans="1:337" x14ac:dyDescent="0.35">
      <c r="A55" s="32" t="s">
        <v>31</v>
      </c>
      <c r="B55" s="32" t="s">
        <v>35</v>
      </c>
      <c r="C55" s="33">
        <v>46113</v>
      </c>
      <c r="D55" s="34">
        <v>13</v>
      </c>
      <c r="E55" s="34">
        <v>24</v>
      </c>
      <c r="F55" s="34">
        <v>25</v>
      </c>
      <c r="G55" s="141"/>
      <c r="H55" s="141"/>
      <c r="I55" s="141"/>
      <c r="J55" s="141"/>
      <c r="K55" s="141"/>
      <c r="L55" s="34">
        <v>2</v>
      </c>
      <c r="M55" s="34">
        <v>5</v>
      </c>
      <c r="N55" s="34">
        <v>4</v>
      </c>
      <c r="O55" s="34">
        <v>4</v>
      </c>
      <c r="P55" s="32">
        <v>7</v>
      </c>
      <c r="Q55" s="32">
        <v>7</v>
      </c>
      <c r="R55" s="32">
        <v>8</v>
      </c>
      <c r="S55" s="32">
        <v>6</v>
      </c>
      <c r="T55" s="143"/>
      <c r="U55" s="143"/>
      <c r="V55" s="32" t="s">
        <v>36</v>
      </c>
      <c r="W55" s="32" t="s">
        <v>37</v>
      </c>
      <c r="X55" s="32">
        <v>1</v>
      </c>
      <c r="Y55" s="143"/>
      <c r="Z55" s="143"/>
      <c r="AA55" s="145"/>
      <c r="AB55" s="145"/>
      <c r="AC55" s="141"/>
      <c r="AD55" s="141"/>
      <c r="AE55" s="141"/>
    </row>
    <row r="56" spans="1:337" ht="15" thickBot="1" x14ac:dyDescent="0.4">
      <c r="A56" s="45" t="s">
        <v>31</v>
      </c>
      <c r="B56" s="45" t="s">
        <v>38</v>
      </c>
      <c r="C56" s="46">
        <v>46113</v>
      </c>
      <c r="D56" s="47"/>
      <c r="E56" s="47"/>
      <c r="F56" s="47"/>
      <c r="G56" s="142"/>
      <c r="H56" s="142"/>
      <c r="I56" s="142"/>
      <c r="J56" s="142"/>
      <c r="K56" s="142"/>
      <c r="L56" s="47">
        <v>2</v>
      </c>
      <c r="M56" s="47"/>
      <c r="N56" s="47"/>
      <c r="O56" s="47"/>
      <c r="P56" s="47"/>
      <c r="Q56" s="47"/>
      <c r="R56" s="47"/>
      <c r="S56" s="47"/>
      <c r="T56" s="144"/>
      <c r="U56" s="144"/>
      <c r="V56" s="45"/>
      <c r="W56" s="45"/>
      <c r="X56" s="47"/>
      <c r="Y56" s="144"/>
      <c r="Z56" s="144"/>
      <c r="AA56" s="146"/>
      <c r="AB56" s="146"/>
      <c r="AC56" s="142"/>
      <c r="AD56" s="142"/>
      <c r="AE56" s="142"/>
    </row>
    <row r="57" spans="1:337" s="53" customFormat="1" ht="15" thickBot="1" x14ac:dyDescent="0.4">
      <c r="A57" s="49"/>
      <c r="B57" s="49"/>
      <c r="C57" s="50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49"/>
      <c r="U57" s="49"/>
      <c r="V57" s="49"/>
      <c r="W57" s="49"/>
      <c r="X57" s="51"/>
      <c r="Y57" s="49"/>
      <c r="Z57" s="49"/>
      <c r="AA57" s="52"/>
      <c r="AB57" s="52"/>
      <c r="AC57" s="51"/>
      <c r="AD57" s="51"/>
      <c r="AE57" s="51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</row>
    <row r="58" spans="1:337" x14ac:dyDescent="0.35">
      <c r="A58" s="41" t="s">
        <v>31</v>
      </c>
      <c r="B58" s="41" t="s">
        <v>32</v>
      </c>
      <c r="C58" s="42">
        <v>46114</v>
      </c>
      <c r="D58" s="43">
        <v>0</v>
      </c>
      <c r="E58" s="43">
        <v>20</v>
      </c>
      <c r="F58" s="43">
        <v>20</v>
      </c>
      <c r="G58" s="43">
        <v>28</v>
      </c>
      <c r="H58" s="43">
        <v>40</v>
      </c>
      <c r="I58" s="43">
        <v>10</v>
      </c>
      <c r="J58" s="43">
        <v>21449</v>
      </c>
      <c r="K58" s="43">
        <f>SUM(L58:L60)</f>
        <v>6</v>
      </c>
      <c r="L58" s="43">
        <v>2</v>
      </c>
      <c r="M58" s="43"/>
      <c r="N58" s="43">
        <v>4</v>
      </c>
      <c r="O58" s="43">
        <v>3</v>
      </c>
      <c r="P58" s="43">
        <v>7</v>
      </c>
      <c r="Q58" s="43">
        <v>6</v>
      </c>
      <c r="R58" s="43">
        <v>9</v>
      </c>
      <c r="S58" s="43">
        <v>9</v>
      </c>
      <c r="T58" s="43">
        <v>25</v>
      </c>
      <c r="U58" s="43">
        <v>4</v>
      </c>
      <c r="V58" s="41" t="s">
        <v>33</v>
      </c>
      <c r="W58" s="41" t="s">
        <v>34</v>
      </c>
      <c r="X58" s="41">
        <v>1</v>
      </c>
      <c r="Y58" s="41">
        <v>3</v>
      </c>
      <c r="Z58" s="41">
        <v>322</v>
      </c>
      <c r="AA58" s="44">
        <v>34</v>
      </c>
      <c r="AB58" s="44">
        <v>34</v>
      </c>
      <c r="AC58" s="43">
        <v>45</v>
      </c>
      <c r="AD58" s="43">
        <v>30</v>
      </c>
      <c r="AE58" s="43">
        <v>45</v>
      </c>
    </row>
    <row r="59" spans="1:337" x14ac:dyDescent="0.35">
      <c r="A59" s="32" t="s">
        <v>31</v>
      </c>
      <c r="B59" s="32" t="s">
        <v>35</v>
      </c>
      <c r="C59" s="33">
        <v>46114</v>
      </c>
      <c r="D59" s="34">
        <v>13</v>
      </c>
      <c r="E59" s="34">
        <v>24</v>
      </c>
      <c r="F59" s="34">
        <v>25</v>
      </c>
      <c r="G59" s="141"/>
      <c r="H59" s="141"/>
      <c r="I59" s="141"/>
      <c r="J59" s="141"/>
      <c r="K59" s="141"/>
      <c r="L59" s="34">
        <v>2</v>
      </c>
      <c r="M59" s="34">
        <v>5</v>
      </c>
      <c r="N59" s="34">
        <v>4</v>
      </c>
      <c r="O59" s="34">
        <v>4</v>
      </c>
      <c r="P59" s="32">
        <v>7</v>
      </c>
      <c r="Q59" s="32">
        <v>7</v>
      </c>
      <c r="R59" s="32">
        <v>8</v>
      </c>
      <c r="S59" s="32">
        <v>6</v>
      </c>
      <c r="T59" s="143"/>
      <c r="U59" s="143"/>
      <c r="V59" s="32" t="s">
        <v>36</v>
      </c>
      <c r="W59" s="32" t="s">
        <v>37</v>
      </c>
      <c r="X59" s="32">
        <v>1</v>
      </c>
      <c r="Y59" s="143"/>
      <c r="Z59" s="143"/>
      <c r="AA59" s="145"/>
      <c r="AB59" s="145"/>
      <c r="AC59" s="141"/>
      <c r="AD59" s="141"/>
      <c r="AE59" s="141"/>
    </row>
    <row r="60" spans="1:337" ht="15" thickBot="1" x14ac:dyDescent="0.4">
      <c r="A60" s="45" t="s">
        <v>31</v>
      </c>
      <c r="B60" s="45" t="s">
        <v>38</v>
      </c>
      <c r="C60" s="46">
        <v>46114</v>
      </c>
      <c r="D60" s="47"/>
      <c r="E60" s="47"/>
      <c r="F60" s="47"/>
      <c r="G60" s="142"/>
      <c r="H60" s="142"/>
      <c r="I60" s="142"/>
      <c r="J60" s="142"/>
      <c r="K60" s="142"/>
      <c r="L60" s="47">
        <v>2</v>
      </c>
      <c r="M60" s="47"/>
      <c r="N60" s="47"/>
      <c r="O60" s="47"/>
      <c r="P60" s="47"/>
      <c r="Q60" s="47"/>
      <c r="R60" s="47"/>
      <c r="S60" s="47"/>
      <c r="T60" s="144"/>
      <c r="U60" s="144"/>
      <c r="V60" s="45"/>
      <c r="W60" s="45"/>
      <c r="X60" s="47"/>
      <c r="Y60" s="144"/>
      <c r="Z60" s="144"/>
      <c r="AA60" s="146"/>
      <c r="AB60" s="146"/>
      <c r="AC60" s="142"/>
      <c r="AD60" s="142"/>
      <c r="AE60" s="142"/>
    </row>
    <row r="61" spans="1:337" s="53" customFormat="1" ht="15" thickBot="1" x14ac:dyDescent="0.4">
      <c r="A61" s="49"/>
      <c r="B61" s="49"/>
      <c r="C61" s="50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49"/>
      <c r="U61" s="49"/>
      <c r="V61" s="49"/>
      <c r="W61" s="49"/>
      <c r="X61" s="51"/>
      <c r="Y61" s="49"/>
      <c r="Z61" s="49"/>
      <c r="AA61" s="52"/>
      <c r="AB61" s="52"/>
      <c r="AC61" s="51"/>
      <c r="AD61" s="51"/>
      <c r="AE61" s="5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</row>
    <row r="62" spans="1:337" x14ac:dyDescent="0.35">
      <c r="A62" s="41" t="s">
        <v>31</v>
      </c>
      <c r="B62" s="41" t="s">
        <v>32</v>
      </c>
      <c r="C62" s="42">
        <v>46115</v>
      </c>
      <c r="D62" s="43">
        <v>0</v>
      </c>
      <c r="E62" s="43">
        <v>20</v>
      </c>
      <c r="F62" s="43">
        <v>20</v>
      </c>
      <c r="G62" s="43">
        <v>28</v>
      </c>
      <c r="H62" s="43">
        <v>40</v>
      </c>
      <c r="I62" s="43">
        <v>10</v>
      </c>
      <c r="J62" s="43">
        <v>21449</v>
      </c>
      <c r="K62" s="43">
        <f>SUM(L62:L64)</f>
        <v>6</v>
      </c>
      <c r="L62" s="43">
        <v>2</v>
      </c>
      <c r="M62" s="43"/>
      <c r="N62" s="43">
        <v>4</v>
      </c>
      <c r="O62" s="43">
        <v>3</v>
      </c>
      <c r="P62" s="43">
        <v>7</v>
      </c>
      <c r="Q62" s="43">
        <v>6</v>
      </c>
      <c r="R62" s="43">
        <v>9</v>
      </c>
      <c r="S62" s="43">
        <v>9</v>
      </c>
      <c r="T62" s="43">
        <v>25</v>
      </c>
      <c r="U62" s="43">
        <v>4</v>
      </c>
      <c r="V62" s="41" t="s">
        <v>33</v>
      </c>
      <c r="W62" s="41" t="s">
        <v>34</v>
      </c>
      <c r="X62" s="41">
        <v>1</v>
      </c>
      <c r="Y62" s="41">
        <v>3</v>
      </c>
      <c r="Z62" s="41">
        <v>322</v>
      </c>
      <c r="AA62" s="44">
        <v>34</v>
      </c>
      <c r="AB62" s="44">
        <v>34</v>
      </c>
      <c r="AC62" s="43">
        <v>45</v>
      </c>
      <c r="AD62" s="43">
        <v>30</v>
      </c>
      <c r="AE62" s="43">
        <v>45</v>
      </c>
    </row>
    <row r="63" spans="1:337" x14ac:dyDescent="0.35">
      <c r="A63" s="32" t="s">
        <v>31</v>
      </c>
      <c r="B63" s="32" t="s">
        <v>35</v>
      </c>
      <c r="C63" s="33">
        <v>46115</v>
      </c>
      <c r="D63" s="34">
        <v>13</v>
      </c>
      <c r="E63" s="34">
        <v>24</v>
      </c>
      <c r="F63" s="34">
        <v>25</v>
      </c>
      <c r="G63" s="141"/>
      <c r="H63" s="141"/>
      <c r="I63" s="141"/>
      <c r="J63" s="141"/>
      <c r="K63" s="141"/>
      <c r="L63" s="34">
        <v>2</v>
      </c>
      <c r="M63" s="34">
        <v>5</v>
      </c>
      <c r="N63" s="34">
        <v>4</v>
      </c>
      <c r="O63" s="34">
        <v>4</v>
      </c>
      <c r="P63" s="32">
        <v>7</v>
      </c>
      <c r="Q63" s="32">
        <v>7</v>
      </c>
      <c r="R63" s="32">
        <v>8</v>
      </c>
      <c r="S63" s="32">
        <v>6</v>
      </c>
      <c r="T63" s="143"/>
      <c r="U63" s="143"/>
      <c r="V63" s="32" t="s">
        <v>36</v>
      </c>
      <c r="W63" s="32" t="s">
        <v>37</v>
      </c>
      <c r="X63" s="32">
        <v>1</v>
      </c>
      <c r="Y63" s="143"/>
      <c r="Z63" s="143"/>
      <c r="AA63" s="145"/>
      <c r="AB63" s="145"/>
      <c r="AC63" s="141"/>
      <c r="AD63" s="141"/>
      <c r="AE63" s="141"/>
    </row>
    <row r="64" spans="1:337" ht="15" thickBot="1" x14ac:dyDescent="0.4">
      <c r="A64" s="45" t="s">
        <v>31</v>
      </c>
      <c r="B64" s="45" t="s">
        <v>38</v>
      </c>
      <c r="C64" s="46">
        <v>46115</v>
      </c>
      <c r="D64" s="47"/>
      <c r="E64" s="47"/>
      <c r="F64" s="47"/>
      <c r="G64" s="142"/>
      <c r="H64" s="142"/>
      <c r="I64" s="142"/>
      <c r="J64" s="142"/>
      <c r="K64" s="142"/>
      <c r="L64" s="47">
        <v>2</v>
      </c>
      <c r="M64" s="47"/>
      <c r="N64" s="47"/>
      <c r="O64" s="47"/>
      <c r="P64" s="47"/>
      <c r="Q64" s="47"/>
      <c r="R64" s="47"/>
      <c r="S64" s="47"/>
      <c r="T64" s="144"/>
      <c r="U64" s="144"/>
      <c r="V64" s="45"/>
      <c r="W64" s="45"/>
      <c r="X64" s="47"/>
      <c r="Y64" s="144"/>
      <c r="Z64" s="144"/>
      <c r="AA64" s="146"/>
      <c r="AB64" s="146"/>
      <c r="AC64" s="142"/>
      <c r="AD64" s="142"/>
      <c r="AE64" s="142"/>
    </row>
    <row r="65" spans="1:337" s="53" customFormat="1" ht="15" thickBot="1" x14ac:dyDescent="0.4">
      <c r="A65" s="49"/>
      <c r="B65" s="49"/>
      <c r="C65" s="50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49"/>
      <c r="U65" s="49"/>
      <c r="V65" s="49"/>
      <c r="W65" s="49"/>
      <c r="X65" s="51"/>
      <c r="Y65" s="49"/>
      <c r="Z65" s="49"/>
      <c r="AA65" s="52"/>
      <c r="AB65" s="52"/>
      <c r="AC65" s="51"/>
      <c r="AD65" s="51"/>
      <c r="AE65" s="51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</row>
    <row r="66" spans="1:337" x14ac:dyDescent="0.35">
      <c r="A66" s="41" t="s">
        <v>31</v>
      </c>
      <c r="B66" s="41" t="s">
        <v>32</v>
      </c>
      <c r="C66" s="42">
        <v>46118</v>
      </c>
      <c r="D66" s="43">
        <v>0</v>
      </c>
      <c r="E66" s="43">
        <v>20</v>
      </c>
      <c r="F66" s="43">
        <v>20</v>
      </c>
      <c r="G66" s="43">
        <v>28</v>
      </c>
      <c r="H66" s="43">
        <v>40</v>
      </c>
      <c r="I66" s="43">
        <v>10</v>
      </c>
      <c r="J66" s="43">
        <v>21449</v>
      </c>
      <c r="K66" s="43">
        <f>SUM(L66:L68)</f>
        <v>6</v>
      </c>
      <c r="L66" s="43">
        <v>2</v>
      </c>
      <c r="M66" s="43"/>
      <c r="N66" s="43">
        <v>4</v>
      </c>
      <c r="O66" s="43">
        <v>3</v>
      </c>
      <c r="P66" s="43">
        <v>7</v>
      </c>
      <c r="Q66" s="43">
        <v>6</v>
      </c>
      <c r="R66" s="43">
        <v>9</v>
      </c>
      <c r="S66" s="43">
        <v>9</v>
      </c>
      <c r="T66" s="43">
        <v>25</v>
      </c>
      <c r="U66" s="43">
        <v>4</v>
      </c>
      <c r="V66" s="41" t="s">
        <v>33</v>
      </c>
      <c r="W66" s="41" t="s">
        <v>34</v>
      </c>
      <c r="X66" s="41">
        <v>1</v>
      </c>
      <c r="Y66" s="41">
        <v>3</v>
      </c>
      <c r="Z66" s="41">
        <v>322</v>
      </c>
      <c r="AA66" s="44">
        <v>34</v>
      </c>
      <c r="AB66" s="44">
        <v>34</v>
      </c>
      <c r="AC66" s="43">
        <v>45</v>
      </c>
      <c r="AD66" s="43">
        <v>30</v>
      </c>
      <c r="AE66" s="43">
        <v>45</v>
      </c>
    </row>
    <row r="67" spans="1:337" x14ac:dyDescent="0.35">
      <c r="A67" s="32" t="s">
        <v>31</v>
      </c>
      <c r="B67" s="32" t="s">
        <v>35</v>
      </c>
      <c r="C67" s="33">
        <v>46118</v>
      </c>
      <c r="D67" s="34">
        <v>13</v>
      </c>
      <c r="E67" s="34">
        <v>24</v>
      </c>
      <c r="F67" s="34">
        <v>25</v>
      </c>
      <c r="G67" s="141"/>
      <c r="H67" s="141"/>
      <c r="I67" s="141"/>
      <c r="J67" s="141"/>
      <c r="K67" s="141"/>
      <c r="L67" s="34">
        <v>2</v>
      </c>
      <c r="M67" s="34">
        <v>5</v>
      </c>
      <c r="N67" s="34">
        <v>4</v>
      </c>
      <c r="O67" s="34">
        <v>4</v>
      </c>
      <c r="P67" s="32">
        <v>7</v>
      </c>
      <c r="Q67" s="32">
        <v>7</v>
      </c>
      <c r="R67" s="32">
        <v>8</v>
      </c>
      <c r="S67" s="32">
        <v>6</v>
      </c>
      <c r="T67" s="143"/>
      <c r="U67" s="143"/>
      <c r="V67" s="32" t="s">
        <v>36</v>
      </c>
      <c r="W67" s="32" t="s">
        <v>37</v>
      </c>
      <c r="X67" s="32">
        <v>1</v>
      </c>
      <c r="Y67" s="143"/>
      <c r="Z67" s="143"/>
      <c r="AA67" s="145"/>
      <c r="AB67" s="145"/>
      <c r="AC67" s="141"/>
      <c r="AD67" s="141"/>
      <c r="AE67" s="141"/>
    </row>
    <row r="68" spans="1:337" ht="15" thickBot="1" x14ac:dyDescent="0.4">
      <c r="A68" s="45" t="s">
        <v>31</v>
      </c>
      <c r="B68" s="45" t="s">
        <v>38</v>
      </c>
      <c r="C68" s="46">
        <v>46118</v>
      </c>
      <c r="D68" s="47"/>
      <c r="E68" s="47"/>
      <c r="F68" s="47"/>
      <c r="G68" s="142"/>
      <c r="H68" s="142"/>
      <c r="I68" s="142"/>
      <c r="J68" s="142"/>
      <c r="K68" s="142"/>
      <c r="L68" s="47">
        <v>2</v>
      </c>
      <c r="M68" s="47"/>
      <c r="N68" s="47"/>
      <c r="O68" s="47"/>
      <c r="P68" s="47"/>
      <c r="Q68" s="47"/>
      <c r="R68" s="47"/>
      <c r="S68" s="47"/>
      <c r="T68" s="144"/>
      <c r="U68" s="144"/>
      <c r="V68" s="45"/>
      <c r="W68" s="45"/>
      <c r="X68" s="47"/>
      <c r="Y68" s="144"/>
      <c r="Z68" s="144"/>
      <c r="AA68" s="146"/>
      <c r="AB68" s="146"/>
      <c r="AC68" s="142"/>
      <c r="AD68" s="142"/>
      <c r="AE68" s="142"/>
    </row>
    <row r="69" spans="1:337" s="53" customFormat="1" ht="15" thickBot="1" x14ac:dyDescent="0.4">
      <c r="A69" s="49"/>
      <c r="B69" s="49"/>
      <c r="C69" s="50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49"/>
      <c r="U69" s="49"/>
      <c r="V69" s="49"/>
      <c r="W69" s="49"/>
      <c r="X69" s="51"/>
      <c r="Y69" s="49"/>
      <c r="Z69" s="49"/>
      <c r="AA69" s="52"/>
      <c r="AB69" s="52"/>
      <c r="AC69" s="51"/>
      <c r="AD69" s="51"/>
      <c r="AE69" s="51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</row>
    <row r="70" spans="1:337" x14ac:dyDescent="0.35">
      <c r="A70" s="41" t="s">
        <v>31</v>
      </c>
      <c r="B70" s="41" t="s">
        <v>32</v>
      </c>
      <c r="C70" s="42">
        <v>46119</v>
      </c>
      <c r="D70" s="43">
        <v>0</v>
      </c>
      <c r="E70" s="43">
        <v>20</v>
      </c>
      <c r="F70" s="43">
        <v>20</v>
      </c>
      <c r="G70" s="43">
        <v>28</v>
      </c>
      <c r="H70" s="43">
        <v>40</v>
      </c>
      <c r="I70" s="43">
        <v>10</v>
      </c>
      <c r="J70" s="43">
        <v>21449</v>
      </c>
      <c r="K70" s="43">
        <f>SUM(L70:L72)</f>
        <v>6</v>
      </c>
      <c r="L70" s="43">
        <v>2</v>
      </c>
      <c r="M70" s="43"/>
      <c r="N70" s="43">
        <v>4</v>
      </c>
      <c r="O70" s="43">
        <v>3</v>
      </c>
      <c r="P70" s="43">
        <v>7</v>
      </c>
      <c r="Q70" s="43">
        <v>6</v>
      </c>
      <c r="R70" s="43">
        <v>9</v>
      </c>
      <c r="S70" s="43">
        <v>9</v>
      </c>
      <c r="T70" s="43">
        <v>25</v>
      </c>
      <c r="U70" s="43">
        <v>4</v>
      </c>
      <c r="V70" s="41" t="s">
        <v>33</v>
      </c>
      <c r="W70" s="41" t="s">
        <v>34</v>
      </c>
      <c r="X70" s="41">
        <v>1</v>
      </c>
      <c r="Y70" s="41">
        <v>3</v>
      </c>
      <c r="Z70" s="41">
        <v>322</v>
      </c>
      <c r="AA70" s="44">
        <v>34</v>
      </c>
      <c r="AB70" s="44">
        <v>34</v>
      </c>
      <c r="AC70" s="43">
        <v>45</v>
      </c>
      <c r="AD70" s="43">
        <v>30</v>
      </c>
      <c r="AE70" s="43">
        <v>45</v>
      </c>
    </row>
    <row r="71" spans="1:337" x14ac:dyDescent="0.35">
      <c r="A71" s="32" t="s">
        <v>31</v>
      </c>
      <c r="B71" s="32" t="s">
        <v>35</v>
      </c>
      <c r="C71" s="33">
        <v>46119</v>
      </c>
      <c r="D71" s="34">
        <v>13</v>
      </c>
      <c r="E71" s="34">
        <v>24</v>
      </c>
      <c r="F71" s="34">
        <v>25</v>
      </c>
      <c r="G71" s="141"/>
      <c r="H71" s="141"/>
      <c r="I71" s="141"/>
      <c r="J71" s="141"/>
      <c r="K71" s="141"/>
      <c r="L71" s="34">
        <v>2</v>
      </c>
      <c r="M71" s="34">
        <v>5</v>
      </c>
      <c r="N71" s="34">
        <v>4</v>
      </c>
      <c r="O71" s="34">
        <v>4</v>
      </c>
      <c r="P71" s="32">
        <v>7</v>
      </c>
      <c r="Q71" s="32">
        <v>7</v>
      </c>
      <c r="R71" s="32">
        <v>8</v>
      </c>
      <c r="S71" s="32">
        <v>6</v>
      </c>
      <c r="T71" s="143"/>
      <c r="U71" s="143"/>
      <c r="V71" s="32" t="s">
        <v>36</v>
      </c>
      <c r="W71" s="32" t="s">
        <v>37</v>
      </c>
      <c r="X71" s="32">
        <v>1</v>
      </c>
      <c r="Y71" s="143"/>
      <c r="Z71" s="143"/>
      <c r="AA71" s="145"/>
      <c r="AB71" s="145"/>
      <c r="AC71" s="141"/>
      <c r="AD71" s="141"/>
      <c r="AE71" s="141"/>
    </row>
    <row r="72" spans="1:337" ht="15" thickBot="1" x14ac:dyDescent="0.4">
      <c r="A72" s="45" t="s">
        <v>31</v>
      </c>
      <c r="B72" s="45" t="s">
        <v>38</v>
      </c>
      <c r="C72" s="46">
        <v>46119</v>
      </c>
      <c r="D72" s="47"/>
      <c r="E72" s="47"/>
      <c r="F72" s="47"/>
      <c r="G72" s="142"/>
      <c r="H72" s="142"/>
      <c r="I72" s="142"/>
      <c r="J72" s="142"/>
      <c r="K72" s="142"/>
      <c r="L72" s="47">
        <v>2</v>
      </c>
      <c r="M72" s="47"/>
      <c r="N72" s="47"/>
      <c r="O72" s="47"/>
      <c r="P72" s="47"/>
      <c r="Q72" s="47"/>
      <c r="R72" s="47"/>
      <c r="S72" s="47"/>
      <c r="T72" s="144"/>
      <c r="U72" s="144"/>
      <c r="V72" s="45"/>
      <c r="W72" s="45"/>
      <c r="X72" s="47"/>
      <c r="Y72" s="144"/>
      <c r="Z72" s="144"/>
      <c r="AA72" s="146"/>
      <c r="AB72" s="146"/>
      <c r="AC72" s="142"/>
      <c r="AD72" s="142"/>
      <c r="AE72" s="142"/>
    </row>
    <row r="73" spans="1:337" s="53" customFormat="1" ht="15" thickBot="1" x14ac:dyDescent="0.4">
      <c r="A73" s="49"/>
      <c r="B73" s="49"/>
      <c r="C73" s="50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49"/>
      <c r="U73" s="49"/>
      <c r="V73" s="49"/>
      <c r="W73" s="49"/>
      <c r="X73" s="51"/>
      <c r="Y73" s="49"/>
      <c r="Z73" s="49"/>
      <c r="AA73" s="52"/>
      <c r="AB73" s="52"/>
      <c r="AC73" s="51"/>
      <c r="AD73" s="51"/>
      <c r="AE73" s="51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</row>
    <row r="74" spans="1:337" x14ac:dyDescent="0.35">
      <c r="A74" s="41" t="s">
        <v>31</v>
      </c>
      <c r="B74" s="41" t="s">
        <v>32</v>
      </c>
      <c r="C74" s="42">
        <v>46120</v>
      </c>
      <c r="D74" s="43">
        <v>0</v>
      </c>
      <c r="E74" s="43">
        <v>20</v>
      </c>
      <c r="F74" s="43">
        <v>20</v>
      </c>
      <c r="G74" s="43">
        <v>28</v>
      </c>
      <c r="H74" s="43">
        <v>40</v>
      </c>
      <c r="I74" s="43">
        <v>10</v>
      </c>
      <c r="J74" s="43">
        <v>21449</v>
      </c>
      <c r="K74" s="43">
        <f>SUM(L74:L76)</f>
        <v>6</v>
      </c>
      <c r="L74" s="43">
        <v>2</v>
      </c>
      <c r="M74" s="43"/>
      <c r="N74" s="43">
        <v>4</v>
      </c>
      <c r="O74" s="43">
        <v>3</v>
      </c>
      <c r="P74" s="43">
        <v>7</v>
      </c>
      <c r="Q74" s="43">
        <v>6</v>
      </c>
      <c r="R74" s="43">
        <v>9</v>
      </c>
      <c r="S74" s="43">
        <v>9</v>
      </c>
      <c r="T74" s="43">
        <v>20</v>
      </c>
      <c r="U74" s="43">
        <v>3</v>
      </c>
      <c r="V74" s="41" t="s">
        <v>33</v>
      </c>
      <c r="W74" s="41" t="s">
        <v>34</v>
      </c>
      <c r="X74" s="41">
        <v>1</v>
      </c>
      <c r="Y74" s="41">
        <v>3</v>
      </c>
      <c r="Z74" s="41">
        <v>322</v>
      </c>
      <c r="AA74" s="44">
        <v>34</v>
      </c>
      <c r="AB74" s="44">
        <v>34</v>
      </c>
      <c r="AC74" s="43">
        <v>45</v>
      </c>
      <c r="AD74" s="43">
        <v>30</v>
      </c>
      <c r="AE74" s="43">
        <v>45</v>
      </c>
    </row>
    <row r="75" spans="1:337" x14ac:dyDescent="0.35">
      <c r="A75" s="32" t="s">
        <v>31</v>
      </c>
      <c r="B75" s="32" t="s">
        <v>35</v>
      </c>
      <c r="C75" s="33">
        <v>46120</v>
      </c>
      <c r="D75" s="34">
        <v>13</v>
      </c>
      <c r="E75" s="34">
        <v>24</v>
      </c>
      <c r="F75" s="34">
        <v>25</v>
      </c>
      <c r="G75" s="141"/>
      <c r="H75" s="141"/>
      <c r="I75" s="141"/>
      <c r="J75" s="141"/>
      <c r="K75" s="141"/>
      <c r="L75" s="34">
        <v>2</v>
      </c>
      <c r="M75" s="34">
        <v>5</v>
      </c>
      <c r="N75" s="34">
        <v>4</v>
      </c>
      <c r="O75" s="34">
        <v>4</v>
      </c>
      <c r="P75" s="32">
        <v>7</v>
      </c>
      <c r="Q75" s="32">
        <v>7</v>
      </c>
      <c r="R75" s="32">
        <v>8</v>
      </c>
      <c r="S75" s="32">
        <v>6</v>
      </c>
      <c r="T75" s="143"/>
      <c r="U75" s="143"/>
      <c r="V75" s="32" t="s">
        <v>36</v>
      </c>
      <c r="W75" s="32" t="s">
        <v>37</v>
      </c>
      <c r="X75" s="32">
        <v>1</v>
      </c>
      <c r="Y75" s="143"/>
      <c r="Z75" s="143"/>
      <c r="AA75" s="145"/>
      <c r="AB75" s="145"/>
      <c r="AC75" s="141"/>
      <c r="AD75" s="141"/>
      <c r="AE75" s="141"/>
    </row>
    <row r="76" spans="1:337" ht="15" thickBot="1" x14ac:dyDescent="0.4">
      <c r="A76" s="45" t="s">
        <v>31</v>
      </c>
      <c r="B76" s="45" t="s">
        <v>38</v>
      </c>
      <c r="C76" s="46">
        <v>46120</v>
      </c>
      <c r="D76" s="47"/>
      <c r="E76" s="47"/>
      <c r="F76" s="47"/>
      <c r="G76" s="142"/>
      <c r="H76" s="142"/>
      <c r="I76" s="142"/>
      <c r="J76" s="142"/>
      <c r="K76" s="142"/>
      <c r="L76" s="47">
        <v>2</v>
      </c>
      <c r="M76" s="47"/>
      <c r="N76" s="47"/>
      <c r="O76" s="47"/>
      <c r="P76" s="47"/>
      <c r="Q76" s="47"/>
      <c r="R76" s="47"/>
      <c r="S76" s="47"/>
      <c r="T76" s="144"/>
      <c r="U76" s="144"/>
      <c r="V76" s="45"/>
      <c r="W76" s="45"/>
      <c r="X76" s="47"/>
      <c r="Y76" s="144"/>
      <c r="Z76" s="144"/>
      <c r="AA76" s="146"/>
      <c r="AB76" s="146"/>
      <c r="AC76" s="142"/>
      <c r="AD76" s="142"/>
      <c r="AE76" s="142"/>
    </row>
    <row r="77" spans="1:337" s="53" customFormat="1" ht="15" thickBot="1" x14ac:dyDescent="0.4">
      <c r="A77" s="49"/>
      <c r="B77" s="49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49"/>
      <c r="U77" s="49"/>
      <c r="V77" s="49"/>
      <c r="W77" s="49"/>
      <c r="X77" s="51"/>
      <c r="Y77" s="49"/>
      <c r="Z77" s="49"/>
      <c r="AA77" s="52"/>
      <c r="AB77" s="52"/>
      <c r="AC77" s="51"/>
      <c r="AD77" s="51"/>
      <c r="AE77" s="51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</row>
    <row r="78" spans="1:337" x14ac:dyDescent="0.35">
      <c r="A78" s="41" t="s">
        <v>31</v>
      </c>
      <c r="B78" s="41" t="s">
        <v>32</v>
      </c>
      <c r="C78" s="42">
        <v>46121</v>
      </c>
      <c r="D78" s="43">
        <v>0</v>
      </c>
      <c r="E78" s="43">
        <v>20</v>
      </c>
      <c r="F78" s="43">
        <v>20</v>
      </c>
      <c r="G78" s="43">
        <v>28</v>
      </c>
      <c r="H78" s="43">
        <v>40</v>
      </c>
      <c r="I78" s="43">
        <v>10</v>
      </c>
      <c r="J78" s="43">
        <v>21449</v>
      </c>
      <c r="K78" s="43">
        <f>SUM(L78:L80)</f>
        <v>6</v>
      </c>
      <c r="L78" s="43">
        <v>2</v>
      </c>
      <c r="M78" s="43"/>
      <c r="N78" s="43">
        <v>4</v>
      </c>
      <c r="O78" s="43">
        <v>3</v>
      </c>
      <c r="P78" s="43">
        <v>7</v>
      </c>
      <c r="Q78" s="43">
        <v>6</v>
      </c>
      <c r="R78" s="43">
        <v>9</v>
      </c>
      <c r="S78" s="43">
        <v>9</v>
      </c>
      <c r="T78" s="43">
        <v>25</v>
      </c>
      <c r="U78" s="43">
        <v>4</v>
      </c>
      <c r="V78" s="41" t="s">
        <v>33</v>
      </c>
      <c r="W78" s="41" t="s">
        <v>34</v>
      </c>
      <c r="X78" s="41">
        <v>1</v>
      </c>
      <c r="Y78" s="41">
        <v>3</v>
      </c>
      <c r="Z78" s="41">
        <v>322</v>
      </c>
      <c r="AA78" s="44">
        <v>34</v>
      </c>
      <c r="AB78" s="44">
        <v>34</v>
      </c>
      <c r="AC78" s="43">
        <v>45</v>
      </c>
      <c r="AD78" s="43">
        <v>30</v>
      </c>
      <c r="AE78" s="43">
        <v>45</v>
      </c>
    </row>
    <row r="79" spans="1:337" x14ac:dyDescent="0.35">
      <c r="A79" s="32" t="s">
        <v>31</v>
      </c>
      <c r="B79" s="32" t="s">
        <v>35</v>
      </c>
      <c r="C79" s="33">
        <v>46121</v>
      </c>
      <c r="D79" s="34">
        <v>13</v>
      </c>
      <c r="E79" s="34">
        <v>24</v>
      </c>
      <c r="F79" s="34">
        <v>25</v>
      </c>
      <c r="G79" s="141"/>
      <c r="H79" s="141"/>
      <c r="I79" s="141"/>
      <c r="J79" s="141"/>
      <c r="K79" s="141"/>
      <c r="L79" s="34">
        <v>2</v>
      </c>
      <c r="M79" s="34">
        <v>5</v>
      </c>
      <c r="N79" s="34">
        <v>4</v>
      </c>
      <c r="O79" s="34">
        <v>4</v>
      </c>
      <c r="P79" s="32">
        <v>7</v>
      </c>
      <c r="Q79" s="32">
        <v>7</v>
      </c>
      <c r="R79" s="32">
        <v>8</v>
      </c>
      <c r="S79" s="32">
        <v>6</v>
      </c>
      <c r="T79" s="143"/>
      <c r="U79" s="143"/>
      <c r="V79" s="32" t="s">
        <v>36</v>
      </c>
      <c r="W79" s="32" t="s">
        <v>37</v>
      </c>
      <c r="X79" s="32">
        <v>1</v>
      </c>
      <c r="Y79" s="143"/>
      <c r="Z79" s="143"/>
      <c r="AA79" s="145"/>
      <c r="AB79" s="145"/>
      <c r="AC79" s="141"/>
      <c r="AD79" s="141"/>
      <c r="AE79" s="141"/>
    </row>
    <row r="80" spans="1:337" ht="15" thickBot="1" x14ac:dyDescent="0.4">
      <c r="A80" s="45" t="s">
        <v>31</v>
      </c>
      <c r="B80" s="45" t="s">
        <v>38</v>
      </c>
      <c r="C80" s="46">
        <v>46121</v>
      </c>
      <c r="D80" s="47"/>
      <c r="E80" s="47"/>
      <c r="F80" s="47"/>
      <c r="G80" s="142"/>
      <c r="H80" s="142"/>
      <c r="I80" s="142"/>
      <c r="J80" s="142"/>
      <c r="K80" s="142"/>
      <c r="L80" s="47">
        <v>2</v>
      </c>
      <c r="M80" s="47"/>
      <c r="N80" s="47"/>
      <c r="O80" s="47"/>
      <c r="P80" s="47"/>
      <c r="Q80" s="47"/>
      <c r="R80" s="47"/>
      <c r="S80" s="47"/>
      <c r="T80" s="144"/>
      <c r="U80" s="144"/>
      <c r="V80" s="45"/>
      <c r="W80" s="45"/>
      <c r="X80" s="47"/>
      <c r="Y80" s="144"/>
      <c r="Z80" s="144"/>
      <c r="AA80" s="146"/>
      <c r="AB80" s="146"/>
      <c r="AC80" s="142"/>
      <c r="AD80" s="142"/>
      <c r="AE80" s="142"/>
    </row>
    <row r="81" spans="1:337" s="53" customFormat="1" ht="15" thickBot="1" x14ac:dyDescent="0.4">
      <c r="A81" s="49"/>
      <c r="B81" s="49"/>
      <c r="C81" s="50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49"/>
      <c r="U81" s="49"/>
      <c r="V81" s="49"/>
      <c r="W81" s="49"/>
      <c r="X81" s="51"/>
      <c r="Y81" s="49"/>
      <c r="Z81" s="49"/>
      <c r="AA81" s="52"/>
      <c r="AB81" s="52"/>
      <c r="AC81" s="51"/>
      <c r="AD81" s="51"/>
      <c r="AE81" s="5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</row>
    <row r="82" spans="1:337" x14ac:dyDescent="0.35">
      <c r="A82" s="41" t="s">
        <v>31</v>
      </c>
      <c r="B82" s="41" t="s">
        <v>32</v>
      </c>
      <c r="C82" s="42">
        <v>46122</v>
      </c>
      <c r="D82" s="43">
        <v>0</v>
      </c>
      <c r="E82" s="43">
        <v>20</v>
      </c>
      <c r="F82" s="43">
        <v>20</v>
      </c>
      <c r="G82" s="43">
        <v>28</v>
      </c>
      <c r="H82" s="43">
        <v>40</v>
      </c>
      <c r="I82" s="43">
        <v>10</v>
      </c>
      <c r="J82" s="43">
        <v>21449</v>
      </c>
      <c r="K82" s="43">
        <f>SUM(L82:L84)</f>
        <v>6</v>
      </c>
      <c r="L82" s="43">
        <v>2</v>
      </c>
      <c r="M82" s="43"/>
      <c r="N82" s="43">
        <v>4</v>
      </c>
      <c r="O82" s="43">
        <v>3</v>
      </c>
      <c r="P82" s="43">
        <v>7</v>
      </c>
      <c r="Q82" s="43">
        <v>6</v>
      </c>
      <c r="R82" s="43">
        <v>9</v>
      </c>
      <c r="S82" s="43">
        <v>9</v>
      </c>
      <c r="T82" s="43">
        <v>25</v>
      </c>
      <c r="U82" s="43">
        <v>4</v>
      </c>
      <c r="V82" s="41" t="s">
        <v>33</v>
      </c>
      <c r="W82" s="41" t="s">
        <v>34</v>
      </c>
      <c r="X82" s="41">
        <v>1</v>
      </c>
      <c r="Y82" s="41">
        <v>3</v>
      </c>
      <c r="Z82" s="41">
        <v>322</v>
      </c>
      <c r="AA82" s="44">
        <v>34</v>
      </c>
      <c r="AB82" s="44">
        <v>34</v>
      </c>
      <c r="AC82" s="43">
        <v>45</v>
      </c>
      <c r="AD82" s="43">
        <v>30</v>
      </c>
      <c r="AE82" s="43">
        <v>45</v>
      </c>
    </row>
    <row r="83" spans="1:337" x14ac:dyDescent="0.35">
      <c r="A83" s="32" t="s">
        <v>31</v>
      </c>
      <c r="B83" s="32" t="s">
        <v>35</v>
      </c>
      <c r="C83" s="33">
        <v>46122</v>
      </c>
      <c r="D83" s="34">
        <v>13</v>
      </c>
      <c r="E83" s="34">
        <v>24</v>
      </c>
      <c r="F83" s="34">
        <v>25</v>
      </c>
      <c r="G83" s="141"/>
      <c r="H83" s="141"/>
      <c r="I83" s="141"/>
      <c r="J83" s="141"/>
      <c r="K83" s="141"/>
      <c r="L83" s="34">
        <v>2</v>
      </c>
      <c r="M83" s="34">
        <v>5</v>
      </c>
      <c r="N83" s="34">
        <v>4</v>
      </c>
      <c r="O83" s="34">
        <v>4</v>
      </c>
      <c r="P83" s="32">
        <v>7</v>
      </c>
      <c r="Q83" s="32">
        <v>7</v>
      </c>
      <c r="R83" s="32">
        <v>8</v>
      </c>
      <c r="S83" s="32">
        <v>6</v>
      </c>
      <c r="T83" s="143"/>
      <c r="U83" s="143"/>
      <c r="V83" s="32" t="s">
        <v>36</v>
      </c>
      <c r="W83" s="32" t="s">
        <v>37</v>
      </c>
      <c r="X83" s="32">
        <v>1</v>
      </c>
      <c r="Y83" s="143"/>
      <c r="Z83" s="143"/>
      <c r="AA83" s="145"/>
      <c r="AB83" s="145"/>
      <c r="AC83" s="141"/>
      <c r="AD83" s="141"/>
      <c r="AE83" s="141"/>
    </row>
    <row r="84" spans="1:337" ht="15" thickBot="1" x14ac:dyDescent="0.4">
      <c r="A84" s="45" t="s">
        <v>31</v>
      </c>
      <c r="B84" s="45" t="s">
        <v>38</v>
      </c>
      <c r="C84" s="46">
        <v>46122</v>
      </c>
      <c r="D84" s="47"/>
      <c r="E84" s="47"/>
      <c r="F84" s="47"/>
      <c r="G84" s="142"/>
      <c r="H84" s="142"/>
      <c r="I84" s="142"/>
      <c r="J84" s="142"/>
      <c r="K84" s="142"/>
      <c r="L84" s="47">
        <v>2</v>
      </c>
      <c r="M84" s="47"/>
      <c r="N84" s="47"/>
      <c r="O84" s="47"/>
      <c r="P84" s="47"/>
      <c r="Q84" s="47"/>
      <c r="R84" s="47"/>
      <c r="S84" s="47"/>
      <c r="T84" s="144"/>
      <c r="U84" s="144"/>
      <c r="V84" s="45"/>
      <c r="W84" s="45"/>
      <c r="X84" s="47"/>
      <c r="Y84" s="144"/>
      <c r="Z84" s="144"/>
      <c r="AA84" s="146"/>
      <c r="AB84" s="146"/>
      <c r="AC84" s="142"/>
      <c r="AD84" s="142"/>
      <c r="AE84" s="142"/>
    </row>
    <row r="85" spans="1:337" s="53" customFormat="1" ht="15" thickBot="1" x14ac:dyDescent="0.4">
      <c r="A85" s="49"/>
      <c r="B85" s="49"/>
      <c r="C85" s="50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49"/>
      <c r="U85" s="49"/>
      <c r="V85" s="49"/>
      <c r="W85" s="49"/>
      <c r="X85" s="51"/>
      <c r="Y85" s="49"/>
      <c r="Z85" s="49"/>
      <c r="AA85" s="52"/>
      <c r="AB85" s="52"/>
      <c r="AC85" s="51"/>
      <c r="AD85" s="51"/>
      <c r="AE85" s="51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</row>
    <row r="86" spans="1:337" x14ac:dyDescent="0.35">
      <c r="A86" s="41" t="s">
        <v>31</v>
      </c>
      <c r="B86" s="41" t="s">
        <v>32</v>
      </c>
      <c r="C86" s="42">
        <v>46125</v>
      </c>
      <c r="D86" s="43">
        <v>0</v>
      </c>
      <c r="E86" s="43">
        <v>20</v>
      </c>
      <c r="F86" s="43">
        <v>20</v>
      </c>
      <c r="G86" s="43">
        <v>28</v>
      </c>
      <c r="H86" s="43">
        <v>40</v>
      </c>
      <c r="I86" s="43">
        <v>10</v>
      </c>
      <c r="J86" s="43">
        <v>21449</v>
      </c>
      <c r="K86" s="43">
        <f>SUM(L86:L88)</f>
        <v>6</v>
      </c>
      <c r="L86" s="43">
        <v>2</v>
      </c>
      <c r="M86" s="43"/>
      <c r="N86" s="43">
        <v>4</v>
      </c>
      <c r="O86" s="43">
        <v>3</v>
      </c>
      <c r="P86" s="43">
        <v>7</v>
      </c>
      <c r="Q86" s="43">
        <v>6</v>
      </c>
      <c r="R86" s="43">
        <v>9</v>
      </c>
      <c r="S86" s="43">
        <v>9</v>
      </c>
      <c r="T86" s="43">
        <v>25</v>
      </c>
      <c r="U86" s="43">
        <v>4</v>
      </c>
      <c r="V86" s="41" t="s">
        <v>33</v>
      </c>
      <c r="W86" s="41" t="s">
        <v>34</v>
      </c>
      <c r="X86" s="41">
        <v>1</v>
      </c>
      <c r="Y86" s="41">
        <v>3</v>
      </c>
      <c r="Z86" s="41">
        <v>322</v>
      </c>
      <c r="AA86" s="44">
        <v>34</v>
      </c>
      <c r="AB86" s="44">
        <v>34</v>
      </c>
      <c r="AC86" s="43">
        <v>45</v>
      </c>
      <c r="AD86" s="43">
        <v>30</v>
      </c>
      <c r="AE86" s="43">
        <v>45</v>
      </c>
    </row>
    <row r="87" spans="1:337" x14ac:dyDescent="0.35">
      <c r="A87" s="32" t="s">
        <v>31</v>
      </c>
      <c r="B87" s="32" t="s">
        <v>35</v>
      </c>
      <c r="C87" s="33">
        <v>46125</v>
      </c>
      <c r="D87" s="34">
        <v>13</v>
      </c>
      <c r="E87" s="34">
        <v>24</v>
      </c>
      <c r="F87" s="34">
        <v>25</v>
      </c>
      <c r="G87" s="141"/>
      <c r="H87" s="141"/>
      <c r="I87" s="141"/>
      <c r="J87" s="141"/>
      <c r="K87" s="141"/>
      <c r="L87" s="34">
        <v>2</v>
      </c>
      <c r="M87" s="34">
        <v>5</v>
      </c>
      <c r="N87" s="34">
        <v>4</v>
      </c>
      <c r="O87" s="34">
        <v>4</v>
      </c>
      <c r="P87" s="32">
        <v>7</v>
      </c>
      <c r="Q87" s="32">
        <v>7</v>
      </c>
      <c r="R87" s="32">
        <v>8</v>
      </c>
      <c r="S87" s="32">
        <v>6</v>
      </c>
      <c r="T87" s="143"/>
      <c r="U87" s="143"/>
      <c r="V87" s="32" t="s">
        <v>36</v>
      </c>
      <c r="W87" s="32" t="s">
        <v>37</v>
      </c>
      <c r="X87" s="32">
        <v>1</v>
      </c>
      <c r="Y87" s="143"/>
      <c r="Z87" s="143"/>
      <c r="AA87" s="145"/>
      <c r="AB87" s="145"/>
      <c r="AC87" s="141"/>
      <c r="AD87" s="141"/>
      <c r="AE87" s="141"/>
    </row>
    <row r="88" spans="1:337" ht="15" thickBot="1" x14ac:dyDescent="0.4">
      <c r="A88" s="45" t="s">
        <v>31</v>
      </c>
      <c r="B88" s="45" t="s">
        <v>38</v>
      </c>
      <c r="C88" s="46">
        <v>46125</v>
      </c>
      <c r="D88" s="47"/>
      <c r="E88" s="47"/>
      <c r="F88" s="47"/>
      <c r="G88" s="142"/>
      <c r="H88" s="142"/>
      <c r="I88" s="142"/>
      <c r="J88" s="142"/>
      <c r="K88" s="142"/>
      <c r="L88" s="47">
        <v>2</v>
      </c>
      <c r="M88" s="47"/>
      <c r="N88" s="47"/>
      <c r="O88" s="47"/>
      <c r="P88" s="47"/>
      <c r="Q88" s="47"/>
      <c r="R88" s="47"/>
      <c r="S88" s="47"/>
      <c r="T88" s="144"/>
      <c r="U88" s="144"/>
      <c r="V88" s="45"/>
      <c r="W88" s="45"/>
      <c r="X88" s="47"/>
      <c r="Y88" s="144"/>
      <c r="Z88" s="144"/>
      <c r="AA88" s="146"/>
      <c r="AB88" s="146"/>
      <c r="AC88" s="142"/>
      <c r="AD88" s="142"/>
      <c r="AE88" s="142"/>
    </row>
    <row r="89" spans="1:337" s="53" customFormat="1" ht="15" thickBot="1" x14ac:dyDescent="0.4">
      <c r="A89" s="49"/>
      <c r="B89" s="49"/>
      <c r="C89" s="50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49"/>
      <c r="U89" s="49"/>
      <c r="V89" s="49"/>
      <c r="W89" s="49"/>
      <c r="X89" s="51"/>
      <c r="Y89" s="49"/>
      <c r="Z89" s="49"/>
      <c r="AA89" s="52"/>
      <c r="AB89" s="52"/>
      <c r="AC89" s="51"/>
      <c r="AD89" s="51"/>
      <c r="AE89" s="51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</row>
    <row r="90" spans="1:337" x14ac:dyDescent="0.35">
      <c r="A90" s="41" t="s">
        <v>31</v>
      </c>
      <c r="B90" s="41" t="s">
        <v>32</v>
      </c>
      <c r="C90" s="42">
        <v>46126</v>
      </c>
      <c r="D90" s="43">
        <v>0</v>
      </c>
      <c r="E90" s="43">
        <v>20</v>
      </c>
      <c r="F90" s="43">
        <v>20</v>
      </c>
      <c r="G90" s="43">
        <v>28</v>
      </c>
      <c r="H90" s="43">
        <v>40</v>
      </c>
      <c r="I90" s="43">
        <v>10</v>
      </c>
      <c r="J90" s="43">
        <v>21449</v>
      </c>
      <c r="K90" s="43">
        <f>SUM(L90:L92)</f>
        <v>6</v>
      </c>
      <c r="L90" s="43">
        <v>2</v>
      </c>
      <c r="M90" s="43"/>
      <c r="N90" s="43">
        <v>4</v>
      </c>
      <c r="O90" s="43">
        <v>3</v>
      </c>
      <c r="P90" s="43">
        <v>7</v>
      </c>
      <c r="Q90" s="43">
        <v>6</v>
      </c>
      <c r="R90" s="43">
        <v>9</v>
      </c>
      <c r="S90" s="43">
        <v>9</v>
      </c>
      <c r="T90" s="43">
        <v>25</v>
      </c>
      <c r="U90" s="43">
        <v>4</v>
      </c>
      <c r="V90" s="41" t="s">
        <v>33</v>
      </c>
      <c r="W90" s="41" t="s">
        <v>34</v>
      </c>
      <c r="X90" s="41">
        <v>1</v>
      </c>
      <c r="Y90" s="41">
        <v>3</v>
      </c>
      <c r="Z90" s="41">
        <v>322</v>
      </c>
      <c r="AA90" s="44">
        <v>34</v>
      </c>
      <c r="AB90" s="44">
        <v>34</v>
      </c>
      <c r="AC90" s="43">
        <v>45</v>
      </c>
      <c r="AD90" s="43">
        <v>30</v>
      </c>
      <c r="AE90" s="43">
        <v>45</v>
      </c>
    </row>
    <row r="91" spans="1:337" x14ac:dyDescent="0.35">
      <c r="A91" s="32" t="s">
        <v>31</v>
      </c>
      <c r="B91" s="32" t="s">
        <v>35</v>
      </c>
      <c r="C91" s="33">
        <v>46126</v>
      </c>
      <c r="D91" s="34">
        <v>13</v>
      </c>
      <c r="E91" s="34">
        <v>24</v>
      </c>
      <c r="F91" s="34">
        <v>25</v>
      </c>
      <c r="G91" s="141"/>
      <c r="H91" s="141"/>
      <c r="I91" s="141"/>
      <c r="J91" s="141"/>
      <c r="K91" s="141"/>
      <c r="L91" s="34">
        <v>2</v>
      </c>
      <c r="M91" s="34">
        <v>5</v>
      </c>
      <c r="N91" s="34">
        <v>4</v>
      </c>
      <c r="O91" s="34">
        <v>4</v>
      </c>
      <c r="P91" s="32">
        <v>7</v>
      </c>
      <c r="Q91" s="32">
        <v>7</v>
      </c>
      <c r="R91" s="32">
        <v>8</v>
      </c>
      <c r="S91" s="32">
        <v>6</v>
      </c>
      <c r="T91" s="143"/>
      <c r="U91" s="143"/>
      <c r="V91" s="32" t="s">
        <v>36</v>
      </c>
      <c r="W91" s="32" t="s">
        <v>37</v>
      </c>
      <c r="X91" s="32">
        <v>1</v>
      </c>
      <c r="Y91" s="143"/>
      <c r="Z91" s="143"/>
      <c r="AA91" s="145"/>
      <c r="AB91" s="145"/>
      <c r="AC91" s="141"/>
      <c r="AD91" s="141"/>
      <c r="AE91" s="141"/>
    </row>
    <row r="92" spans="1:337" ht="15" thickBot="1" x14ac:dyDescent="0.4">
      <c r="A92" s="45" t="s">
        <v>31</v>
      </c>
      <c r="B92" s="45" t="s">
        <v>38</v>
      </c>
      <c r="C92" s="46">
        <v>46126</v>
      </c>
      <c r="D92" s="47"/>
      <c r="E92" s="47"/>
      <c r="F92" s="47"/>
      <c r="G92" s="142"/>
      <c r="H92" s="142"/>
      <c r="I92" s="142"/>
      <c r="J92" s="142"/>
      <c r="K92" s="142"/>
      <c r="L92" s="47">
        <v>2</v>
      </c>
      <c r="M92" s="47"/>
      <c r="N92" s="47"/>
      <c r="O92" s="47"/>
      <c r="P92" s="47"/>
      <c r="Q92" s="47"/>
      <c r="R92" s="47"/>
      <c r="S92" s="47"/>
      <c r="T92" s="144"/>
      <c r="U92" s="144"/>
      <c r="V92" s="45"/>
      <c r="W92" s="45"/>
      <c r="X92" s="47"/>
      <c r="Y92" s="144"/>
      <c r="Z92" s="144"/>
      <c r="AA92" s="146"/>
      <c r="AB92" s="146"/>
      <c r="AC92" s="142"/>
      <c r="AD92" s="142"/>
      <c r="AE92" s="142"/>
    </row>
    <row r="93" spans="1:337" s="53" customFormat="1" ht="15" thickBot="1" x14ac:dyDescent="0.4">
      <c r="A93" s="49"/>
      <c r="B93" s="49"/>
      <c r="C93" s="50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49"/>
      <c r="U93" s="49"/>
      <c r="V93" s="49"/>
      <c r="W93" s="49"/>
      <c r="X93" s="51"/>
      <c r="Y93" s="49"/>
      <c r="Z93" s="49"/>
      <c r="AA93" s="52"/>
      <c r="AB93" s="52"/>
      <c r="AC93" s="51"/>
      <c r="AD93" s="51"/>
      <c r="AE93" s="51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</row>
    <row r="94" spans="1:337" x14ac:dyDescent="0.35">
      <c r="A94" s="41" t="s">
        <v>31</v>
      </c>
      <c r="B94" s="41" t="s">
        <v>32</v>
      </c>
      <c r="C94" s="42">
        <v>46127</v>
      </c>
      <c r="D94" s="43">
        <v>0</v>
      </c>
      <c r="E94" s="43">
        <v>20</v>
      </c>
      <c r="F94" s="43">
        <v>20</v>
      </c>
      <c r="G94" s="43">
        <v>28</v>
      </c>
      <c r="H94" s="43">
        <v>40</v>
      </c>
      <c r="I94" s="43">
        <v>10</v>
      </c>
      <c r="J94" s="43">
        <v>21449</v>
      </c>
      <c r="K94" s="43">
        <f>SUM(L94:L96)</f>
        <v>6</v>
      </c>
      <c r="L94" s="43">
        <v>2</v>
      </c>
      <c r="M94" s="43"/>
      <c r="N94" s="43">
        <v>4</v>
      </c>
      <c r="O94" s="43">
        <v>3</v>
      </c>
      <c r="P94" s="43">
        <v>7</v>
      </c>
      <c r="Q94" s="43">
        <v>6</v>
      </c>
      <c r="R94" s="43">
        <v>9</v>
      </c>
      <c r="S94" s="43">
        <v>9</v>
      </c>
      <c r="T94" s="43">
        <v>25</v>
      </c>
      <c r="U94" s="43">
        <v>4</v>
      </c>
      <c r="V94" s="41" t="s">
        <v>33</v>
      </c>
      <c r="W94" s="41" t="s">
        <v>34</v>
      </c>
      <c r="X94" s="41">
        <v>1</v>
      </c>
      <c r="Y94" s="41">
        <v>3</v>
      </c>
      <c r="Z94" s="41">
        <v>322</v>
      </c>
      <c r="AA94" s="44">
        <v>34</v>
      </c>
      <c r="AB94" s="44">
        <v>34</v>
      </c>
      <c r="AC94" s="43">
        <v>45</v>
      </c>
      <c r="AD94" s="43">
        <v>30</v>
      </c>
      <c r="AE94" s="43">
        <v>45</v>
      </c>
    </row>
    <row r="95" spans="1:337" x14ac:dyDescent="0.35">
      <c r="A95" s="32" t="s">
        <v>31</v>
      </c>
      <c r="B95" s="32" t="s">
        <v>35</v>
      </c>
      <c r="C95" s="33">
        <v>46127</v>
      </c>
      <c r="D95" s="34">
        <v>13</v>
      </c>
      <c r="E95" s="34">
        <v>24</v>
      </c>
      <c r="F95" s="34">
        <v>25</v>
      </c>
      <c r="G95" s="141"/>
      <c r="H95" s="141"/>
      <c r="I95" s="141"/>
      <c r="J95" s="141"/>
      <c r="K95" s="141"/>
      <c r="L95" s="34">
        <v>2</v>
      </c>
      <c r="M95" s="34">
        <v>5</v>
      </c>
      <c r="N95" s="34">
        <v>4</v>
      </c>
      <c r="O95" s="34">
        <v>4</v>
      </c>
      <c r="P95" s="32">
        <v>7</v>
      </c>
      <c r="Q95" s="32">
        <v>7</v>
      </c>
      <c r="R95" s="32">
        <v>8</v>
      </c>
      <c r="S95" s="32">
        <v>6</v>
      </c>
      <c r="T95" s="143"/>
      <c r="U95" s="143"/>
      <c r="V95" s="32" t="s">
        <v>36</v>
      </c>
      <c r="W95" s="32" t="s">
        <v>37</v>
      </c>
      <c r="X95" s="32">
        <v>1</v>
      </c>
      <c r="Y95" s="143"/>
      <c r="Z95" s="143"/>
      <c r="AA95" s="145"/>
      <c r="AB95" s="145"/>
      <c r="AC95" s="141"/>
      <c r="AD95" s="141"/>
      <c r="AE95" s="141"/>
    </row>
    <row r="96" spans="1:337" ht="15" thickBot="1" x14ac:dyDescent="0.4">
      <c r="A96" s="45" t="s">
        <v>31</v>
      </c>
      <c r="B96" s="45" t="s">
        <v>38</v>
      </c>
      <c r="C96" s="46">
        <v>46127</v>
      </c>
      <c r="D96" s="47"/>
      <c r="E96" s="47"/>
      <c r="F96" s="47"/>
      <c r="G96" s="142"/>
      <c r="H96" s="142"/>
      <c r="I96" s="142"/>
      <c r="J96" s="142"/>
      <c r="K96" s="142"/>
      <c r="L96" s="47">
        <v>2</v>
      </c>
      <c r="M96" s="47"/>
      <c r="N96" s="47"/>
      <c r="O96" s="47"/>
      <c r="P96" s="47"/>
      <c r="Q96" s="47"/>
      <c r="R96" s="47"/>
      <c r="S96" s="47"/>
      <c r="T96" s="144"/>
      <c r="U96" s="144"/>
      <c r="V96" s="45"/>
      <c r="W96" s="45"/>
      <c r="X96" s="47"/>
      <c r="Y96" s="144"/>
      <c r="Z96" s="144"/>
      <c r="AA96" s="146"/>
      <c r="AB96" s="146"/>
      <c r="AC96" s="142"/>
      <c r="AD96" s="142"/>
      <c r="AE96" s="142"/>
    </row>
    <row r="97" spans="1:337" s="53" customFormat="1" ht="15" thickBot="1" x14ac:dyDescent="0.4">
      <c r="A97" s="49"/>
      <c r="B97" s="49"/>
      <c r="C97" s="50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49"/>
      <c r="U97" s="49"/>
      <c r="V97" s="49"/>
      <c r="W97" s="49"/>
      <c r="X97" s="51"/>
      <c r="Y97" s="49"/>
      <c r="Z97" s="49"/>
      <c r="AA97" s="52"/>
      <c r="AB97" s="52"/>
      <c r="AC97" s="51"/>
      <c r="AD97" s="51"/>
      <c r="AE97" s="51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</row>
    <row r="98" spans="1:337" x14ac:dyDescent="0.35">
      <c r="A98" s="41" t="s">
        <v>31</v>
      </c>
      <c r="B98" s="41" t="s">
        <v>32</v>
      </c>
      <c r="C98" s="42">
        <v>46128</v>
      </c>
      <c r="D98" s="43">
        <v>0</v>
      </c>
      <c r="E98" s="43">
        <v>20</v>
      </c>
      <c r="F98" s="43">
        <v>20</v>
      </c>
      <c r="G98" s="43">
        <v>28</v>
      </c>
      <c r="H98" s="43">
        <v>40</v>
      </c>
      <c r="I98" s="43">
        <v>10</v>
      </c>
      <c r="J98" s="43">
        <v>21449</v>
      </c>
      <c r="K98" s="43">
        <f>SUM(L98:L100)</f>
        <v>6</v>
      </c>
      <c r="L98" s="43">
        <v>2</v>
      </c>
      <c r="M98" s="43"/>
      <c r="N98" s="43">
        <v>4</v>
      </c>
      <c r="O98" s="43">
        <v>3</v>
      </c>
      <c r="P98" s="43">
        <v>7</v>
      </c>
      <c r="Q98" s="43">
        <v>6</v>
      </c>
      <c r="R98" s="43">
        <v>9</v>
      </c>
      <c r="S98" s="43">
        <v>9</v>
      </c>
      <c r="T98" s="43">
        <v>20</v>
      </c>
      <c r="U98" s="43">
        <v>3</v>
      </c>
      <c r="V98" s="41" t="s">
        <v>33</v>
      </c>
      <c r="W98" s="41" t="s">
        <v>34</v>
      </c>
      <c r="X98" s="41">
        <v>1</v>
      </c>
      <c r="Y98" s="41">
        <v>3</v>
      </c>
      <c r="Z98" s="41">
        <v>322</v>
      </c>
      <c r="AA98" s="44">
        <v>34</v>
      </c>
      <c r="AB98" s="44">
        <v>34</v>
      </c>
      <c r="AC98" s="43">
        <v>45</v>
      </c>
      <c r="AD98" s="43">
        <v>30</v>
      </c>
      <c r="AE98" s="43">
        <v>45</v>
      </c>
    </row>
    <row r="99" spans="1:337" x14ac:dyDescent="0.35">
      <c r="A99" s="32" t="s">
        <v>31</v>
      </c>
      <c r="B99" s="32" t="s">
        <v>35</v>
      </c>
      <c r="C99" s="33">
        <v>46128</v>
      </c>
      <c r="D99" s="34">
        <v>13</v>
      </c>
      <c r="E99" s="34">
        <v>24</v>
      </c>
      <c r="F99" s="34">
        <v>25</v>
      </c>
      <c r="G99" s="141"/>
      <c r="H99" s="141"/>
      <c r="I99" s="141"/>
      <c r="J99" s="141"/>
      <c r="K99" s="141"/>
      <c r="L99" s="34">
        <v>2</v>
      </c>
      <c r="M99" s="34">
        <v>5</v>
      </c>
      <c r="N99" s="34">
        <v>4</v>
      </c>
      <c r="O99" s="34">
        <v>4</v>
      </c>
      <c r="P99" s="32">
        <v>7</v>
      </c>
      <c r="Q99" s="32">
        <v>7</v>
      </c>
      <c r="R99" s="32">
        <v>8</v>
      </c>
      <c r="S99" s="32">
        <v>6</v>
      </c>
      <c r="T99" s="143"/>
      <c r="U99" s="143"/>
      <c r="V99" s="32" t="s">
        <v>36</v>
      </c>
      <c r="W99" s="32" t="s">
        <v>37</v>
      </c>
      <c r="X99" s="32">
        <v>1</v>
      </c>
      <c r="Y99" s="143"/>
      <c r="Z99" s="143"/>
      <c r="AA99" s="145"/>
      <c r="AB99" s="145"/>
      <c r="AC99" s="141"/>
      <c r="AD99" s="141"/>
      <c r="AE99" s="141"/>
    </row>
    <row r="100" spans="1:337" ht="15" thickBot="1" x14ac:dyDescent="0.4">
      <c r="A100" s="45" t="s">
        <v>31</v>
      </c>
      <c r="B100" s="45" t="s">
        <v>38</v>
      </c>
      <c r="C100" s="46">
        <v>46128</v>
      </c>
      <c r="D100" s="47"/>
      <c r="E100" s="47"/>
      <c r="F100" s="47"/>
      <c r="G100" s="142"/>
      <c r="H100" s="142"/>
      <c r="I100" s="142"/>
      <c r="J100" s="142"/>
      <c r="K100" s="142"/>
      <c r="L100" s="47">
        <v>2</v>
      </c>
      <c r="M100" s="47"/>
      <c r="N100" s="47"/>
      <c r="O100" s="47"/>
      <c r="P100" s="47"/>
      <c r="Q100" s="47"/>
      <c r="R100" s="47"/>
      <c r="S100" s="47"/>
      <c r="T100" s="144"/>
      <c r="U100" s="144"/>
      <c r="V100" s="45"/>
      <c r="W100" s="45"/>
      <c r="X100" s="47"/>
      <c r="Y100" s="144"/>
      <c r="Z100" s="144"/>
      <c r="AA100" s="146"/>
      <c r="AB100" s="146"/>
      <c r="AC100" s="142"/>
      <c r="AD100" s="142"/>
      <c r="AE100" s="142"/>
    </row>
    <row r="101" spans="1:337" s="53" customFormat="1" ht="15" thickBot="1" x14ac:dyDescent="0.4">
      <c r="A101" s="49"/>
      <c r="B101" s="49"/>
      <c r="C101" s="50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49"/>
      <c r="U101" s="49"/>
      <c r="V101" s="49"/>
      <c r="W101" s="49"/>
      <c r="X101" s="51"/>
      <c r="Y101" s="49"/>
      <c r="Z101" s="49"/>
      <c r="AA101" s="52"/>
      <c r="AB101" s="52"/>
      <c r="AC101" s="51"/>
      <c r="AD101" s="51"/>
      <c r="AE101" s="5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</row>
    <row r="102" spans="1:337" x14ac:dyDescent="0.35">
      <c r="A102" s="41" t="s">
        <v>31</v>
      </c>
      <c r="B102" s="41" t="s">
        <v>32</v>
      </c>
      <c r="C102" s="42">
        <v>46129</v>
      </c>
      <c r="D102" s="43">
        <v>0</v>
      </c>
      <c r="E102" s="43">
        <v>20</v>
      </c>
      <c r="F102" s="43">
        <v>20</v>
      </c>
      <c r="G102" s="43">
        <v>28</v>
      </c>
      <c r="H102" s="43">
        <v>40</v>
      </c>
      <c r="I102" s="43">
        <v>10</v>
      </c>
      <c r="J102" s="43">
        <v>21449</v>
      </c>
      <c r="K102" s="43">
        <f>SUM(L102:L104)</f>
        <v>6</v>
      </c>
      <c r="L102" s="43">
        <v>2</v>
      </c>
      <c r="M102" s="43"/>
      <c r="N102" s="43">
        <v>4</v>
      </c>
      <c r="O102" s="43">
        <v>3</v>
      </c>
      <c r="P102" s="43">
        <v>7</v>
      </c>
      <c r="Q102" s="43">
        <v>6</v>
      </c>
      <c r="R102" s="43">
        <v>9</v>
      </c>
      <c r="S102" s="43">
        <v>9</v>
      </c>
      <c r="T102" s="43">
        <v>25</v>
      </c>
      <c r="U102" s="43">
        <v>4</v>
      </c>
      <c r="V102" s="41" t="s">
        <v>33</v>
      </c>
      <c r="W102" s="41" t="s">
        <v>34</v>
      </c>
      <c r="X102" s="41">
        <v>1</v>
      </c>
      <c r="Y102" s="41">
        <v>3</v>
      </c>
      <c r="Z102" s="41">
        <v>322</v>
      </c>
      <c r="AA102" s="44">
        <v>34</v>
      </c>
      <c r="AB102" s="44">
        <v>34</v>
      </c>
      <c r="AC102" s="43">
        <v>45</v>
      </c>
      <c r="AD102" s="43">
        <v>30</v>
      </c>
      <c r="AE102" s="43">
        <v>45</v>
      </c>
    </row>
    <row r="103" spans="1:337" x14ac:dyDescent="0.35">
      <c r="A103" s="32" t="s">
        <v>31</v>
      </c>
      <c r="B103" s="32" t="s">
        <v>35</v>
      </c>
      <c r="C103" s="33">
        <v>46129</v>
      </c>
      <c r="D103" s="34">
        <v>13</v>
      </c>
      <c r="E103" s="34">
        <v>24</v>
      </c>
      <c r="F103" s="34">
        <v>25</v>
      </c>
      <c r="G103" s="141"/>
      <c r="H103" s="141"/>
      <c r="I103" s="141"/>
      <c r="J103" s="141"/>
      <c r="K103" s="141"/>
      <c r="L103" s="34">
        <v>2</v>
      </c>
      <c r="M103" s="34">
        <v>5</v>
      </c>
      <c r="N103" s="34">
        <v>4</v>
      </c>
      <c r="O103" s="34">
        <v>4</v>
      </c>
      <c r="P103" s="32">
        <v>7</v>
      </c>
      <c r="Q103" s="32">
        <v>7</v>
      </c>
      <c r="R103" s="32">
        <v>8</v>
      </c>
      <c r="S103" s="32">
        <v>6</v>
      </c>
      <c r="T103" s="143"/>
      <c r="U103" s="143"/>
      <c r="V103" s="32" t="s">
        <v>36</v>
      </c>
      <c r="W103" s="32" t="s">
        <v>37</v>
      </c>
      <c r="X103" s="32">
        <v>1</v>
      </c>
      <c r="Y103" s="143"/>
      <c r="Z103" s="143"/>
      <c r="AA103" s="145"/>
      <c r="AB103" s="145"/>
      <c r="AC103" s="141"/>
      <c r="AD103" s="141"/>
      <c r="AE103" s="141"/>
    </row>
    <row r="104" spans="1:337" ht="15" thickBot="1" x14ac:dyDescent="0.4">
      <c r="A104" s="45" t="s">
        <v>31</v>
      </c>
      <c r="B104" s="45" t="s">
        <v>38</v>
      </c>
      <c r="C104" s="46">
        <v>46129</v>
      </c>
      <c r="D104" s="47"/>
      <c r="E104" s="47"/>
      <c r="F104" s="47"/>
      <c r="G104" s="142"/>
      <c r="H104" s="142"/>
      <c r="I104" s="142"/>
      <c r="J104" s="142"/>
      <c r="K104" s="142"/>
      <c r="L104" s="47">
        <v>2</v>
      </c>
      <c r="M104" s="47"/>
      <c r="N104" s="47"/>
      <c r="O104" s="47"/>
      <c r="P104" s="47"/>
      <c r="Q104" s="47"/>
      <c r="R104" s="47"/>
      <c r="S104" s="47"/>
      <c r="T104" s="144"/>
      <c r="U104" s="144"/>
      <c r="V104" s="45"/>
      <c r="W104" s="45"/>
      <c r="X104" s="47"/>
      <c r="Y104" s="144"/>
      <c r="Z104" s="144"/>
      <c r="AA104" s="146"/>
      <c r="AB104" s="146"/>
      <c r="AC104" s="142"/>
      <c r="AD104" s="142"/>
      <c r="AE104" s="142"/>
    </row>
    <row r="105" spans="1:337" s="53" customFormat="1" ht="15" thickBot="1" x14ac:dyDescent="0.4">
      <c r="A105" s="49"/>
      <c r="B105" s="49"/>
      <c r="C105" s="50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49"/>
      <c r="U105" s="49"/>
      <c r="V105" s="49"/>
      <c r="W105" s="49"/>
      <c r="X105" s="51"/>
      <c r="Y105" s="49"/>
      <c r="Z105" s="49"/>
      <c r="AA105" s="52"/>
      <c r="AB105" s="52"/>
      <c r="AC105" s="51"/>
      <c r="AD105" s="51"/>
      <c r="AE105" s="51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</row>
    <row r="106" spans="1:337" x14ac:dyDescent="0.35">
      <c r="A106" s="41" t="s">
        <v>31</v>
      </c>
      <c r="B106" s="41" t="s">
        <v>32</v>
      </c>
      <c r="C106" s="42">
        <v>46132</v>
      </c>
      <c r="D106" s="43">
        <v>0</v>
      </c>
      <c r="E106" s="43">
        <v>20</v>
      </c>
      <c r="F106" s="43">
        <v>20</v>
      </c>
      <c r="G106" s="43">
        <v>28</v>
      </c>
      <c r="H106" s="43">
        <v>40</v>
      </c>
      <c r="I106" s="43">
        <v>10</v>
      </c>
      <c r="J106" s="43">
        <v>21449</v>
      </c>
      <c r="K106" s="43">
        <f>SUM(L106:L108)</f>
        <v>6</v>
      </c>
      <c r="L106" s="43">
        <v>2</v>
      </c>
      <c r="M106" s="43"/>
      <c r="N106" s="43">
        <v>4</v>
      </c>
      <c r="O106" s="43">
        <v>3</v>
      </c>
      <c r="P106" s="43">
        <v>7</v>
      </c>
      <c r="Q106" s="43">
        <v>6</v>
      </c>
      <c r="R106" s="43">
        <v>9</v>
      </c>
      <c r="S106" s="43">
        <v>9</v>
      </c>
      <c r="T106" s="43">
        <v>25</v>
      </c>
      <c r="U106" s="43">
        <v>4</v>
      </c>
      <c r="V106" s="41" t="s">
        <v>33</v>
      </c>
      <c r="W106" s="41" t="s">
        <v>34</v>
      </c>
      <c r="X106" s="41">
        <v>1</v>
      </c>
      <c r="Y106" s="41">
        <v>3</v>
      </c>
      <c r="Z106" s="41">
        <v>322</v>
      </c>
      <c r="AA106" s="44">
        <v>34</v>
      </c>
      <c r="AB106" s="44">
        <v>34</v>
      </c>
      <c r="AC106" s="43">
        <v>45</v>
      </c>
      <c r="AD106" s="43">
        <v>30</v>
      </c>
      <c r="AE106" s="43">
        <v>45</v>
      </c>
    </row>
    <row r="107" spans="1:337" x14ac:dyDescent="0.35">
      <c r="A107" s="32" t="s">
        <v>31</v>
      </c>
      <c r="B107" s="32" t="s">
        <v>35</v>
      </c>
      <c r="C107" s="33">
        <v>46132</v>
      </c>
      <c r="D107" s="34">
        <v>13</v>
      </c>
      <c r="E107" s="34">
        <v>24</v>
      </c>
      <c r="F107" s="34">
        <v>25</v>
      </c>
      <c r="G107" s="141"/>
      <c r="H107" s="141"/>
      <c r="I107" s="141"/>
      <c r="J107" s="141"/>
      <c r="K107" s="141"/>
      <c r="L107" s="34">
        <v>2</v>
      </c>
      <c r="M107" s="34">
        <v>5</v>
      </c>
      <c r="N107" s="34">
        <v>4</v>
      </c>
      <c r="O107" s="34">
        <v>4</v>
      </c>
      <c r="P107" s="32">
        <v>7</v>
      </c>
      <c r="Q107" s="32">
        <v>7</v>
      </c>
      <c r="R107" s="32">
        <v>8</v>
      </c>
      <c r="S107" s="32">
        <v>6</v>
      </c>
      <c r="T107" s="143"/>
      <c r="U107" s="143"/>
      <c r="V107" s="32" t="s">
        <v>36</v>
      </c>
      <c r="W107" s="32" t="s">
        <v>37</v>
      </c>
      <c r="X107" s="32">
        <v>1</v>
      </c>
      <c r="Y107" s="143"/>
      <c r="Z107" s="143"/>
      <c r="AA107" s="145"/>
      <c r="AB107" s="145"/>
      <c r="AC107" s="141"/>
      <c r="AD107" s="141"/>
      <c r="AE107" s="141"/>
    </row>
    <row r="108" spans="1:337" ht="15" thickBot="1" x14ac:dyDescent="0.4">
      <c r="A108" s="45" t="s">
        <v>31</v>
      </c>
      <c r="B108" s="45" t="s">
        <v>38</v>
      </c>
      <c r="C108" s="46">
        <v>46132</v>
      </c>
      <c r="D108" s="47"/>
      <c r="E108" s="47"/>
      <c r="F108" s="47"/>
      <c r="G108" s="142"/>
      <c r="H108" s="142"/>
      <c r="I108" s="142"/>
      <c r="J108" s="142"/>
      <c r="K108" s="142"/>
      <c r="L108" s="47">
        <v>2</v>
      </c>
      <c r="M108" s="47"/>
      <c r="N108" s="47"/>
      <c r="O108" s="47"/>
      <c r="P108" s="47"/>
      <c r="Q108" s="47"/>
      <c r="R108" s="47"/>
      <c r="S108" s="47"/>
      <c r="T108" s="144"/>
      <c r="U108" s="144"/>
      <c r="V108" s="45"/>
      <c r="W108" s="45"/>
      <c r="X108" s="47"/>
      <c r="Y108" s="144"/>
      <c r="Z108" s="144"/>
      <c r="AA108" s="146"/>
      <c r="AB108" s="146"/>
      <c r="AC108" s="142"/>
      <c r="AD108" s="142"/>
      <c r="AE108" s="142"/>
    </row>
    <row r="109" spans="1:337" s="53" customFormat="1" ht="15" thickBot="1" x14ac:dyDescent="0.4">
      <c r="A109" s="49"/>
      <c r="B109" s="49"/>
      <c r="C109" s="50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49"/>
      <c r="U109" s="49"/>
      <c r="V109" s="49"/>
      <c r="W109" s="49"/>
      <c r="X109" s="51"/>
      <c r="Y109" s="49"/>
      <c r="Z109" s="49"/>
      <c r="AA109" s="52"/>
      <c r="AB109" s="52"/>
      <c r="AC109" s="51"/>
      <c r="AD109" s="51"/>
      <c r="AE109" s="51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</row>
    <row r="110" spans="1:337" x14ac:dyDescent="0.35">
      <c r="A110" s="41" t="s">
        <v>31</v>
      </c>
      <c r="B110" s="41" t="s">
        <v>32</v>
      </c>
      <c r="C110" s="42">
        <v>46133</v>
      </c>
      <c r="D110" s="43">
        <v>0</v>
      </c>
      <c r="E110" s="43">
        <v>20</v>
      </c>
      <c r="F110" s="43">
        <v>20</v>
      </c>
      <c r="G110" s="43">
        <v>28</v>
      </c>
      <c r="H110" s="43">
        <v>40</v>
      </c>
      <c r="I110" s="43">
        <v>10</v>
      </c>
      <c r="J110" s="43">
        <v>21449</v>
      </c>
      <c r="K110" s="43">
        <f>SUM(L110:L112)</f>
        <v>6</v>
      </c>
      <c r="L110" s="43">
        <v>2</v>
      </c>
      <c r="M110" s="43"/>
      <c r="N110" s="43">
        <v>4</v>
      </c>
      <c r="O110" s="43">
        <v>3</v>
      </c>
      <c r="P110" s="43">
        <v>7</v>
      </c>
      <c r="Q110" s="43">
        <v>6</v>
      </c>
      <c r="R110" s="43">
        <v>9</v>
      </c>
      <c r="S110" s="43">
        <v>9</v>
      </c>
      <c r="T110" s="43">
        <v>25</v>
      </c>
      <c r="U110" s="43">
        <v>4</v>
      </c>
      <c r="V110" s="41" t="s">
        <v>33</v>
      </c>
      <c r="W110" s="41" t="s">
        <v>34</v>
      </c>
      <c r="X110" s="41">
        <v>1</v>
      </c>
      <c r="Y110" s="41">
        <v>3</v>
      </c>
      <c r="Z110" s="41">
        <v>322</v>
      </c>
      <c r="AA110" s="44">
        <v>34</v>
      </c>
      <c r="AB110" s="44">
        <v>34</v>
      </c>
      <c r="AC110" s="43">
        <v>45</v>
      </c>
      <c r="AD110" s="43">
        <v>30</v>
      </c>
      <c r="AE110" s="43">
        <v>45</v>
      </c>
    </row>
    <row r="111" spans="1:337" x14ac:dyDescent="0.35">
      <c r="A111" s="32" t="s">
        <v>31</v>
      </c>
      <c r="B111" s="32" t="s">
        <v>35</v>
      </c>
      <c r="C111" s="33">
        <v>46133</v>
      </c>
      <c r="D111" s="34">
        <v>13</v>
      </c>
      <c r="E111" s="34">
        <v>24</v>
      </c>
      <c r="F111" s="34">
        <v>25</v>
      </c>
      <c r="G111" s="141"/>
      <c r="H111" s="141"/>
      <c r="I111" s="141"/>
      <c r="J111" s="141"/>
      <c r="K111" s="141"/>
      <c r="L111" s="34">
        <v>2</v>
      </c>
      <c r="M111" s="34">
        <v>5</v>
      </c>
      <c r="N111" s="34">
        <v>4</v>
      </c>
      <c r="O111" s="34">
        <v>4</v>
      </c>
      <c r="P111" s="32">
        <v>7</v>
      </c>
      <c r="Q111" s="32">
        <v>7</v>
      </c>
      <c r="R111" s="32">
        <v>8</v>
      </c>
      <c r="S111" s="32">
        <v>6</v>
      </c>
      <c r="T111" s="143"/>
      <c r="U111" s="143"/>
      <c r="V111" s="32" t="s">
        <v>36</v>
      </c>
      <c r="W111" s="32" t="s">
        <v>37</v>
      </c>
      <c r="X111" s="32">
        <v>1</v>
      </c>
      <c r="Y111" s="143"/>
      <c r="Z111" s="143"/>
      <c r="AA111" s="145"/>
      <c r="AB111" s="145"/>
      <c r="AC111" s="141"/>
      <c r="AD111" s="141"/>
      <c r="AE111" s="141"/>
    </row>
    <row r="112" spans="1:337" ht="15" thickBot="1" x14ac:dyDescent="0.4">
      <c r="A112" s="45" t="s">
        <v>31</v>
      </c>
      <c r="B112" s="45" t="s">
        <v>38</v>
      </c>
      <c r="C112" s="46">
        <v>46133</v>
      </c>
      <c r="D112" s="47"/>
      <c r="E112" s="47"/>
      <c r="F112" s="47"/>
      <c r="G112" s="142"/>
      <c r="H112" s="142"/>
      <c r="I112" s="142"/>
      <c r="J112" s="142"/>
      <c r="K112" s="142"/>
      <c r="L112" s="47">
        <v>2</v>
      </c>
      <c r="M112" s="47"/>
      <c r="N112" s="47"/>
      <c r="O112" s="47"/>
      <c r="P112" s="47"/>
      <c r="Q112" s="47"/>
      <c r="R112" s="47"/>
      <c r="S112" s="47"/>
      <c r="T112" s="144"/>
      <c r="U112" s="144"/>
      <c r="V112" s="45"/>
      <c r="W112" s="45"/>
      <c r="X112" s="47"/>
      <c r="Y112" s="144"/>
      <c r="Z112" s="144"/>
      <c r="AA112" s="146"/>
      <c r="AB112" s="146"/>
      <c r="AC112" s="142"/>
      <c r="AD112" s="142"/>
      <c r="AE112" s="142"/>
    </row>
    <row r="113" spans="1:337" s="53" customFormat="1" ht="15" thickBot="1" x14ac:dyDescent="0.4">
      <c r="A113" s="49"/>
      <c r="B113" s="49"/>
      <c r="C113" s="50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49"/>
      <c r="U113" s="49"/>
      <c r="V113" s="49"/>
      <c r="W113" s="49"/>
      <c r="X113" s="51"/>
      <c r="Y113" s="49"/>
      <c r="Z113" s="49"/>
      <c r="AA113" s="52"/>
      <c r="AB113" s="52"/>
      <c r="AC113" s="51"/>
      <c r="AD113" s="51"/>
      <c r="AE113" s="51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</row>
    <row r="114" spans="1:337" x14ac:dyDescent="0.35">
      <c r="A114" s="41" t="s">
        <v>31</v>
      </c>
      <c r="B114" s="41" t="s">
        <v>32</v>
      </c>
      <c r="C114" s="42">
        <v>46134</v>
      </c>
      <c r="D114" s="43">
        <v>0</v>
      </c>
      <c r="E114" s="43">
        <v>20</v>
      </c>
      <c r="F114" s="43">
        <v>20</v>
      </c>
      <c r="G114" s="43">
        <v>28</v>
      </c>
      <c r="H114" s="43">
        <v>40</v>
      </c>
      <c r="I114" s="43">
        <v>10</v>
      </c>
      <c r="J114" s="43">
        <v>21449</v>
      </c>
      <c r="K114" s="43">
        <f>SUM(L114:L116)</f>
        <v>6</v>
      </c>
      <c r="L114" s="43">
        <v>2</v>
      </c>
      <c r="M114" s="43"/>
      <c r="N114" s="43">
        <v>4</v>
      </c>
      <c r="O114" s="43">
        <v>3</v>
      </c>
      <c r="P114" s="43">
        <v>7</v>
      </c>
      <c r="Q114" s="43">
        <v>6</v>
      </c>
      <c r="R114" s="43">
        <v>9</v>
      </c>
      <c r="S114" s="43">
        <v>9</v>
      </c>
      <c r="T114" s="43">
        <v>25</v>
      </c>
      <c r="U114" s="43">
        <v>4</v>
      </c>
      <c r="V114" s="41" t="s">
        <v>33</v>
      </c>
      <c r="W114" s="41" t="s">
        <v>34</v>
      </c>
      <c r="X114" s="41">
        <v>1</v>
      </c>
      <c r="Y114" s="41">
        <v>3</v>
      </c>
      <c r="Z114" s="41">
        <v>322</v>
      </c>
      <c r="AA114" s="44">
        <v>34</v>
      </c>
      <c r="AB114" s="44">
        <v>34</v>
      </c>
      <c r="AC114" s="43">
        <v>45</v>
      </c>
      <c r="AD114" s="43">
        <v>30</v>
      </c>
      <c r="AE114" s="43">
        <v>45</v>
      </c>
    </row>
    <row r="115" spans="1:337" x14ac:dyDescent="0.35">
      <c r="A115" s="32" t="s">
        <v>31</v>
      </c>
      <c r="B115" s="32" t="s">
        <v>35</v>
      </c>
      <c r="C115" s="33">
        <v>46134</v>
      </c>
      <c r="D115" s="34">
        <v>13</v>
      </c>
      <c r="E115" s="34">
        <v>24</v>
      </c>
      <c r="F115" s="34">
        <v>25</v>
      </c>
      <c r="G115" s="141"/>
      <c r="H115" s="141"/>
      <c r="I115" s="141"/>
      <c r="J115" s="141"/>
      <c r="K115" s="141"/>
      <c r="L115" s="34">
        <v>2</v>
      </c>
      <c r="M115" s="34">
        <v>5</v>
      </c>
      <c r="N115" s="34">
        <v>4</v>
      </c>
      <c r="O115" s="34">
        <v>4</v>
      </c>
      <c r="P115" s="32">
        <v>7</v>
      </c>
      <c r="Q115" s="32">
        <v>7</v>
      </c>
      <c r="R115" s="32">
        <v>8</v>
      </c>
      <c r="S115" s="32">
        <v>6</v>
      </c>
      <c r="T115" s="143"/>
      <c r="U115" s="143"/>
      <c r="V115" s="32" t="s">
        <v>36</v>
      </c>
      <c r="W115" s="32" t="s">
        <v>37</v>
      </c>
      <c r="X115" s="32">
        <v>1</v>
      </c>
      <c r="Y115" s="143"/>
      <c r="Z115" s="143"/>
      <c r="AA115" s="145"/>
      <c r="AB115" s="145"/>
      <c r="AC115" s="141"/>
      <c r="AD115" s="141"/>
      <c r="AE115" s="141"/>
    </row>
    <row r="116" spans="1:337" ht="15" thickBot="1" x14ac:dyDescent="0.4">
      <c r="A116" s="45" t="s">
        <v>31</v>
      </c>
      <c r="B116" s="45" t="s">
        <v>38</v>
      </c>
      <c r="C116" s="46">
        <v>46134</v>
      </c>
      <c r="D116" s="47"/>
      <c r="E116" s="47"/>
      <c r="F116" s="47"/>
      <c r="G116" s="142"/>
      <c r="H116" s="142"/>
      <c r="I116" s="142"/>
      <c r="J116" s="142"/>
      <c r="K116" s="142"/>
      <c r="L116" s="47">
        <v>2</v>
      </c>
      <c r="M116" s="47"/>
      <c r="N116" s="47"/>
      <c r="O116" s="47"/>
      <c r="P116" s="47"/>
      <c r="Q116" s="47"/>
      <c r="R116" s="47"/>
      <c r="S116" s="47"/>
      <c r="T116" s="144"/>
      <c r="U116" s="144"/>
      <c r="V116" s="45"/>
      <c r="W116" s="45"/>
      <c r="X116" s="47"/>
      <c r="Y116" s="144"/>
      <c r="Z116" s="144"/>
      <c r="AA116" s="146"/>
      <c r="AB116" s="146"/>
      <c r="AC116" s="142"/>
      <c r="AD116" s="142"/>
      <c r="AE116" s="142"/>
    </row>
    <row r="117" spans="1:337" s="53" customFormat="1" ht="15" thickBot="1" x14ac:dyDescent="0.4">
      <c r="A117" s="49"/>
      <c r="B117" s="49"/>
      <c r="C117" s="50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49"/>
      <c r="U117" s="49"/>
      <c r="V117" s="49"/>
      <c r="W117" s="49"/>
      <c r="X117" s="51"/>
      <c r="Y117" s="49"/>
      <c r="Z117" s="49"/>
      <c r="AA117" s="52"/>
      <c r="AB117" s="52"/>
      <c r="AC117" s="51"/>
      <c r="AD117" s="51"/>
      <c r="AE117" s="51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</row>
    <row r="118" spans="1:337" x14ac:dyDescent="0.35">
      <c r="A118" s="41" t="s">
        <v>31</v>
      </c>
      <c r="B118" s="41" t="s">
        <v>32</v>
      </c>
      <c r="C118" s="42">
        <v>46135</v>
      </c>
      <c r="D118" s="43">
        <v>0</v>
      </c>
      <c r="E118" s="43">
        <v>20</v>
      </c>
      <c r="F118" s="43">
        <v>20</v>
      </c>
      <c r="G118" s="43">
        <v>28</v>
      </c>
      <c r="H118" s="43">
        <v>40</v>
      </c>
      <c r="I118" s="43">
        <v>10</v>
      </c>
      <c r="J118" s="43">
        <v>21449</v>
      </c>
      <c r="K118" s="43">
        <f>SUM(L118:L120)</f>
        <v>6</v>
      </c>
      <c r="L118" s="43">
        <v>2</v>
      </c>
      <c r="M118" s="43"/>
      <c r="N118" s="43">
        <v>4</v>
      </c>
      <c r="O118" s="43">
        <v>3</v>
      </c>
      <c r="P118" s="43">
        <v>7</v>
      </c>
      <c r="Q118" s="43">
        <v>6</v>
      </c>
      <c r="R118" s="43">
        <v>9</v>
      </c>
      <c r="S118" s="43">
        <v>9</v>
      </c>
      <c r="T118" s="43">
        <v>25</v>
      </c>
      <c r="U118" s="43">
        <v>4</v>
      </c>
      <c r="V118" s="41" t="s">
        <v>33</v>
      </c>
      <c r="W118" s="41" t="s">
        <v>34</v>
      </c>
      <c r="X118" s="41">
        <v>1</v>
      </c>
      <c r="Y118" s="41">
        <v>3</v>
      </c>
      <c r="Z118" s="41">
        <v>322</v>
      </c>
      <c r="AA118" s="44">
        <v>34</v>
      </c>
      <c r="AB118" s="44">
        <v>34</v>
      </c>
      <c r="AC118" s="43">
        <v>45</v>
      </c>
      <c r="AD118" s="43">
        <v>30</v>
      </c>
      <c r="AE118" s="43">
        <v>45</v>
      </c>
    </row>
    <row r="119" spans="1:337" x14ac:dyDescent="0.35">
      <c r="A119" s="32" t="s">
        <v>31</v>
      </c>
      <c r="B119" s="32" t="s">
        <v>35</v>
      </c>
      <c r="C119" s="33">
        <v>46135</v>
      </c>
      <c r="D119" s="34">
        <v>13</v>
      </c>
      <c r="E119" s="34">
        <v>24</v>
      </c>
      <c r="F119" s="34">
        <v>25</v>
      </c>
      <c r="G119" s="141"/>
      <c r="H119" s="141"/>
      <c r="I119" s="141"/>
      <c r="J119" s="141"/>
      <c r="K119" s="141"/>
      <c r="L119" s="34">
        <v>2</v>
      </c>
      <c r="M119" s="34">
        <v>5</v>
      </c>
      <c r="N119" s="34">
        <v>4</v>
      </c>
      <c r="O119" s="34">
        <v>4</v>
      </c>
      <c r="P119" s="32">
        <v>7</v>
      </c>
      <c r="Q119" s="32">
        <v>7</v>
      </c>
      <c r="R119" s="32">
        <v>8</v>
      </c>
      <c r="S119" s="32">
        <v>6</v>
      </c>
      <c r="T119" s="143"/>
      <c r="U119" s="143"/>
      <c r="V119" s="32" t="s">
        <v>36</v>
      </c>
      <c r="W119" s="32" t="s">
        <v>37</v>
      </c>
      <c r="X119" s="32">
        <v>1</v>
      </c>
      <c r="Y119" s="143"/>
      <c r="Z119" s="143"/>
      <c r="AA119" s="145"/>
      <c r="AB119" s="145"/>
      <c r="AC119" s="141"/>
      <c r="AD119" s="141"/>
      <c r="AE119" s="141"/>
    </row>
    <row r="120" spans="1:337" ht="15" thickBot="1" x14ac:dyDescent="0.4">
      <c r="A120" s="45" t="s">
        <v>31</v>
      </c>
      <c r="B120" s="45" t="s">
        <v>38</v>
      </c>
      <c r="C120" s="46">
        <v>46135</v>
      </c>
      <c r="D120" s="47"/>
      <c r="E120" s="47"/>
      <c r="F120" s="47"/>
      <c r="G120" s="142"/>
      <c r="H120" s="142"/>
      <c r="I120" s="142"/>
      <c r="J120" s="142"/>
      <c r="K120" s="142"/>
      <c r="L120" s="47">
        <v>2</v>
      </c>
      <c r="M120" s="47"/>
      <c r="N120" s="47"/>
      <c r="O120" s="47"/>
      <c r="P120" s="47"/>
      <c r="Q120" s="47"/>
      <c r="R120" s="47"/>
      <c r="S120" s="47"/>
      <c r="T120" s="144"/>
      <c r="U120" s="144"/>
      <c r="V120" s="45"/>
      <c r="W120" s="45"/>
      <c r="X120" s="47"/>
      <c r="Y120" s="144"/>
      <c r="Z120" s="144"/>
      <c r="AA120" s="146"/>
      <c r="AB120" s="146"/>
      <c r="AC120" s="142"/>
      <c r="AD120" s="142"/>
      <c r="AE120" s="142"/>
    </row>
    <row r="121" spans="1:337" s="53" customFormat="1" ht="15" thickBot="1" x14ac:dyDescent="0.4">
      <c r="A121" s="49"/>
      <c r="B121" s="49"/>
      <c r="C121" s="50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49"/>
      <c r="U121" s="49"/>
      <c r="V121" s="49"/>
      <c r="W121" s="49"/>
      <c r="X121" s="51"/>
      <c r="Y121" s="49"/>
      <c r="Z121" s="49"/>
      <c r="AA121" s="52"/>
      <c r="AB121" s="52"/>
      <c r="AC121" s="51"/>
      <c r="AD121" s="51"/>
      <c r="AE121" s="5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</row>
    <row r="122" spans="1:337" x14ac:dyDescent="0.35">
      <c r="A122" s="41" t="s">
        <v>31</v>
      </c>
      <c r="B122" s="41" t="s">
        <v>32</v>
      </c>
      <c r="C122" s="42">
        <v>46136</v>
      </c>
      <c r="D122" s="43">
        <v>0</v>
      </c>
      <c r="E122" s="43">
        <v>20</v>
      </c>
      <c r="F122" s="43">
        <v>20</v>
      </c>
      <c r="G122" s="43">
        <v>28</v>
      </c>
      <c r="H122" s="43">
        <v>40</v>
      </c>
      <c r="I122" s="43">
        <v>10</v>
      </c>
      <c r="J122" s="43">
        <v>21449</v>
      </c>
      <c r="K122" s="43">
        <f>SUM(L122:L124)</f>
        <v>6</v>
      </c>
      <c r="L122" s="43">
        <v>2</v>
      </c>
      <c r="M122" s="43"/>
      <c r="N122" s="43">
        <v>4</v>
      </c>
      <c r="O122" s="43">
        <v>3</v>
      </c>
      <c r="P122" s="43">
        <v>7</v>
      </c>
      <c r="Q122" s="43">
        <v>6</v>
      </c>
      <c r="R122" s="43">
        <v>9</v>
      </c>
      <c r="S122" s="43">
        <v>9</v>
      </c>
      <c r="T122" s="43">
        <v>20</v>
      </c>
      <c r="U122" s="43">
        <v>3</v>
      </c>
      <c r="V122" s="41" t="s">
        <v>33</v>
      </c>
      <c r="W122" s="41" t="s">
        <v>34</v>
      </c>
      <c r="X122" s="41">
        <v>1</v>
      </c>
      <c r="Y122" s="41">
        <v>3</v>
      </c>
      <c r="Z122" s="41">
        <v>322</v>
      </c>
      <c r="AA122" s="44">
        <v>34</v>
      </c>
      <c r="AB122" s="44">
        <v>34</v>
      </c>
      <c r="AC122" s="43">
        <v>45</v>
      </c>
      <c r="AD122" s="43">
        <v>30</v>
      </c>
      <c r="AE122" s="43">
        <v>45</v>
      </c>
    </row>
    <row r="123" spans="1:337" x14ac:dyDescent="0.35">
      <c r="A123" s="32" t="s">
        <v>31</v>
      </c>
      <c r="B123" s="32" t="s">
        <v>35</v>
      </c>
      <c r="C123" s="33">
        <v>46136</v>
      </c>
      <c r="D123" s="34">
        <v>13</v>
      </c>
      <c r="E123" s="34">
        <v>24</v>
      </c>
      <c r="F123" s="34">
        <v>25</v>
      </c>
      <c r="G123" s="141"/>
      <c r="H123" s="141"/>
      <c r="I123" s="141"/>
      <c r="J123" s="141"/>
      <c r="K123" s="141"/>
      <c r="L123" s="34">
        <v>2</v>
      </c>
      <c r="M123" s="34">
        <v>5</v>
      </c>
      <c r="N123" s="34">
        <v>4</v>
      </c>
      <c r="O123" s="34">
        <v>4</v>
      </c>
      <c r="P123" s="32">
        <v>7</v>
      </c>
      <c r="Q123" s="32">
        <v>7</v>
      </c>
      <c r="R123" s="32">
        <v>8</v>
      </c>
      <c r="S123" s="32">
        <v>6</v>
      </c>
      <c r="T123" s="143"/>
      <c r="U123" s="143"/>
      <c r="V123" s="32" t="s">
        <v>36</v>
      </c>
      <c r="W123" s="32" t="s">
        <v>37</v>
      </c>
      <c r="X123" s="32">
        <v>1</v>
      </c>
      <c r="Y123" s="143"/>
      <c r="Z123" s="143"/>
      <c r="AA123" s="145"/>
      <c r="AB123" s="145"/>
      <c r="AC123" s="141"/>
      <c r="AD123" s="141"/>
      <c r="AE123" s="141"/>
    </row>
    <row r="124" spans="1:337" ht="15" thickBot="1" x14ac:dyDescent="0.4">
      <c r="A124" s="45" t="s">
        <v>31</v>
      </c>
      <c r="B124" s="45" t="s">
        <v>38</v>
      </c>
      <c r="C124" s="46">
        <v>46136</v>
      </c>
      <c r="D124" s="47"/>
      <c r="E124" s="47"/>
      <c r="F124" s="47"/>
      <c r="G124" s="142"/>
      <c r="H124" s="142"/>
      <c r="I124" s="142"/>
      <c r="J124" s="142"/>
      <c r="K124" s="142"/>
      <c r="L124" s="47">
        <v>2</v>
      </c>
      <c r="M124" s="47"/>
      <c r="N124" s="47"/>
      <c r="O124" s="47"/>
      <c r="P124" s="47"/>
      <c r="Q124" s="47"/>
      <c r="R124" s="47"/>
      <c r="S124" s="47"/>
      <c r="T124" s="144"/>
      <c r="U124" s="144"/>
      <c r="V124" s="45"/>
      <c r="W124" s="45"/>
      <c r="X124" s="47"/>
      <c r="Y124" s="144"/>
      <c r="Z124" s="144"/>
      <c r="AA124" s="146"/>
      <c r="AB124" s="146"/>
      <c r="AC124" s="142"/>
      <c r="AD124" s="142"/>
      <c r="AE124" s="142"/>
    </row>
    <row r="125" spans="1:337" s="53" customFormat="1" ht="15" thickBot="1" x14ac:dyDescent="0.4">
      <c r="A125" s="49"/>
      <c r="B125" s="49"/>
      <c r="C125" s="50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49"/>
      <c r="U125" s="49"/>
      <c r="V125" s="49"/>
      <c r="W125" s="49"/>
      <c r="X125" s="51"/>
      <c r="Y125" s="49"/>
      <c r="Z125" s="49"/>
      <c r="AA125" s="52"/>
      <c r="AB125" s="52"/>
      <c r="AC125" s="51"/>
      <c r="AD125" s="51"/>
      <c r="AE125" s="51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</row>
    <row r="126" spans="1:337" x14ac:dyDescent="0.35">
      <c r="A126" s="41" t="s">
        <v>31</v>
      </c>
      <c r="B126" s="41" t="s">
        <v>32</v>
      </c>
      <c r="C126" s="42">
        <v>46137</v>
      </c>
      <c r="D126" s="43">
        <v>0</v>
      </c>
      <c r="E126" s="43">
        <v>20</v>
      </c>
      <c r="F126" s="43">
        <v>20</v>
      </c>
      <c r="G126" s="43">
        <v>28</v>
      </c>
      <c r="H126" s="43">
        <v>40</v>
      </c>
      <c r="I126" s="43">
        <v>10</v>
      </c>
      <c r="J126" s="43">
        <v>21449</v>
      </c>
      <c r="K126" s="43">
        <f>SUM(L126:L128)</f>
        <v>6</v>
      </c>
      <c r="L126" s="43">
        <v>2</v>
      </c>
      <c r="M126" s="43"/>
      <c r="N126" s="43">
        <v>4</v>
      </c>
      <c r="O126" s="43">
        <v>3</v>
      </c>
      <c r="P126" s="43">
        <v>7</v>
      </c>
      <c r="Q126" s="43">
        <v>6</v>
      </c>
      <c r="R126" s="43">
        <v>9</v>
      </c>
      <c r="S126" s="43">
        <v>9</v>
      </c>
      <c r="T126" s="43">
        <v>25</v>
      </c>
      <c r="U126" s="43">
        <v>4</v>
      </c>
      <c r="V126" s="41" t="s">
        <v>33</v>
      </c>
      <c r="W126" s="41" t="s">
        <v>34</v>
      </c>
      <c r="X126" s="41">
        <v>1</v>
      </c>
      <c r="Y126" s="41">
        <v>3</v>
      </c>
      <c r="Z126" s="41">
        <v>322</v>
      </c>
      <c r="AA126" s="44">
        <v>34</v>
      </c>
      <c r="AB126" s="44">
        <v>34</v>
      </c>
      <c r="AC126" s="43">
        <v>45</v>
      </c>
      <c r="AD126" s="43">
        <v>30</v>
      </c>
      <c r="AE126" s="43">
        <v>45</v>
      </c>
    </row>
    <row r="127" spans="1:337" x14ac:dyDescent="0.35">
      <c r="A127" s="32" t="s">
        <v>31</v>
      </c>
      <c r="B127" s="32" t="s">
        <v>35</v>
      </c>
      <c r="C127" s="33">
        <v>46137</v>
      </c>
      <c r="D127" s="34">
        <v>13</v>
      </c>
      <c r="E127" s="34">
        <v>24</v>
      </c>
      <c r="F127" s="34">
        <v>25</v>
      </c>
      <c r="G127" s="141"/>
      <c r="H127" s="141"/>
      <c r="I127" s="141"/>
      <c r="J127" s="141"/>
      <c r="K127" s="141"/>
      <c r="L127" s="34">
        <v>2</v>
      </c>
      <c r="M127" s="34">
        <v>5</v>
      </c>
      <c r="N127" s="34">
        <v>4</v>
      </c>
      <c r="O127" s="34">
        <v>4</v>
      </c>
      <c r="P127" s="32">
        <v>7</v>
      </c>
      <c r="Q127" s="32">
        <v>7</v>
      </c>
      <c r="R127" s="32">
        <v>8</v>
      </c>
      <c r="S127" s="32">
        <v>6</v>
      </c>
      <c r="T127" s="143"/>
      <c r="U127" s="143"/>
      <c r="V127" s="32" t="s">
        <v>36</v>
      </c>
      <c r="W127" s="32" t="s">
        <v>37</v>
      </c>
      <c r="X127" s="32">
        <v>1</v>
      </c>
      <c r="Y127" s="143"/>
      <c r="Z127" s="143"/>
      <c r="AA127" s="145"/>
      <c r="AB127" s="145"/>
      <c r="AC127" s="141"/>
      <c r="AD127" s="141"/>
      <c r="AE127" s="141"/>
    </row>
    <row r="128" spans="1:337" ht="15" thickBot="1" x14ac:dyDescent="0.4">
      <c r="A128" s="45" t="s">
        <v>31</v>
      </c>
      <c r="B128" s="45" t="s">
        <v>38</v>
      </c>
      <c r="C128" s="46">
        <v>46137</v>
      </c>
      <c r="D128" s="47"/>
      <c r="E128" s="47"/>
      <c r="F128" s="47"/>
      <c r="G128" s="142"/>
      <c r="H128" s="142"/>
      <c r="I128" s="142"/>
      <c r="J128" s="142"/>
      <c r="K128" s="142"/>
      <c r="L128" s="47">
        <v>2</v>
      </c>
      <c r="M128" s="47"/>
      <c r="N128" s="47"/>
      <c r="O128" s="47"/>
      <c r="P128" s="47"/>
      <c r="Q128" s="47"/>
      <c r="R128" s="47"/>
      <c r="S128" s="47"/>
      <c r="T128" s="144"/>
      <c r="U128" s="144"/>
      <c r="V128" s="45"/>
      <c r="W128" s="45"/>
      <c r="X128" s="47"/>
      <c r="Y128" s="144"/>
      <c r="Z128" s="144"/>
      <c r="AA128" s="146"/>
      <c r="AB128" s="146"/>
      <c r="AC128" s="142"/>
      <c r="AD128" s="142"/>
      <c r="AE128" s="142"/>
    </row>
    <row r="129" spans="1:337" s="53" customFormat="1" ht="15" thickBot="1" x14ac:dyDescent="0.4">
      <c r="A129" s="49"/>
      <c r="B129" s="49"/>
      <c r="C129" s="50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49"/>
      <c r="U129" s="49"/>
      <c r="V129" s="49"/>
      <c r="W129" s="49"/>
      <c r="X129" s="51"/>
      <c r="Y129" s="49"/>
      <c r="Z129" s="49"/>
      <c r="AA129" s="52"/>
      <c r="AB129" s="52"/>
      <c r="AC129" s="51"/>
      <c r="AD129" s="51"/>
      <c r="AE129" s="51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</row>
    <row r="130" spans="1:337" x14ac:dyDescent="0.35">
      <c r="A130" s="41" t="s">
        <v>31</v>
      </c>
      <c r="B130" s="41" t="s">
        <v>32</v>
      </c>
      <c r="C130" s="42">
        <v>46138</v>
      </c>
      <c r="D130" s="43">
        <v>0</v>
      </c>
      <c r="E130" s="43">
        <v>20</v>
      </c>
      <c r="F130" s="43">
        <v>20</v>
      </c>
      <c r="G130" s="43">
        <v>28</v>
      </c>
      <c r="H130" s="43">
        <v>40</v>
      </c>
      <c r="I130" s="43">
        <v>10</v>
      </c>
      <c r="J130" s="43">
        <v>21449</v>
      </c>
      <c r="K130" s="43">
        <f>SUM(L130:L132)</f>
        <v>6</v>
      </c>
      <c r="L130" s="43">
        <v>2</v>
      </c>
      <c r="M130" s="43"/>
      <c r="N130" s="43">
        <v>4</v>
      </c>
      <c r="O130" s="43">
        <v>3</v>
      </c>
      <c r="P130" s="43">
        <v>7</v>
      </c>
      <c r="Q130" s="43">
        <v>6</v>
      </c>
      <c r="R130" s="43">
        <v>9</v>
      </c>
      <c r="S130" s="43">
        <v>9</v>
      </c>
      <c r="T130" s="43">
        <v>25</v>
      </c>
      <c r="U130" s="43">
        <v>4</v>
      </c>
      <c r="V130" s="41" t="s">
        <v>33</v>
      </c>
      <c r="W130" s="41" t="s">
        <v>34</v>
      </c>
      <c r="X130" s="41">
        <v>1</v>
      </c>
      <c r="Y130" s="41">
        <v>3</v>
      </c>
      <c r="Z130" s="41">
        <v>322</v>
      </c>
      <c r="AA130" s="44">
        <v>34</v>
      </c>
      <c r="AB130" s="44">
        <v>34</v>
      </c>
      <c r="AC130" s="43">
        <v>45</v>
      </c>
      <c r="AD130" s="43">
        <v>30</v>
      </c>
      <c r="AE130" s="43">
        <v>45</v>
      </c>
    </row>
    <row r="131" spans="1:337" x14ac:dyDescent="0.35">
      <c r="A131" s="32" t="s">
        <v>31</v>
      </c>
      <c r="B131" s="32" t="s">
        <v>35</v>
      </c>
      <c r="C131" s="33">
        <v>46138</v>
      </c>
      <c r="D131" s="34">
        <v>13</v>
      </c>
      <c r="E131" s="34">
        <v>24</v>
      </c>
      <c r="F131" s="34">
        <v>25</v>
      </c>
      <c r="G131" s="141"/>
      <c r="H131" s="141"/>
      <c r="I131" s="141"/>
      <c r="J131" s="141"/>
      <c r="K131" s="141"/>
      <c r="L131" s="34">
        <v>2</v>
      </c>
      <c r="M131" s="34">
        <v>5</v>
      </c>
      <c r="N131" s="34">
        <v>4</v>
      </c>
      <c r="O131" s="34">
        <v>4</v>
      </c>
      <c r="P131" s="32">
        <v>7</v>
      </c>
      <c r="Q131" s="32">
        <v>7</v>
      </c>
      <c r="R131" s="32">
        <v>8</v>
      </c>
      <c r="S131" s="32">
        <v>6</v>
      </c>
      <c r="T131" s="143"/>
      <c r="U131" s="143"/>
      <c r="V131" s="32" t="s">
        <v>36</v>
      </c>
      <c r="W131" s="32" t="s">
        <v>37</v>
      </c>
      <c r="X131" s="32">
        <v>1</v>
      </c>
      <c r="Y131" s="143"/>
      <c r="Z131" s="143"/>
      <c r="AA131" s="145"/>
      <c r="AB131" s="145"/>
      <c r="AC131" s="141"/>
      <c r="AD131" s="141"/>
      <c r="AE131" s="141"/>
    </row>
    <row r="132" spans="1:337" ht="15" thickBot="1" x14ac:dyDescent="0.4">
      <c r="A132" s="45" t="s">
        <v>31</v>
      </c>
      <c r="B132" s="45" t="s">
        <v>38</v>
      </c>
      <c r="C132" s="46">
        <v>46138</v>
      </c>
      <c r="D132" s="47"/>
      <c r="E132" s="47"/>
      <c r="F132" s="47"/>
      <c r="G132" s="142"/>
      <c r="H132" s="142"/>
      <c r="I132" s="142"/>
      <c r="J132" s="142"/>
      <c r="K132" s="142"/>
      <c r="L132" s="47">
        <v>2</v>
      </c>
      <c r="M132" s="47"/>
      <c r="N132" s="47"/>
      <c r="O132" s="47"/>
      <c r="P132" s="47"/>
      <c r="Q132" s="47"/>
      <c r="R132" s="47"/>
      <c r="S132" s="47"/>
      <c r="T132" s="144"/>
      <c r="U132" s="144"/>
      <c r="V132" s="45"/>
      <c r="W132" s="45"/>
      <c r="X132" s="47"/>
      <c r="Y132" s="144"/>
      <c r="Z132" s="144"/>
      <c r="AA132" s="146"/>
      <c r="AB132" s="146"/>
      <c r="AC132" s="142"/>
      <c r="AD132" s="142"/>
      <c r="AE132" s="142"/>
    </row>
    <row r="133" spans="1:337" s="53" customFormat="1" ht="15" thickBot="1" x14ac:dyDescent="0.4">
      <c r="A133" s="49"/>
      <c r="B133" s="49"/>
      <c r="C133" s="50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49"/>
      <c r="U133" s="49"/>
      <c r="V133" s="49"/>
      <c r="W133" s="49"/>
      <c r="X133" s="51"/>
      <c r="Y133" s="49"/>
      <c r="Z133" s="49"/>
      <c r="AA133" s="52"/>
      <c r="AB133" s="52"/>
      <c r="AC133" s="51"/>
      <c r="AD133" s="51"/>
      <c r="AE133" s="51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</row>
    <row r="134" spans="1:337" x14ac:dyDescent="0.35">
      <c r="A134" s="41" t="s">
        <v>31</v>
      </c>
      <c r="B134" s="41" t="s">
        <v>32</v>
      </c>
      <c r="C134" s="42">
        <v>46139</v>
      </c>
      <c r="D134" s="43">
        <v>0</v>
      </c>
      <c r="E134" s="43">
        <v>20</v>
      </c>
      <c r="F134" s="43">
        <v>20</v>
      </c>
      <c r="G134" s="43">
        <v>28</v>
      </c>
      <c r="H134" s="43">
        <v>40</v>
      </c>
      <c r="I134" s="43">
        <v>10</v>
      </c>
      <c r="J134" s="43">
        <v>21449</v>
      </c>
      <c r="K134" s="43">
        <f>SUM(L134:L136)</f>
        <v>6</v>
      </c>
      <c r="L134" s="43">
        <v>2</v>
      </c>
      <c r="M134" s="43"/>
      <c r="N134" s="43">
        <v>4</v>
      </c>
      <c r="O134" s="43">
        <v>3</v>
      </c>
      <c r="P134" s="43">
        <v>7</v>
      </c>
      <c r="Q134" s="43">
        <v>6</v>
      </c>
      <c r="R134" s="43">
        <v>9</v>
      </c>
      <c r="S134" s="43">
        <v>9</v>
      </c>
      <c r="T134" s="43">
        <v>25</v>
      </c>
      <c r="U134" s="43">
        <v>4</v>
      </c>
      <c r="V134" s="41" t="s">
        <v>33</v>
      </c>
      <c r="W134" s="41" t="s">
        <v>34</v>
      </c>
      <c r="X134" s="41">
        <v>1</v>
      </c>
      <c r="Y134" s="41">
        <v>3</v>
      </c>
      <c r="Z134" s="41">
        <v>322</v>
      </c>
      <c r="AA134" s="44">
        <v>34</v>
      </c>
      <c r="AB134" s="44">
        <v>34</v>
      </c>
      <c r="AC134" s="43">
        <v>45</v>
      </c>
      <c r="AD134" s="43">
        <v>30</v>
      </c>
      <c r="AE134" s="43">
        <v>45</v>
      </c>
    </row>
    <row r="135" spans="1:337" x14ac:dyDescent="0.35">
      <c r="A135" s="32" t="s">
        <v>31</v>
      </c>
      <c r="B135" s="32" t="s">
        <v>35</v>
      </c>
      <c r="C135" s="33">
        <v>46139</v>
      </c>
      <c r="D135" s="34">
        <v>13</v>
      </c>
      <c r="E135" s="34">
        <v>24</v>
      </c>
      <c r="F135" s="34">
        <v>25</v>
      </c>
      <c r="G135" s="141"/>
      <c r="H135" s="141"/>
      <c r="I135" s="141"/>
      <c r="J135" s="141"/>
      <c r="K135" s="141"/>
      <c r="L135" s="34">
        <v>2</v>
      </c>
      <c r="M135" s="34">
        <v>5</v>
      </c>
      <c r="N135" s="34">
        <v>4</v>
      </c>
      <c r="O135" s="34">
        <v>4</v>
      </c>
      <c r="P135" s="32">
        <v>7</v>
      </c>
      <c r="Q135" s="32">
        <v>7</v>
      </c>
      <c r="R135" s="32">
        <v>8</v>
      </c>
      <c r="S135" s="32">
        <v>6</v>
      </c>
      <c r="T135" s="143"/>
      <c r="U135" s="143"/>
      <c r="V135" s="32" t="s">
        <v>36</v>
      </c>
      <c r="W135" s="32" t="s">
        <v>37</v>
      </c>
      <c r="X135" s="32">
        <v>1</v>
      </c>
      <c r="Y135" s="143"/>
      <c r="Z135" s="143"/>
      <c r="AA135" s="145"/>
      <c r="AB135" s="145"/>
      <c r="AC135" s="141"/>
      <c r="AD135" s="141"/>
      <c r="AE135" s="141"/>
    </row>
    <row r="136" spans="1:337" ht="15" thickBot="1" x14ac:dyDescent="0.4">
      <c r="A136" s="45" t="s">
        <v>31</v>
      </c>
      <c r="B136" s="45" t="s">
        <v>38</v>
      </c>
      <c r="C136" s="46">
        <v>46139</v>
      </c>
      <c r="D136" s="47"/>
      <c r="E136" s="47"/>
      <c r="F136" s="47"/>
      <c r="G136" s="142"/>
      <c r="H136" s="142"/>
      <c r="I136" s="142"/>
      <c r="J136" s="142"/>
      <c r="K136" s="142"/>
      <c r="L136" s="47">
        <v>2</v>
      </c>
      <c r="M136" s="47"/>
      <c r="N136" s="47"/>
      <c r="O136" s="47"/>
      <c r="P136" s="47"/>
      <c r="Q136" s="47"/>
      <c r="R136" s="47"/>
      <c r="S136" s="47"/>
      <c r="T136" s="144"/>
      <c r="U136" s="144"/>
      <c r="V136" s="45"/>
      <c r="W136" s="45"/>
      <c r="X136" s="47"/>
      <c r="Y136" s="144"/>
      <c r="Z136" s="144"/>
      <c r="AA136" s="146"/>
      <c r="AB136" s="146"/>
      <c r="AC136" s="142"/>
      <c r="AD136" s="142"/>
      <c r="AE136" s="142"/>
    </row>
    <row r="137" spans="1:337" s="53" customFormat="1" ht="15" thickBot="1" x14ac:dyDescent="0.4">
      <c r="A137" s="49"/>
      <c r="B137" s="49"/>
      <c r="C137" s="50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49"/>
      <c r="U137" s="49"/>
      <c r="V137" s="49"/>
      <c r="W137" s="49"/>
      <c r="X137" s="51"/>
      <c r="Y137" s="49"/>
      <c r="Z137" s="49"/>
      <c r="AA137" s="52"/>
      <c r="AB137" s="52"/>
      <c r="AC137" s="51"/>
      <c r="AD137" s="51"/>
      <c r="AE137" s="51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</row>
    <row r="138" spans="1:337" x14ac:dyDescent="0.35">
      <c r="A138" s="41" t="s">
        <v>31</v>
      </c>
      <c r="B138" s="41" t="s">
        <v>32</v>
      </c>
      <c r="C138" s="42">
        <v>46142</v>
      </c>
      <c r="D138" s="43">
        <v>0</v>
      </c>
      <c r="E138" s="43">
        <v>20</v>
      </c>
      <c r="F138" s="43">
        <v>20</v>
      </c>
      <c r="G138" s="43">
        <v>28</v>
      </c>
      <c r="H138" s="43">
        <v>40</v>
      </c>
      <c r="I138" s="43">
        <v>10</v>
      </c>
      <c r="J138" s="43">
        <v>21449</v>
      </c>
      <c r="K138" s="43">
        <f>SUM(L138:L140)</f>
        <v>6</v>
      </c>
      <c r="L138" s="43">
        <v>2</v>
      </c>
      <c r="M138" s="43"/>
      <c r="N138" s="43">
        <v>4</v>
      </c>
      <c r="O138" s="43">
        <v>3</v>
      </c>
      <c r="P138" s="43">
        <v>7</v>
      </c>
      <c r="Q138" s="43">
        <v>6</v>
      </c>
      <c r="R138" s="43">
        <v>9</v>
      </c>
      <c r="S138" s="43">
        <v>9</v>
      </c>
      <c r="T138" s="43">
        <v>25</v>
      </c>
      <c r="U138" s="43">
        <v>4</v>
      </c>
      <c r="V138" s="41" t="s">
        <v>33</v>
      </c>
      <c r="W138" s="41" t="s">
        <v>34</v>
      </c>
      <c r="X138" s="41">
        <v>1</v>
      </c>
      <c r="Y138" s="41">
        <v>3</v>
      </c>
      <c r="Z138" s="41">
        <v>322</v>
      </c>
      <c r="AA138" s="44">
        <v>34</v>
      </c>
      <c r="AB138" s="44">
        <v>34</v>
      </c>
      <c r="AC138" s="43">
        <v>45</v>
      </c>
      <c r="AD138" s="43">
        <v>30</v>
      </c>
      <c r="AE138" s="43">
        <v>45</v>
      </c>
    </row>
    <row r="139" spans="1:337" x14ac:dyDescent="0.35">
      <c r="A139" s="32" t="s">
        <v>31</v>
      </c>
      <c r="B139" s="32" t="s">
        <v>35</v>
      </c>
      <c r="C139" s="33">
        <v>46142</v>
      </c>
      <c r="D139" s="34">
        <v>13</v>
      </c>
      <c r="E139" s="34">
        <v>24</v>
      </c>
      <c r="F139" s="34">
        <v>25</v>
      </c>
      <c r="G139" s="141"/>
      <c r="H139" s="141"/>
      <c r="I139" s="141"/>
      <c r="J139" s="141"/>
      <c r="K139" s="141"/>
      <c r="L139" s="34">
        <v>2</v>
      </c>
      <c r="M139" s="34">
        <v>5</v>
      </c>
      <c r="N139" s="34">
        <v>4</v>
      </c>
      <c r="O139" s="34">
        <v>4</v>
      </c>
      <c r="P139" s="32">
        <v>7</v>
      </c>
      <c r="Q139" s="32">
        <v>7</v>
      </c>
      <c r="R139" s="32">
        <v>8</v>
      </c>
      <c r="S139" s="32">
        <v>6</v>
      </c>
      <c r="T139" s="143"/>
      <c r="U139" s="143"/>
      <c r="V139" s="32" t="s">
        <v>36</v>
      </c>
      <c r="W139" s="32" t="s">
        <v>37</v>
      </c>
      <c r="X139" s="32">
        <v>1</v>
      </c>
      <c r="Y139" s="143"/>
      <c r="Z139" s="143"/>
      <c r="AA139" s="145"/>
      <c r="AB139" s="145"/>
      <c r="AC139" s="141"/>
      <c r="AD139" s="141"/>
      <c r="AE139" s="141"/>
    </row>
    <row r="140" spans="1:337" ht="15" thickBot="1" x14ac:dyDescent="0.4">
      <c r="A140" s="45" t="s">
        <v>31</v>
      </c>
      <c r="B140" s="45" t="s">
        <v>38</v>
      </c>
      <c r="C140" s="46">
        <v>46142</v>
      </c>
      <c r="D140" s="47"/>
      <c r="E140" s="47"/>
      <c r="F140" s="47"/>
      <c r="G140" s="142"/>
      <c r="H140" s="142"/>
      <c r="I140" s="142"/>
      <c r="J140" s="142"/>
      <c r="K140" s="142"/>
      <c r="L140" s="47">
        <v>2</v>
      </c>
      <c r="M140" s="47"/>
      <c r="N140" s="47"/>
      <c r="O140" s="47"/>
      <c r="P140" s="47"/>
      <c r="Q140" s="47"/>
      <c r="R140" s="47"/>
      <c r="S140" s="47"/>
      <c r="T140" s="144"/>
      <c r="U140" s="144"/>
      <c r="V140" s="45"/>
      <c r="W140" s="45"/>
      <c r="X140" s="47"/>
      <c r="Y140" s="144"/>
      <c r="Z140" s="144"/>
      <c r="AA140" s="146"/>
      <c r="AB140" s="146"/>
      <c r="AC140" s="142"/>
      <c r="AD140" s="142"/>
      <c r="AE140" s="142"/>
    </row>
    <row r="141" spans="1:337" s="53" customFormat="1" ht="15" thickBot="1" x14ac:dyDescent="0.4">
      <c r="A141" s="49"/>
      <c r="B141" s="49"/>
      <c r="C141" s="50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49"/>
      <c r="U141" s="49"/>
      <c r="V141" s="49"/>
      <c r="W141" s="49"/>
      <c r="X141" s="51"/>
      <c r="Y141" s="49"/>
      <c r="Z141" s="49"/>
      <c r="AA141" s="52"/>
      <c r="AB141" s="52"/>
      <c r="AC141" s="51"/>
      <c r="AD141" s="51"/>
      <c r="AE141" s="5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</row>
    <row r="142" spans="1:337" x14ac:dyDescent="0.35">
      <c r="A142" s="41" t="s">
        <v>31</v>
      </c>
      <c r="B142" s="41" t="s">
        <v>32</v>
      </c>
      <c r="C142" s="42">
        <v>46143</v>
      </c>
      <c r="D142" s="43">
        <v>0</v>
      </c>
      <c r="E142" s="43">
        <v>20</v>
      </c>
      <c r="F142" s="43">
        <v>20</v>
      </c>
      <c r="G142" s="43">
        <v>28</v>
      </c>
      <c r="H142" s="43">
        <v>40</v>
      </c>
      <c r="I142" s="43">
        <v>10</v>
      </c>
      <c r="J142" s="43">
        <v>21449</v>
      </c>
      <c r="K142" s="43">
        <f>SUM(L142:L144)</f>
        <v>6</v>
      </c>
      <c r="L142" s="43">
        <v>2</v>
      </c>
      <c r="M142" s="43"/>
      <c r="N142" s="43">
        <v>4</v>
      </c>
      <c r="O142" s="43">
        <v>3</v>
      </c>
      <c r="P142" s="43">
        <v>7</v>
      </c>
      <c r="Q142" s="43">
        <v>6</v>
      </c>
      <c r="R142" s="43">
        <v>9</v>
      </c>
      <c r="S142" s="43">
        <v>9</v>
      </c>
      <c r="T142" s="43">
        <v>25</v>
      </c>
      <c r="U142" s="43">
        <v>4</v>
      </c>
      <c r="V142" s="41" t="s">
        <v>33</v>
      </c>
      <c r="W142" s="41" t="s">
        <v>34</v>
      </c>
      <c r="X142" s="41">
        <v>1</v>
      </c>
      <c r="Y142" s="41">
        <v>3</v>
      </c>
      <c r="Z142" s="41">
        <v>322</v>
      </c>
      <c r="AA142" s="44">
        <v>34</v>
      </c>
      <c r="AB142" s="44">
        <v>34</v>
      </c>
      <c r="AC142" s="43">
        <v>45</v>
      </c>
      <c r="AD142" s="43">
        <v>30</v>
      </c>
      <c r="AE142" s="43">
        <v>45</v>
      </c>
    </row>
    <row r="143" spans="1:337" x14ac:dyDescent="0.35">
      <c r="A143" s="32" t="s">
        <v>31</v>
      </c>
      <c r="B143" s="32" t="s">
        <v>35</v>
      </c>
      <c r="C143" s="33">
        <v>46143</v>
      </c>
      <c r="D143" s="34">
        <v>13</v>
      </c>
      <c r="E143" s="34">
        <v>24</v>
      </c>
      <c r="F143" s="34">
        <v>25</v>
      </c>
      <c r="G143" s="141"/>
      <c r="H143" s="141"/>
      <c r="I143" s="141"/>
      <c r="J143" s="141"/>
      <c r="K143" s="141"/>
      <c r="L143" s="34">
        <v>2</v>
      </c>
      <c r="M143" s="34">
        <v>5</v>
      </c>
      <c r="N143" s="34">
        <v>4</v>
      </c>
      <c r="O143" s="34">
        <v>4</v>
      </c>
      <c r="P143" s="32">
        <v>7</v>
      </c>
      <c r="Q143" s="32">
        <v>7</v>
      </c>
      <c r="R143" s="32">
        <v>8</v>
      </c>
      <c r="S143" s="32">
        <v>6</v>
      </c>
      <c r="T143" s="143"/>
      <c r="U143" s="143"/>
      <c r="V143" s="32" t="s">
        <v>36</v>
      </c>
      <c r="W143" s="32" t="s">
        <v>37</v>
      </c>
      <c r="X143" s="32">
        <v>1</v>
      </c>
      <c r="Y143" s="143"/>
      <c r="Z143" s="143"/>
      <c r="AA143" s="145"/>
      <c r="AB143" s="145"/>
      <c r="AC143" s="141"/>
      <c r="AD143" s="141"/>
      <c r="AE143" s="141"/>
    </row>
    <row r="144" spans="1:337" ht="15" thickBot="1" x14ac:dyDescent="0.4">
      <c r="A144" s="45" t="s">
        <v>31</v>
      </c>
      <c r="B144" s="45" t="s">
        <v>38</v>
      </c>
      <c r="C144" s="46">
        <v>46143</v>
      </c>
      <c r="D144" s="47"/>
      <c r="E144" s="47"/>
      <c r="F144" s="47"/>
      <c r="G144" s="142"/>
      <c r="H144" s="142"/>
      <c r="I144" s="142"/>
      <c r="J144" s="142"/>
      <c r="K144" s="142"/>
      <c r="L144" s="47">
        <v>2</v>
      </c>
      <c r="M144" s="47"/>
      <c r="N144" s="47"/>
      <c r="O144" s="47"/>
      <c r="P144" s="47"/>
      <c r="Q144" s="47"/>
      <c r="R144" s="47"/>
      <c r="S144" s="47"/>
      <c r="T144" s="144"/>
      <c r="U144" s="144"/>
      <c r="V144" s="45"/>
      <c r="W144" s="45"/>
      <c r="X144" s="47"/>
      <c r="Y144" s="144"/>
      <c r="Z144" s="144"/>
      <c r="AA144" s="146"/>
      <c r="AB144" s="146"/>
      <c r="AC144" s="142"/>
      <c r="AD144" s="142"/>
      <c r="AE144" s="142"/>
    </row>
    <row r="145" spans="1:337" s="53" customFormat="1" ht="15" thickBot="1" x14ac:dyDescent="0.4">
      <c r="A145" s="49"/>
      <c r="B145" s="49"/>
      <c r="C145" s="50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49"/>
      <c r="U145" s="49"/>
      <c r="V145" s="49"/>
      <c r="W145" s="49"/>
      <c r="X145" s="51"/>
      <c r="Y145" s="49"/>
      <c r="Z145" s="49"/>
      <c r="AA145" s="52"/>
      <c r="AB145" s="52"/>
      <c r="AC145" s="51"/>
      <c r="AD145" s="51"/>
      <c r="AE145" s="51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</row>
    <row r="146" spans="1:337" x14ac:dyDescent="0.35">
      <c r="A146" s="41" t="s">
        <v>31</v>
      </c>
      <c r="B146" s="41" t="s">
        <v>32</v>
      </c>
      <c r="C146" s="42">
        <v>46146</v>
      </c>
      <c r="D146" s="43">
        <v>0</v>
      </c>
      <c r="E146" s="43">
        <v>20</v>
      </c>
      <c r="F146" s="43">
        <v>20</v>
      </c>
      <c r="G146" s="43">
        <v>28</v>
      </c>
      <c r="H146" s="43">
        <v>40</v>
      </c>
      <c r="I146" s="43">
        <v>10</v>
      </c>
      <c r="J146" s="43">
        <v>21449</v>
      </c>
      <c r="K146" s="43">
        <f>SUM(L146:L148)</f>
        <v>6</v>
      </c>
      <c r="L146" s="43">
        <v>2</v>
      </c>
      <c r="M146" s="43"/>
      <c r="N146" s="43">
        <v>4</v>
      </c>
      <c r="O146" s="43">
        <v>3</v>
      </c>
      <c r="P146" s="43">
        <v>7</v>
      </c>
      <c r="Q146" s="43">
        <v>6</v>
      </c>
      <c r="R146" s="43">
        <v>9</v>
      </c>
      <c r="S146" s="43">
        <v>9</v>
      </c>
      <c r="T146" s="43">
        <v>20</v>
      </c>
      <c r="U146" s="43">
        <v>3</v>
      </c>
      <c r="V146" s="41" t="s">
        <v>33</v>
      </c>
      <c r="W146" s="41" t="s">
        <v>34</v>
      </c>
      <c r="X146" s="41">
        <v>1</v>
      </c>
      <c r="Y146" s="41">
        <v>3</v>
      </c>
      <c r="Z146" s="41">
        <v>322</v>
      </c>
      <c r="AA146" s="44">
        <v>34</v>
      </c>
      <c r="AB146" s="44">
        <v>34</v>
      </c>
      <c r="AC146" s="43">
        <v>45</v>
      </c>
      <c r="AD146" s="43">
        <v>30</v>
      </c>
      <c r="AE146" s="43">
        <v>45</v>
      </c>
    </row>
    <row r="147" spans="1:337" x14ac:dyDescent="0.35">
      <c r="A147" s="32" t="s">
        <v>31</v>
      </c>
      <c r="B147" s="32" t="s">
        <v>35</v>
      </c>
      <c r="C147" s="33">
        <v>46146</v>
      </c>
      <c r="D147" s="34">
        <v>13</v>
      </c>
      <c r="E147" s="34">
        <v>24</v>
      </c>
      <c r="F147" s="34">
        <v>25</v>
      </c>
      <c r="G147" s="141"/>
      <c r="H147" s="141"/>
      <c r="I147" s="141"/>
      <c r="J147" s="141"/>
      <c r="K147" s="141"/>
      <c r="L147" s="34">
        <v>2</v>
      </c>
      <c r="M147" s="34">
        <v>5</v>
      </c>
      <c r="N147" s="34">
        <v>4</v>
      </c>
      <c r="O147" s="34">
        <v>4</v>
      </c>
      <c r="P147" s="32">
        <v>7</v>
      </c>
      <c r="Q147" s="32">
        <v>7</v>
      </c>
      <c r="R147" s="32">
        <v>8</v>
      </c>
      <c r="S147" s="32">
        <v>6</v>
      </c>
      <c r="T147" s="143"/>
      <c r="U147" s="143"/>
      <c r="V147" s="32" t="s">
        <v>36</v>
      </c>
      <c r="W147" s="32" t="s">
        <v>37</v>
      </c>
      <c r="X147" s="32">
        <v>1</v>
      </c>
      <c r="Y147" s="143"/>
      <c r="Z147" s="143"/>
      <c r="AA147" s="145"/>
      <c r="AB147" s="145"/>
      <c r="AC147" s="141"/>
      <c r="AD147" s="141"/>
      <c r="AE147" s="141"/>
    </row>
    <row r="148" spans="1:337" ht="15" thickBot="1" x14ac:dyDescent="0.4">
      <c r="A148" s="45" t="s">
        <v>31</v>
      </c>
      <c r="B148" s="45" t="s">
        <v>38</v>
      </c>
      <c r="C148" s="46">
        <v>46146</v>
      </c>
      <c r="D148" s="47"/>
      <c r="E148" s="47"/>
      <c r="F148" s="47"/>
      <c r="G148" s="142"/>
      <c r="H148" s="142"/>
      <c r="I148" s="142"/>
      <c r="J148" s="142"/>
      <c r="K148" s="142"/>
      <c r="L148" s="47">
        <v>2</v>
      </c>
      <c r="M148" s="47"/>
      <c r="N148" s="47"/>
      <c r="O148" s="47"/>
      <c r="P148" s="47"/>
      <c r="Q148" s="47"/>
      <c r="R148" s="47"/>
      <c r="S148" s="47"/>
      <c r="T148" s="144"/>
      <c r="U148" s="144"/>
      <c r="V148" s="45"/>
      <c r="W148" s="45"/>
      <c r="X148" s="47"/>
      <c r="Y148" s="144"/>
      <c r="Z148" s="144"/>
      <c r="AA148" s="146"/>
      <c r="AB148" s="146"/>
      <c r="AC148" s="142"/>
      <c r="AD148" s="142"/>
      <c r="AE148" s="142"/>
    </row>
    <row r="149" spans="1:337" s="53" customFormat="1" ht="15" thickBot="1" x14ac:dyDescent="0.4">
      <c r="A149" s="49"/>
      <c r="B149" s="49"/>
      <c r="C149" s="50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49"/>
      <c r="U149" s="49"/>
      <c r="V149" s="49"/>
      <c r="W149" s="49"/>
      <c r="X149" s="51"/>
      <c r="Y149" s="49"/>
      <c r="Z149" s="49"/>
      <c r="AA149" s="52"/>
      <c r="AB149" s="52"/>
      <c r="AC149" s="51"/>
      <c r="AD149" s="51"/>
      <c r="AE149" s="51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</row>
    <row r="150" spans="1:337" x14ac:dyDescent="0.35">
      <c r="A150" s="41" t="s">
        <v>31</v>
      </c>
      <c r="B150" s="41" t="s">
        <v>32</v>
      </c>
      <c r="C150" s="42">
        <v>46147</v>
      </c>
      <c r="D150" s="43">
        <v>0</v>
      </c>
      <c r="E150" s="43">
        <v>20</v>
      </c>
      <c r="F150" s="43">
        <v>20</v>
      </c>
      <c r="G150" s="43">
        <v>28</v>
      </c>
      <c r="H150" s="43">
        <v>40</v>
      </c>
      <c r="I150" s="43">
        <v>10</v>
      </c>
      <c r="J150" s="43">
        <v>21449</v>
      </c>
      <c r="K150" s="43">
        <f>SUM(L150:L152)</f>
        <v>6</v>
      </c>
      <c r="L150" s="43">
        <v>2</v>
      </c>
      <c r="M150" s="43"/>
      <c r="N150" s="43">
        <v>4</v>
      </c>
      <c r="O150" s="43">
        <v>3</v>
      </c>
      <c r="P150" s="43">
        <v>7</v>
      </c>
      <c r="Q150" s="43">
        <v>6</v>
      </c>
      <c r="R150" s="43">
        <v>9</v>
      </c>
      <c r="S150" s="43">
        <v>9</v>
      </c>
      <c r="T150" s="43">
        <v>25</v>
      </c>
      <c r="U150" s="43">
        <v>4</v>
      </c>
      <c r="V150" s="41" t="s">
        <v>33</v>
      </c>
      <c r="W150" s="41" t="s">
        <v>34</v>
      </c>
      <c r="X150" s="41">
        <v>1</v>
      </c>
      <c r="Y150" s="41">
        <v>3</v>
      </c>
      <c r="Z150" s="41">
        <v>322</v>
      </c>
      <c r="AA150" s="44">
        <v>34</v>
      </c>
      <c r="AB150" s="44">
        <v>34</v>
      </c>
      <c r="AC150" s="43">
        <v>45</v>
      </c>
      <c r="AD150" s="43">
        <v>30</v>
      </c>
      <c r="AE150" s="43">
        <v>45</v>
      </c>
    </row>
    <row r="151" spans="1:337" x14ac:dyDescent="0.35">
      <c r="A151" s="32" t="s">
        <v>31</v>
      </c>
      <c r="B151" s="32" t="s">
        <v>35</v>
      </c>
      <c r="C151" s="33">
        <v>46147</v>
      </c>
      <c r="D151" s="34">
        <v>13</v>
      </c>
      <c r="E151" s="34">
        <v>24</v>
      </c>
      <c r="F151" s="34">
        <v>25</v>
      </c>
      <c r="G151" s="141"/>
      <c r="H151" s="141"/>
      <c r="I151" s="141"/>
      <c r="J151" s="141"/>
      <c r="K151" s="141"/>
      <c r="L151" s="34">
        <v>2</v>
      </c>
      <c r="M151" s="34">
        <v>5</v>
      </c>
      <c r="N151" s="34">
        <v>4</v>
      </c>
      <c r="O151" s="34">
        <v>4</v>
      </c>
      <c r="P151" s="32">
        <v>7</v>
      </c>
      <c r="Q151" s="32">
        <v>7</v>
      </c>
      <c r="R151" s="32">
        <v>8</v>
      </c>
      <c r="S151" s="32">
        <v>6</v>
      </c>
      <c r="T151" s="143"/>
      <c r="U151" s="143"/>
      <c r="V151" s="32" t="s">
        <v>36</v>
      </c>
      <c r="W151" s="32" t="s">
        <v>37</v>
      </c>
      <c r="X151" s="32">
        <v>1</v>
      </c>
      <c r="Y151" s="143"/>
      <c r="Z151" s="143"/>
      <c r="AA151" s="145"/>
      <c r="AB151" s="145"/>
      <c r="AC151" s="141"/>
      <c r="AD151" s="141"/>
      <c r="AE151" s="141"/>
    </row>
    <row r="152" spans="1:337" ht="15" thickBot="1" x14ac:dyDescent="0.4">
      <c r="A152" s="45" t="s">
        <v>31</v>
      </c>
      <c r="B152" s="45" t="s">
        <v>38</v>
      </c>
      <c r="C152" s="46">
        <v>46147</v>
      </c>
      <c r="D152" s="47"/>
      <c r="E152" s="47"/>
      <c r="F152" s="47"/>
      <c r="G152" s="142"/>
      <c r="H152" s="142"/>
      <c r="I152" s="142"/>
      <c r="J152" s="142"/>
      <c r="K152" s="142"/>
      <c r="L152" s="47">
        <v>2</v>
      </c>
      <c r="M152" s="47"/>
      <c r="N152" s="47"/>
      <c r="O152" s="47"/>
      <c r="P152" s="47"/>
      <c r="Q152" s="47"/>
      <c r="R152" s="47"/>
      <c r="S152" s="47"/>
      <c r="T152" s="144"/>
      <c r="U152" s="144"/>
      <c r="V152" s="45"/>
      <c r="W152" s="45"/>
      <c r="X152" s="47"/>
      <c r="Y152" s="144"/>
      <c r="Z152" s="144"/>
      <c r="AA152" s="146"/>
      <c r="AB152" s="146"/>
      <c r="AC152" s="142"/>
      <c r="AD152" s="142"/>
      <c r="AE152" s="142"/>
    </row>
    <row r="153" spans="1:337" s="53" customFormat="1" ht="15" thickBot="1" x14ac:dyDescent="0.4">
      <c r="A153" s="49"/>
      <c r="B153" s="49"/>
      <c r="C153" s="50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49"/>
      <c r="U153" s="49"/>
      <c r="V153" s="49"/>
      <c r="W153" s="49"/>
      <c r="X153" s="51"/>
      <c r="Y153" s="49"/>
      <c r="Z153" s="49"/>
      <c r="AA153" s="52"/>
      <c r="AB153" s="52"/>
      <c r="AC153" s="51"/>
      <c r="AD153" s="51"/>
      <c r="AE153" s="51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</row>
    <row r="154" spans="1:337" x14ac:dyDescent="0.35">
      <c r="A154" s="41" t="s">
        <v>31</v>
      </c>
      <c r="B154" s="41" t="s">
        <v>32</v>
      </c>
      <c r="C154" s="42">
        <v>46148</v>
      </c>
      <c r="D154" s="43">
        <v>0</v>
      </c>
      <c r="E154" s="43">
        <v>20</v>
      </c>
      <c r="F154" s="43">
        <v>20</v>
      </c>
      <c r="G154" s="43">
        <v>28</v>
      </c>
      <c r="H154" s="43">
        <v>40</v>
      </c>
      <c r="I154" s="43">
        <v>10</v>
      </c>
      <c r="J154" s="43">
        <v>21449</v>
      </c>
      <c r="K154" s="43">
        <f>SUM(L154:L156)</f>
        <v>6</v>
      </c>
      <c r="L154" s="43">
        <v>2</v>
      </c>
      <c r="M154" s="43"/>
      <c r="N154" s="43">
        <v>4</v>
      </c>
      <c r="O154" s="43">
        <v>3</v>
      </c>
      <c r="P154" s="43">
        <v>7</v>
      </c>
      <c r="Q154" s="43">
        <v>6</v>
      </c>
      <c r="R154" s="43">
        <v>9</v>
      </c>
      <c r="S154" s="43">
        <v>9</v>
      </c>
      <c r="T154" s="43">
        <v>25</v>
      </c>
      <c r="U154" s="43">
        <v>4</v>
      </c>
      <c r="V154" s="41" t="s">
        <v>33</v>
      </c>
      <c r="W154" s="41" t="s">
        <v>34</v>
      </c>
      <c r="X154" s="41">
        <v>1</v>
      </c>
      <c r="Y154" s="41">
        <v>3</v>
      </c>
      <c r="Z154" s="41">
        <v>322</v>
      </c>
      <c r="AA154" s="44">
        <v>34</v>
      </c>
      <c r="AB154" s="44">
        <v>34</v>
      </c>
      <c r="AC154" s="43">
        <v>45</v>
      </c>
      <c r="AD154" s="43">
        <v>30</v>
      </c>
      <c r="AE154" s="43">
        <v>45</v>
      </c>
    </row>
    <row r="155" spans="1:337" x14ac:dyDescent="0.35">
      <c r="A155" s="32" t="s">
        <v>31</v>
      </c>
      <c r="B155" s="32" t="s">
        <v>35</v>
      </c>
      <c r="C155" s="33">
        <v>46148</v>
      </c>
      <c r="D155" s="34">
        <v>13</v>
      </c>
      <c r="E155" s="34">
        <v>24</v>
      </c>
      <c r="F155" s="34">
        <v>25</v>
      </c>
      <c r="G155" s="141"/>
      <c r="H155" s="141"/>
      <c r="I155" s="141"/>
      <c r="J155" s="141"/>
      <c r="K155" s="141"/>
      <c r="L155" s="34">
        <v>2</v>
      </c>
      <c r="M155" s="34">
        <v>5</v>
      </c>
      <c r="N155" s="34">
        <v>4</v>
      </c>
      <c r="O155" s="34">
        <v>4</v>
      </c>
      <c r="P155" s="32">
        <v>7</v>
      </c>
      <c r="Q155" s="32">
        <v>7</v>
      </c>
      <c r="R155" s="32">
        <v>8</v>
      </c>
      <c r="S155" s="32">
        <v>6</v>
      </c>
      <c r="T155" s="143"/>
      <c r="U155" s="143"/>
      <c r="V155" s="32" t="s">
        <v>36</v>
      </c>
      <c r="W155" s="32" t="s">
        <v>37</v>
      </c>
      <c r="X155" s="32">
        <v>1</v>
      </c>
      <c r="Y155" s="143"/>
      <c r="Z155" s="143"/>
      <c r="AA155" s="145"/>
      <c r="AB155" s="145"/>
      <c r="AC155" s="141"/>
      <c r="AD155" s="141"/>
      <c r="AE155" s="141"/>
    </row>
    <row r="156" spans="1:337" ht="15" thickBot="1" x14ac:dyDescent="0.4">
      <c r="A156" s="45" t="s">
        <v>31</v>
      </c>
      <c r="B156" s="45" t="s">
        <v>38</v>
      </c>
      <c r="C156" s="46">
        <v>46148</v>
      </c>
      <c r="D156" s="47"/>
      <c r="E156" s="47"/>
      <c r="F156" s="47"/>
      <c r="G156" s="142"/>
      <c r="H156" s="142"/>
      <c r="I156" s="142"/>
      <c r="J156" s="142"/>
      <c r="K156" s="142"/>
      <c r="L156" s="47">
        <v>2</v>
      </c>
      <c r="M156" s="47"/>
      <c r="N156" s="47"/>
      <c r="O156" s="47"/>
      <c r="P156" s="47"/>
      <c r="Q156" s="47"/>
      <c r="R156" s="47"/>
      <c r="S156" s="47"/>
      <c r="T156" s="144"/>
      <c r="U156" s="144"/>
      <c r="V156" s="45"/>
      <c r="W156" s="45"/>
      <c r="X156" s="47"/>
      <c r="Y156" s="144"/>
      <c r="Z156" s="144"/>
      <c r="AA156" s="146"/>
      <c r="AB156" s="146"/>
      <c r="AC156" s="142"/>
      <c r="AD156" s="142"/>
      <c r="AE156" s="142"/>
    </row>
    <row r="157" spans="1:337" s="53" customFormat="1" ht="15" thickBot="1" x14ac:dyDescent="0.4">
      <c r="A157" s="49"/>
      <c r="B157" s="49"/>
      <c r="C157" s="50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49"/>
      <c r="U157" s="49"/>
      <c r="V157" s="49"/>
      <c r="W157" s="49"/>
      <c r="X157" s="51"/>
      <c r="Y157" s="49"/>
      <c r="Z157" s="49"/>
      <c r="AA157" s="52"/>
      <c r="AB157" s="52"/>
      <c r="AC157" s="51"/>
      <c r="AD157" s="51"/>
      <c r="AE157" s="51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</row>
    <row r="158" spans="1:337" x14ac:dyDescent="0.35">
      <c r="A158" s="41" t="s">
        <v>31</v>
      </c>
      <c r="B158" s="41" t="s">
        <v>32</v>
      </c>
      <c r="C158" s="42">
        <v>46149</v>
      </c>
      <c r="D158" s="43">
        <v>0</v>
      </c>
      <c r="E158" s="43">
        <v>20</v>
      </c>
      <c r="F158" s="43">
        <v>20</v>
      </c>
      <c r="G158" s="43">
        <v>28</v>
      </c>
      <c r="H158" s="43">
        <v>40</v>
      </c>
      <c r="I158" s="43">
        <v>10</v>
      </c>
      <c r="J158" s="43">
        <v>21449</v>
      </c>
      <c r="K158" s="43">
        <f>SUM(L158:L160)</f>
        <v>6</v>
      </c>
      <c r="L158" s="43">
        <v>2</v>
      </c>
      <c r="M158" s="43"/>
      <c r="N158" s="43">
        <v>4</v>
      </c>
      <c r="O158" s="43">
        <v>3</v>
      </c>
      <c r="P158" s="43">
        <v>7</v>
      </c>
      <c r="Q158" s="43">
        <v>6</v>
      </c>
      <c r="R158" s="43">
        <v>9</v>
      </c>
      <c r="S158" s="43">
        <v>9</v>
      </c>
      <c r="T158" s="43">
        <v>25</v>
      </c>
      <c r="U158" s="43">
        <v>4</v>
      </c>
      <c r="V158" s="41" t="s">
        <v>33</v>
      </c>
      <c r="W158" s="41" t="s">
        <v>34</v>
      </c>
      <c r="X158" s="41">
        <v>1</v>
      </c>
      <c r="Y158" s="41">
        <v>3</v>
      </c>
      <c r="Z158" s="41">
        <v>322</v>
      </c>
      <c r="AA158" s="44">
        <v>34</v>
      </c>
      <c r="AB158" s="44">
        <v>34</v>
      </c>
      <c r="AC158" s="43">
        <v>45</v>
      </c>
      <c r="AD158" s="43">
        <v>30</v>
      </c>
      <c r="AE158" s="43">
        <v>45</v>
      </c>
    </row>
    <row r="159" spans="1:337" x14ac:dyDescent="0.35">
      <c r="A159" s="32" t="s">
        <v>31</v>
      </c>
      <c r="B159" s="32" t="s">
        <v>35</v>
      </c>
      <c r="C159" s="33">
        <v>46149</v>
      </c>
      <c r="D159" s="34">
        <v>13</v>
      </c>
      <c r="E159" s="34">
        <v>24</v>
      </c>
      <c r="F159" s="34">
        <v>25</v>
      </c>
      <c r="G159" s="141"/>
      <c r="H159" s="141"/>
      <c r="I159" s="141"/>
      <c r="J159" s="141"/>
      <c r="K159" s="141"/>
      <c r="L159" s="34">
        <v>2</v>
      </c>
      <c r="M159" s="34">
        <v>5</v>
      </c>
      <c r="N159" s="34">
        <v>4</v>
      </c>
      <c r="O159" s="34">
        <v>4</v>
      </c>
      <c r="P159" s="32">
        <v>7</v>
      </c>
      <c r="Q159" s="32">
        <v>7</v>
      </c>
      <c r="R159" s="32">
        <v>8</v>
      </c>
      <c r="S159" s="32">
        <v>6</v>
      </c>
      <c r="T159" s="143"/>
      <c r="U159" s="143"/>
      <c r="V159" s="32" t="s">
        <v>36</v>
      </c>
      <c r="W159" s="32" t="s">
        <v>37</v>
      </c>
      <c r="X159" s="32">
        <v>1</v>
      </c>
      <c r="Y159" s="143"/>
      <c r="Z159" s="143"/>
      <c r="AA159" s="145"/>
      <c r="AB159" s="145"/>
      <c r="AC159" s="141"/>
      <c r="AD159" s="141"/>
      <c r="AE159" s="141"/>
    </row>
    <row r="160" spans="1:337" ht="15" thickBot="1" x14ac:dyDescent="0.4">
      <c r="A160" s="45" t="s">
        <v>31</v>
      </c>
      <c r="B160" s="45" t="s">
        <v>38</v>
      </c>
      <c r="C160" s="46">
        <v>46149</v>
      </c>
      <c r="D160" s="47"/>
      <c r="E160" s="47"/>
      <c r="F160" s="47"/>
      <c r="G160" s="142"/>
      <c r="H160" s="142"/>
      <c r="I160" s="142"/>
      <c r="J160" s="142"/>
      <c r="K160" s="142"/>
      <c r="L160" s="47">
        <v>2</v>
      </c>
      <c r="M160" s="47"/>
      <c r="N160" s="47"/>
      <c r="O160" s="47"/>
      <c r="P160" s="47"/>
      <c r="Q160" s="47"/>
      <c r="R160" s="47"/>
      <c r="S160" s="47"/>
      <c r="T160" s="144"/>
      <c r="U160" s="144"/>
      <c r="V160" s="45"/>
      <c r="W160" s="45"/>
      <c r="X160" s="47"/>
      <c r="Y160" s="144"/>
      <c r="Z160" s="144"/>
      <c r="AA160" s="146"/>
      <c r="AB160" s="146"/>
      <c r="AC160" s="142"/>
      <c r="AD160" s="142"/>
      <c r="AE160" s="142"/>
    </row>
    <row r="161" spans="1:337" s="53" customFormat="1" ht="15" thickBot="1" x14ac:dyDescent="0.4">
      <c r="A161" s="49"/>
      <c r="B161" s="49"/>
      <c r="C161" s="50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49"/>
      <c r="U161" s="49"/>
      <c r="V161" s="49"/>
      <c r="W161" s="49"/>
      <c r="X161" s="51"/>
      <c r="Y161" s="49"/>
      <c r="Z161" s="49"/>
      <c r="AA161" s="52"/>
      <c r="AB161" s="52"/>
      <c r="AC161" s="51"/>
      <c r="AD161" s="51"/>
      <c r="AE161" s="5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</row>
    <row r="162" spans="1:337" x14ac:dyDescent="0.35">
      <c r="A162" s="41" t="s">
        <v>31</v>
      </c>
      <c r="B162" s="41" t="s">
        <v>32</v>
      </c>
      <c r="C162" s="42">
        <v>46150</v>
      </c>
      <c r="D162" s="43">
        <v>0</v>
      </c>
      <c r="E162" s="43">
        <v>20</v>
      </c>
      <c r="F162" s="43">
        <v>20</v>
      </c>
      <c r="G162" s="43">
        <v>28</v>
      </c>
      <c r="H162" s="43">
        <v>40</v>
      </c>
      <c r="I162" s="43">
        <v>10</v>
      </c>
      <c r="J162" s="43">
        <v>21449</v>
      </c>
      <c r="K162" s="43">
        <f>SUM(L162:L164)</f>
        <v>6</v>
      </c>
      <c r="L162" s="43">
        <v>2</v>
      </c>
      <c r="M162" s="43"/>
      <c r="N162" s="43">
        <v>4</v>
      </c>
      <c r="O162" s="43">
        <v>3</v>
      </c>
      <c r="P162" s="43">
        <v>7</v>
      </c>
      <c r="Q162" s="43">
        <v>6</v>
      </c>
      <c r="R162" s="43">
        <v>9</v>
      </c>
      <c r="S162" s="43">
        <v>9</v>
      </c>
      <c r="T162" s="43">
        <v>25</v>
      </c>
      <c r="U162" s="43">
        <v>4</v>
      </c>
      <c r="V162" s="41" t="s">
        <v>33</v>
      </c>
      <c r="W162" s="41" t="s">
        <v>34</v>
      </c>
      <c r="X162" s="41">
        <v>1</v>
      </c>
      <c r="Y162" s="41">
        <v>3</v>
      </c>
      <c r="Z162" s="41">
        <v>322</v>
      </c>
      <c r="AA162" s="44">
        <v>34</v>
      </c>
      <c r="AB162" s="44">
        <v>34</v>
      </c>
      <c r="AC162" s="43">
        <v>45</v>
      </c>
      <c r="AD162" s="43">
        <v>30</v>
      </c>
      <c r="AE162" s="43">
        <v>45</v>
      </c>
    </row>
    <row r="163" spans="1:337" x14ac:dyDescent="0.35">
      <c r="A163" s="32" t="s">
        <v>31</v>
      </c>
      <c r="B163" s="32" t="s">
        <v>35</v>
      </c>
      <c r="C163" s="33">
        <v>46150</v>
      </c>
      <c r="D163" s="34">
        <v>13</v>
      </c>
      <c r="E163" s="34">
        <v>24</v>
      </c>
      <c r="F163" s="34">
        <v>25</v>
      </c>
      <c r="G163" s="141"/>
      <c r="H163" s="141"/>
      <c r="I163" s="141"/>
      <c r="J163" s="141"/>
      <c r="K163" s="141"/>
      <c r="L163" s="34">
        <v>2</v>
      </c>
      <c r="M163" s="34">
        <v>5</v>
      </c>
      <c r="N163" s="34">
        <v>4</v>
      </c>
      <c r="O163" s="34">
        <v>4</v>
      </c>
      <c r="P163" s="32">
        <v>7</v>
      </c>
      <c r="Q163" s="32">
        <v>7</v>
      </c>
      <c r="R163" s="32">
        <v>8</v>
      </c>
      <c r="S163" s="32">
        <v>6</v>
      </c>
      <c r="T163" s="143"/>
      <c r="U163" s="143"/>
      <c r="V163" s="32" t="s">
        <v>36</v>
      </c>
      <c r="W163" s="32" t="s">
        <v>37</v>
      </c>
      <c r="X163" s="32">
        <v>1</v>
      </c>
      <c r="Y163" s="143"/>
      <c r="Z163" s="143"/>
      <c r="AA163" s="145"/>
      <c r="AB163" s="145"/>
      <c r="AC163" s="141"/>
      <c r="AD163" s="141"/>
      <c r="AE163" s="141"/>
    </row>
    <row r="164" spans="1:337" ht="15" thickBot="1" x14ac:dyDescent="0.4">
      <c r="A164" s="45" t="s">
        <v>31</v>
      </c>
      <c r="B164" s="45" t="s">
        <v>38</v>
      </c>
      <c r="C164" s="46">
        <v>46150</v>
      </c>
      <c r="D164" s="47"/>
      <c r="E164" s="47"/>
      <c r="F164" s="47"/>
      <c r="G164" s="142"/>
      <c r="H164" s="142"/>
      <c r="I164" s="142"/>
      <c r="J164" s="142"/>
      <c r="K164" s="142"/>
      <c r="L164" s="47">
        <v>2</v>
      </c>
      <c r="M164" s="47"/>
      <c r="N164" s="47"/>
      <c r="O164" s="47"/>
      <c r="P164" s="47"/>
      <c r="Q164" s="47"/>
      <c r="R164" s="47"/>
      <c r="S164" s="47"/>
      <c r="T164" s="144"/>
      <c r="U164" s="144"/>
      <c r="V164" s="45"/>
      <c r="W164" s="45"/>
      <c r="X164" s="47"/>
      <c r="Y164" s="144"/>
      <c r="Z164" s="144"/>
      <c r="AA164" s="146"/>
      <c r="AB164" s="146"/>
      <c r="AC164" s="142"/>
      <c r="AD164" s="142"/>
      <c r="AE164" s="142"/>
    </row>
    <row r="165" spans="1:337" s="53" customFormat="1" ht="15" thickBot="1" x14ac:dyDescent="0.4">
      <c r="A165" s="49"/>
      <c r="B165" s="49"/>
      <c r="C165" s="50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49"/>
      <c r="U165" s="49"/>
      <c r="V165" s="49"/>
      <c r="W165" s="49"/>
      <c r="X165" s="51"/>
      <c r="Y165" s="49"/>
      <c r="Z165" s="49"/>
      <c r="AA165" s="52"/>
      <c r="AB165" s="52"/>
      <c r="AC165" s="51"/>
      <c r="AD165" s="51"/>
      <c r="AE165" s="51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</row>
    <row r="166" spans="1:337" x14ac:dyDescent="0.35">
      <c r="A166" s="41" t="s">
        <v>31</v>
      </c>
      <c r="B166" s="41" t="s">
        <v>32</v>
      </c>
      <c r="C166" s="42">
        <v>46153</v>
      </c>
      <c r="D166" s="43">
        <v>0</v>
      </c>
      <c r="E166" s="43">
        <v>20</v>
      </c>
      <c r="F166" s="43">
        <v>20</v>
      </c>
      <c r="G166" s="43">
        <v>28</v>
      </c>
      <c r="H166" s="43">
        <v>40</v>
      </c>
      <c r="I166" s="43">
        <v>10</v>
      </c>
      <c r="J166" s="43">
        <v>21449</v>
      </c>
      <c r="K166" s="43">
        <f>SUM(L166:L168)</f>
        <v>6</v>
      </c>
      <c r="L166" s="43">
        <v>2</v>
      </c>
      <c r="M166" s="43"/>
      <c r="N166" s="43">
        <v>4</v>
      </c>
      <c r="O166" s="43">
        <v>3</v>
      </c>
      <c r="P166" s="43">
        <v>7</v>
      </c>
      <c r="Q166" s="43">
        <v>6</v>
      </c>
      <c r="R166" s="43">
        <v>9</v>
      </c>
      <c r="S166" s="43">
        <v>9</v>
      </c>
      <c r="T166" s="43">
        <v>25</v>
      </c>
      <c r="U166" s="43">
        <v>4</v>
      </c>
      <c r="V166" s="41" t="s">
        <v>33</v>
      </c>
      <c r="W166" s="41" t="s">
        <v>34</v>
      </c>
      <c r="X166" s="41">
        <v>1</v>
      </c>
      <c r="Y166" s="41">
        <v>3</v>
      </c>
      <c r="Z166" s="41">
        <v>322</v>
      </c>
      <c r="AA166" s="44">
        <v>34</v>
      </c>
      <c r="AB166" s="44">
        <v>34</v>
      </c>
      <c r="AC166" s="43">
        <v>45</v>
      </c>
      <c r="AD166" s="43">
        <v>30</v>
      </c>
      <c r="AE166" s="43">
        <v>45</v>
      </c>
    </row>
    <row r="167" spans="1:337" x14ac:dyDescent="0.35">
      <c r="A167" s="32" t="s">
        <v>31</v>
      </c>
      <c r="B167" s="32" t="s">
        <v>35</v>
      </c>
      <c r="C167" s="33">
        <v>46153</v>
      </c>
      <c r="D167" s="34">
        <v>13</v>
      </c>
      <c r="E167" s="34">
        <v>24</v>
      </c>
      <c r="F167" s="34">
        <v>25</v>
      </c>
      <c r="G167" s="141"/>
      <c r="H167" s="141"/>
      <c r="I167" s="141"/>
      <c r="J167" s="141"/>
      <c r="K167" s="141"/>
      <c r="L167" s="34">
        <v>2</v>
      </c>
      <c r="M167" s="34">
        <v>5</v>
      </c>
      <c r="N167" s="34">
        <v>4</v>
      </c>
      <c r="O167" s="34">
        <v>4</v>
      </c>
      <c r="P167" s="32">
        <v>7</v>
      </c>
      <c r="Q167" s="32">
        <v>7</v>
      </c>
      <c r="R167" s="32">
        <v>8</v>
      </c>
      <c r="S167" s="32">
        <v>6</v>
      </c>
      <c r="T167" s="143"/>
      <c r="U167" s="143"/>
      <c r="V167" s="32" t="s">
        <v>36</v>
      </c>
      <c r="W167" s="32" t="s">
        <v>37</v>
      </c>
      <c r="X167" s="32">
        <v>1</v>
      </c>
      <c r="Y167" s="143"/>
      <c r="Z167" s="143"/>
      <c r="AA167" s="145"/>
      <c r="AB167" s="145"/>
      <c r="AC167" s="141"/>
      <c r="AD167" s="141"/>
      <c r="AE167" s="141"/>
    </row>
    <row r="168" spans="1:337" ht="15" thickBot="1" x14ac:dyDescent="0.4">
      <c r="A168" s="45" t="s">
        <v>31</v>
      </c>
      <c r="B168" s="45" t="s">
        <v>38</v>
      </c>
      <c r="C168" s="46">
        <v>46153</v>
      </c>
      <c r="D168" s="47"/>
      <c r="E168" s="47"/>
      <c r="F168" s="47"/>
      <c r="G168" s="142"/>
      <c r="H168" s="142"/>
      <c r="I168" s="142"/>
      <c r="J168" s="142"/>
      <c r="K168" s="142"/>
      <c r="L168" s="47">
        <v>2</v>
      </c>
      <c r="M168" s="47"/>
      <c r="N168" s="47"/>
      <c r="O168" s="47"/>
      <c r="P168" s="47"/>
      <c r="Q168" s="47"/>
      <c r="R168" s="47"/>
      <c r="S168" s="47"/>
      <c r="T168" s="144"/>
      <c r="U168" s="144"/>
      <c r="V168" s="45"/>
      <c r="W168" s="45"/>
      <c r="X168" s="47"/>
      <c r="Y168" s="144"/>
      <c r="Z168" s="144"/>
      <c r="AA168" s="146"/>
      <c r="AB168" s="146"/>
      <c r="AC168" s="142"/>
      <c r="AD168" s="142"/>
      <c r="AE168" s="142"/>
    </row>
    <row r="169" spans="1:337" s="53" customFormat="1" ht="15" thickBot="1" x14ac:dyDescent="0.4">
      <c r="A169" s="49"/>
      <c r="B169" s="49"/>
      <c r="C169" s="50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49"/>
      <c r="U169" s="49"/>
      <c r="V169" s="49"/>
      <c r="W169" s="49"/>
      <c r="X169" s="51"/>
      <c r="Y169" s="49"/>
      <c r="Z169" s="49"/>
      <c r="AA169" s="52"/>
      <c r="AB169" s="52"/>
      <c r="AC169" s="51"/>
      <c r="AD169" s="51"/>
      <c r="AE169" s="51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</row>
    <row r="170" spans="1:337" x14ac:dyDescent="0.35">
      <c r="A170" s="41" t="s">
        <v>31</v>
      </c>
      <c r="B170" s="41" t="s">
        <v>32</v>
      </c>
      <c r="C170" s="42">
        <v>46154</v>
      </c>
      <c r="D170" s="43">
        <v>0</v>
      </c>
      <c r="E170" s="43">
        <v>20</v>
      </c>
      <c r="F170" s="43">
        <v>20</v>
      </c>
      <c r="G170" s="43">
        <v>28</v>
      </c>
      <c r="H170" s="43">
        <v>40</v>
      </c>
      <c r="I170" s="43">
        <v>10</v>
      </c>
      <c r="J170" s="43">
        <v>21449</v>
      </c>
      <c r="K170" s="43">
        <f>SUM(L170:L172)</f>
        <v>6</v>
      </c>
      <c r="L170" s="43">
        <v>2</v>
      </c>
      <c r="M170" s="43"/>
      <c r="N170" s="43">
        <v>4</v>
      </c>
      <c r="O170" s="43">
        <v>3</v>
      </c>
      <c r="P170" s="43">
        <v>7</v>
      </c>
      <c r="Q170" s="43">
        <v>6</v>
      </c>
      <c r="R170" s="43">
        <v>9</v>
      </c>
      <c r="S170" s="43">
        <v>9</v>
      </c>
      <c r="T170" s="43">
        <v>20</v>
      </c>
      <c r="U170" s="43">
        <v>3</v>
      </c>
      <c r="V170" s="41" t="s">
        <v>33</v>
      </c>
      <c r="W170" s="41" t="s">
        <v>34</v>
      </c>
      <c r="X170" s="41">
        <v>1</v>
      </c>
      <c r="Y170" s="41">
        <v>3</v>
      </c>
      <c r="Z170" s="41">
        <v>322</v>
      </c>
      <c r="AA170" s="44">
        <v>34</v>
      </c>
      <c r="AB170" s="44">
        <v>34</v>
      </c>
      <c r="AC170" s="43">
        <v>45</v>
      </c>
      <c r="AD170" s="43">
        <v>30</v>
      </c>
      <c r="AE170" s="43">
        <v>45</v>
      </c>
    </row>
    <row r="171" spans="1:337" x14ac:dyDescent="0.35">
      <c r="A171" s="32" t="s">
        <v>31</v>
      </c>
      <c r="B171" s="32" t="s">
        <v>35</v>
      </c>
      <c r="C171" s="33">
        <v>46154</v>
      </c>
      <c r="D171" s="34">
        <v>13</v>
      </c>
      <c r="E171" s="34">
        <v>24</v>
      </c>
      <c r="F171" s="34">
        <v>25</v>
      </c>
      <c r="G171" s="141"/>
      <c r="H171" s="141"/>
      <c r="I171" s="141"/>
      <c r="J171" s="141"/>
      <c r="K171" s="141"/>
      <c r="L171" s="34">
        <v>2</v>
      </c>
      <c r="M171" s="34">
        <v>5</v>
      </c>
      <c r="N171" s="34">
        <v>4</v>
      </c>
      <c r="O171" s="34">
        <v>4</v>
      </c>
      <c r="P171" s="32">
        <v>7</v>
      </c>
      <c r="Q171" s="32">
        <v>7</v>
      </c>
      <c r="R171" s="32">
        <v>8</v>
      </c>
      <c r="S171" s="32">
        <v>6</v>
      </c>
      <c r="T171" s="143"/>
      <c r="U171" s="143"/>
      <c r="V171" s="32" t="s">
        <v>36</v>
      </c>
      <c r="W171" s="32" t="s">
        <v>37</v>
      </c>
      <c r="X171" s="32">
        <v>1</v>
      </c>
      <c r="Y171" s="143"/>
      <c r="Z171" s="143"/>
      <c r="AA171" s="145"/>
      <c r="AB171" s="145"/>
      <c r="AC171" s="141"/>
      <c r="AD171" s="141"/>
      <c r="AE171" s="141"/>
    </row>
    <row r="172" spans="1:337" ht="15" thickBot="1" x14ac:dyDescent="0.4">
      <c r="A172" s="45" t="s">
        <v>31</v>
      </c>
      <c r="B172" s="45" t="s">
        <v>38</v>
      </c>
      <c r="C172" s="46">
        <v>46154</v>
      </c>
      <c r="D172" s="47"/>
      <c r="E172" s="47"/>
      <c r="F172" s="47"/>
      <c r="G172" s="142"/>
      <c r="H172" s="142"/>
      <c r="I172" s="142"/>
      <c r="J172" s="142"/>
      <c r="K172" s="142"/>
      <c r="L172" s="47">
        <v>2</v>
      </c>
      <c r="M172" s="47"/>
      <c r="N172" s="47"/>
      <c r="O172" s="47"/>
      <c r="P172" s="47"/>
      <c r="Q172" s="47"/>
      <c r="R172" s="47"/>
      <c r="S172" s="47"/>
      <c r="T172" s="144"/>
      <c r="U172" s="144"/>
      <c r="V172" s="45"/>
      <c r="W172" s="45"/>
      <c r="X172" s="47"/>
      <c r="Y172" s="144"/>
      <c r="Z172" s="144"/>
      <c r="AA172" s="146"/>
      <c r="AB172" s="146"/>
      <c r="AC172" s="142"/>
      <c r="AD172" s="142"/>
      <c r="AE172" s="142"/>
    </row>
    <row r="173" spans="1:337" s="53" customFormat="1" ht="15" thickBot="1" x14ac:dyDescent="0.4">
      <c r="A173" s="49"/>
      <c r="B173" s="49"/>
      <c r="C173" s="50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49"/>
      <c r="U173" s="49"/>
      <c r="V173" s="49"/>
      <c r="W173" s="49"/>
      <c r="X173" s="51"/>
      <c r="Y173" s="49"/>
      <c r="Z173" s="49"/>
      <c r="AA173" s="52"/>
      <c r="AB173" s="52"/>
      <c r="AC173" s="51"/>
      <c r="AD173" s="51"/>
      <c r="AE173" s="51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</row>
    <row r="174" spans="1:337" x14ac:dyDescent="0.35">
      <c r="A174" s="41" t="s">
        <v>31</v>
      </c>
      <c r="B174" s="41" t="s">
        <v>32</v>
      </c>
      <c r="C174" s="42">
        <v>46155</v>
      </c>
      <c r="D174" s="43">
        <v>0</v>
      </c>
      <c r="E174" s="43">
        <v>20</v>
      </c>
      <c r="F174" s="43">
        <v>20</v>
      </c>
      <c r="G174" s="43">
        <v>28</v>
      </c>
      <c r="H174" s="43">
        <v>40</v>
      </c>
      <c r="I174" s="43">
        <v>10</v>
      </c>
      <c r="J174" s="43">
        <v>21449</v>
      </c>
      <c r="K174" s="43">
        <f>SUM(L174:L176)</f>
        <v>6</v>
      </c>
      <c r="L174" s="43">
        <v>2</v>
      </c>
      <c r="M174" s="43"/>
      <c r="N174" s="43">
        <v>4</v>
      </c>
      <c r="O174" s="43">
        <v>3</v>
      </c>
      <c r="P174" s="43">
        <v>7</v>
      </c>
      <c r="Q174" s="43">
        <v>6</v>
      </c>
      <c r="R174" s="43">
        <v>9</v>
      </c>
      <c r="S174" s="43">
        <v>9</v>
      </c>
      <c r="T174" s="43">
        <v>25</v>
      </c>
      <c r="U174" s="43">
        <v>4</v>
      </c>
      <c r="V174" s="41" t="s">
        <v>33</v>
      </c>
      <c r="W174" s="41" t="s">
        <v>34</v>
      </c>
      <c r="X174" s="41">
        <v>1</v>
      </c>
      <c r="Y174" s="41">
        <v>3</v>
      </c>
      <c r="Z174" s="41">
        <v>322</v>
      </c>
      <c r="AA174" s="44">
        <v>34</v>
      </c>
      <c r="AB174" s="44">
        <v>34</v>
      </c>
      <c r="AC174" s="43">
        <v>45</v>
      </c>
      <c r="AD174" s="43">
        <v>30</v>
      </c>
      <c r="AE174" s="43">
        <v>45</v>
      </c>
    </row>
    <row r="175" spans="1:337" x14ac:dyDescent="0.35">
      <c r="A175" s="32" t="s">
        <v>31</v>
      </c>
      <c r="B175" s="32" t="s">
        <v>35</v>
      </c>
      <c r="C175" s="33">
        <v>46155</v>
      </c>
      <c r="D175" s="34">
        <v>13</v>
      </c>
      <c r="E175" s="34">
        <v>24</v>
      </c>
      <c r="F175" s="34">
        <v>25</v>
      </c>
      <c r="G175" s="141"/>
      <c r="H175" s="141"/>
      <c r="I175" s="141"/>
      <c r="J175" s="141"/>
      <c r="K175" s="141"/>
      <c r="L175" s="34">
        <v>2</v>
      </c>
      <c r="M175" s="34">
        <v>5</v>
      </c>
      <c r="N175" s="34">
        <v>4</v>
      </c>
      <c r="O175" s="34">
        <v>4</v>
      </c>
      <c r="P175" s="32">
        <v>7</v>
      </c>
      <c r="Q175" s="32">
        <v>7</v>
      </c>
      <c r="R175" s="32">
        <v>8</v>
      </c>
      <c r="S175" s="32">
        <v>6</v>
      </c>
      <c r="T175" s="143"/>
      <c r="U175" s="143"/>
      <c r="V175" s="32" t="s">
        <v>36</v>
      </c>
      <c r="W175" s="32" t="s">
        <v>37</v>
      </c>
      <c r="X175" s="32">
        <v>1</v>
      </c>
      <c r="Y175" s="143"/>
      <c r="Z175" s="143"/>
      <c r="AA175" s="145"/>
      <c r="AB175" s="145"/>
      <c r="AC175" s="141"/>
      <c r="AD175" s="141"/>
      <c r="AE175" s="141"/>
    </row>
    <row r="176" spans="1:337" ht="15" thickBot="1" x14ac:dyDescent="0.4">
      <c r="A176" s="45" t="s">
        <v>31</v>
      </c>
      <c r="B176" s="45" t="s">
        <v>38</v>
      </c>
      <c r="C176" s="46">
        <v>46155</v>
      </c>
      <c r="D176" s="47"/>
      <c r="E176" s="47"/>
      <c r="F176" s="47"/>
      <c r="G176" s="142"/>
      <c r="H176" s="142"/>
      <c r="I176" s="142"/>
      <c r="J176" s="142"/>
      <c r="K176" s="142"/>
      <c r="L176" s="47">
        <v>2</v>
      </c>
      <c r="M176" s="47"/>
      <c r="N176" s="47"/>
      <c r="O176" s="47"/>
      <c r="P176" s="47"/>
      <c r="Q176" s="47"/>
      <c r="R176" s="47"/>
      <c r="S176" s="47"/>
      <c r="T176" s="144"/>
      <c r="U176" s="144"/>
      <c r="V176" s="45"/>
      <c r="W176" s="45"/>
      <c r="X176" s="47"/>
      <c r="Y176" s="144"/>
      <c r="Z176" s="144"/>
      <c r="AA176" s="146"/>
      <c r="AB176" s="146"/>
      <c r="AC176" s="142"/>
      <c r="AD176" s="142"/>
      <c r="AE176" s="142"/>
    </row>
    <row r="177" spans="1:337" s="53" customFormat="1" ht="15" thickBot="1" x14ac:dyDescent="0.4">
      <c r="A177" s="49"/>
      <c r="B177" s="49"/>
      <c r="C177" s="50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49"/>
      <c r="U177" s="49"/>
      <c r="V177" s="49"/>
      <c r="W177" s="49"/>
      <c r="X177" s="51"/>
      <c r="Y177" s="49"/>
      <c r="Z177" s="49"/>
      <c r="AA177" s="52"/>
      <c r="AB177" s="52"/>
      <c r="AC177" s="51"/>
      <c r="AD177" s="51"/>
      <c r="AE177" s="51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</row>
    <row r="178" spans="1:337" x14ac:dyDescent="0.35">
      <c r="A178" s="41" t="s">
        <v>31</v>
      </c>
      <c r="B178" s="41" t="s">
        <v>32</v>
      </c>
      <c r="C178" s="42">
        <v>46156</v>
      </c>
      <c r="D178" s="43">
        <v>0</v>
      </c>
      <c r="E178" s="43">
        <v>20</v>
      </c>
      <c r="F178" s="43">
        <v>20</v>
      </c>
      <c r="G178" s="43">
        <v>28</v>
      </c>
      <c r="H178" s="43">
        <v>40</v>
      </c>
      <c r="I178" s="43">
        <v>10</v>
      </c>
      <c r="J178" s="43">
        <v>21449</v>
      </c>
      <c r="K178" s="43">
        <f>SUM(L178:L180)</f>
        <v>6</v>
      </c>
      <c r="L178" s="43">
        <v>2</v>
      </c>
      <c r="M178" s="43"/>
      <c r="N178" s="43">
        <v>4</v>
      </c>
      <c r="O178" s="43">
        <v>3</v>
      </c>
      <c r="P178" s="43">
        <v>7</v>
      </c>
      <c r="Q178" s="43">
        <v>6</v>
      </c>
      <c r="R178" s="43">
        <v>9</v>
      </c>
      <c r="S178" s="43">
        <v>9</v>
      </c>
      <c r="T178" s="43">
        <v>25</v>
      </c>
      <c r="U178" s="43">
        <v>4</v>
      </c>
      <c r="V178" s="41" t="s">
        <v>33</v>
      </c>
      <c r="W178" s="41" t="s">
        <v>34</v>
      </c>
      <c r="X178" s="41">
        <v>1</v>
      </c>
      <c r="Y178" s="41">
        <v>3</v>
      </c>
      <c r="Z178" s="41">
        <v>322</v>
      </c>
      <c r="AA178" s="44">
        <v>34</v>
      </c>
      <c r="AB178" s="44">
        <v>34</v>
      </c>
      <c r="AC178" s="43">
        <v>45</v>
      </c>
      <c r="AD178" s="43">
        <v>30</v>
      </c>
      <c r="AE178" s="43">
        <v>45</v>
      </c>
    </row>
    <row r="179" spans="1:337" x14ac:dyDescent="0.35">
      <c r="A179" s="32" t="s">
        <v>31</v>
      </c>
      <c r="B179" s="32" t="s">
        <v>35</v>
      </c>
      <c r="C179" s="33">
        <v>46156</v>
      </c>
      <c r="D179" s="34">
        <v>13</v>
      </c>
      <c r="E179" s="34">
        <v>24</v>
      </c>
      <c r="F179" s="34">
        <v>25</v>
      </c>
      <c r="G179" s="141"/>
      <c r="H179" s="141"/>
      <c r="I179" s="141"/>
      <c r="J179" s="141"/>
      <c r="K179" s="141"/>
      <c r="L179" s="34">
        <v>2</v>
      </c>
      <c r="M179" s="34">
        <v>5</v>
      </c>
      <c r="N179" s="34">
        <v>4</v>
      </c>
      <c r="O179" s="34">
        <v>4</v>
      </c>
      <c r="P179" s="32">
        <v>7</v>
      </c>
      <c r="Q179" s="32">
        <v>7</v>
      </c>
      <c r="R179" s="32">
        <v>8</v>
      </c>
      <c r="S179" s="32">
        <v>6</v>
      </c>
      <c r="T179" s="143"/>
      <c r="U179" s="143"/>
      <c r="V179" s="32" t="s">
        <v>36</v>
      </c>
      <c r="W179" s="32" t="s">
        <v>37</v>
      </c>
      <c r="X179" s="32">
        <v>1</v>
      </c>
      <c r="Y179" s="143"/>
      <c r="Z179" s="143"/>
      <c r="AA179" s="145"/>
      <c r="AB179" s="145"/>
      <c r="AC179" s="141"/>
      <c r="AD179" s="141"/>
      <c r="AE179" s="141"/>
    </row>
    <row r="180" spans="1:337" ht="15" thickBot="1" x14ac:dyDescent="0.4">
      <c r="A180" s="45" t="s">
        <v>31</v>
      </c>
      <c r="B180" s="45" t="s">
        <v>38</v>
      </c>
      <c r="C180" s="46">
        <v>46156</v>
      </c>
      <c r="D180" s="47"/>
      <c r="E180" s="47"/>
      <c r="F180" s="47"/>
      <c r="G180" s="142"/>
      <c r="H180" s="142"/>
      <c r="I180" s="142"/>
      <c r="J180" s="142"/>
      <c r="K180" s="142"/>
      <c r="L180" s="47">
        <v>2</v>
      </c>
      <c r="M180" s="47"/>
      <c r="N180" s="47"/>
      <c r="O180" s="47"/>
      <c r="P180" s="47"/>
      <c r="Q180" s="47"/>
      <c r="R180" s="47"/>
      <c r="S180" s="47"/>
      <c r="T180" s="144"/>
      <c r="U180" s="144"/>
      <c r="V180" s="45"/>
      <c r="W180" s="45"/>
      <c r="X180" s="47"/>
      <c r="Y180" s="144"/>
      <c r="Z180" s="144"/>
      <c r="AA180" s="146"/>
      <c r="AB180" s="146"/>
      <c r="AC180" s="142"/>
      <c r="AD180" s="142"/>
      <c r="AE180" s="142"/>
    </row>
    <row r="181" spans="1:337" s="53" customFormat="1" ht="15" thickBot="1" x14ac:dyDescent="0.4">
      <c r="A181" s="49"/>
      <c r="B181" s="49"/>
      <c r="C181" s="50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49"/>
      <c r="U181" s="49"/>
      <c r="V181" s="49"/>
      <c r="W181" s="49"/>
      <c r="X181" s="51"/>
      <c r="Y181" s="49"/>
      <c r="Z181" s="49"/>
      <c r="AA181" s="52"/>
      <c r="AB181" s="52"/>
      <c r="AC181" s="51"/>
      <c r="AD181" s="51"/>
      <c r="AE181" s="5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</row>
    <row r="182" spans="1:337" x14ac:dyDescent="0.35">
      <c r="A182" s="41" t="s">
        <v>31</v>
      </c>
      <c r="B182" s="41" t="s">
        <v>32</v>
      </c>
      <c r="C182" s="42">
        <v>46157</v>
      </c>
      <c r="D182" s="43">
        <v>0</v>
      </c>
      <c r="E182" s="43">
        <v>20</v>
      </c>
      <c r="F182" s="43">
        <v>20</v>
      </c>
      <c r="G182" s="43">
        <v>28</v>
      </c>
      <c r="H182" s="43">
        <v>40</v>
      </c>
      <c r="I182" s="43">
        <v>10</v>
      </c>
      <c r="J182" s="43">
        <v>21449</v>
      </c>
      <c r="K182" s="43">
        <f>SUM(L182:L184)</f>
        <v>6</v>
      </c>
      <c r="L182" s="43">
        <v>2</v>
      </c>
      <c r="M182" s="43"/>
      <c r="N182" s="43">
        <v>4</v>
      </c>
      <c r="O182" s="43">
        <v>3</v>
      </c>
      <c r="P182" s="43">
        <v>7</v>
      </c>
      <c r="Q182" s="43">
        <v>6</v>
      </c>
      <c r="R182" s="43">
        <v>9</v>
      </c>
      <c r="S182" s="43">
        <v>9</v>
      </c>
      <c r="T182" s="43">
        <v>25</v>
      </c>
      <c r="U182" s="43">
        <v>4</v>
      </c>
      <c r="V182" s="41" t="s">
        <v>33</v>
      </c>
      <c r="W182" s="41" t="s">
        <v>34</v>
      </c>
      <c r="X182" s="41">
        <v>1</v>
      </c>
      <c r="Y182" s="41">
        <v>3</v>
      </c>
      <c r="Z182" s="41">
        <v>322</v>
      </c>
      <c r="AA182" s="44">
        <v>34</v>
      </c>
      <c r="AB182" s="44">
        <v>34</v>
      </c>
      <c r="AC182" s="43">
        <v>45</v>
      </c>
      <c r="AD182" s="43">
        <v>30</v>
      </c>
      <c r="AE182" s="43">
        <v>45</v>
      </c>
    </row>
    <row r="183" spans="1:337" x14ac:dyDescent="0.35">
      <c r="A183" s="32" t="s">
        <v>31</v>
      </c>
      <c r="B183" s="32" t="s">
        <v>35</v>
      </c>
      <c r="C183" s="33">
        <v>46157</v>
      </c>
      <c r="D183" s="34">
        <v>13</v>
      </c>
      <c r="E183" s="34">
        <v>24</v>
      </c>
      <c r="F183" s="34">
        <v>25</v>
      </c>
      <c r="G183" s="141"/>
      <c r="H183" s="141"/>
      <c r="I183" s="141"/>
      <c r="J183" s="141"/>
      <c r="K183" s="141"/>
      <c r="L183" s="34">
        <v>2</v>
      </c>
      <c r="M183" s="34">
        <v>5</v>
      </c>
      <c r="N183" s="34">
        <v>4</v>
      </c>
      <c r="O183" s="34">
        <v>4</v>
      </c>
      <c r="P183" s="32">
        <v>7</v>
      </c>
      <c r="Q183" s="32">
        <v>7</v>
      </c>
      <c r="R183" s="32">
        <v>8</v>
      </c>
      <c r="S183" s="32">
        <v>6</v>
      </c>
      <c r="T183" s="143"/>
      <c r="U183" s="143"/>
      <c r="V183" s="32" t="s">
        <v>36</v>
      </c>
      <c r="W183" s="32" t="s">
        <v>37</v>
      </c>
      <c r="X183" s="32">
        <v>1</v>
      </c>
      <c r="Y183" s="143"/>
      <c r="Z183" s="143"/>
      <c r="AA183" s="145"/>
      <c r="AB183" s="145"/>
      <c r="AC183" s="141"/>
      <c r="AD183" s="141"/>
      <c r="AE183" s="141"/>
    </row>
    <row r="184" spans="1:337" ht="15" thickBot="1" x14ac:dyDescent="0.4">
      <c r="A184" s="45" t="s">
        <v>31</v>
      </c>
      <c r="B184" s="45" t="s">
        <v>38</v>
      </c>
      <c r="C184" s="46">
        <v>46157</v>
      </c>
      <c r="D184" s="47"/>
      <c r="E184" s="47"/>
      <c r="F184" s="47"/>
      <c r="G184" s="142"/>
      <c r="H184" s="142"/>
      <c r="I184" s="142"/>
      <c r="J184" s="142"/>
      <c r="K184" s="142"/>
      <c r="L184" s="47">
        <v>2</v>
      </c>
      <c r="M184" s="47"/>
      <c r="N184" s="47"/>
      <c r="O184" s="47"/>
      <c r="P184" s="47"/>
      <c r="Q184" s="47"/>
      <c r="R184" s="47"/>
      <c r="S184" s="47"/>
      <c r="T184" s="144"/>
      <c r="U184" s="144"/>
      <c r="V184" s="45"/>
      <c r="W184" s="45"/>
      <c r="X184" s="47"/>
      <c r="Y184" s="144"/>
      <c r="Z184" s="144"/>
      <c r="AA184" s="146"/>
      <c r="AB184" s="146"/>
      <c r="AC184" s="142"/>
      <c r="AD184" s="142"/>
      <c r="AE184" s="142"/>
    </row>
    <row r="185" spans="1:337" s="53" customFormat="1" ht="15" thickBot="1" x14ac:dyDescent="0.4">
      <c r="A185" s="49"/>
      <c r="B185" s="49"/>
      <c r="C185" s="50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49"/>
      <c r="U185" s="49"/>
      <c r="V185" s="49"/>
      <c r="W185" s="49"/>
      <c r="X185" s="51"/>
      <c r="Y185" s="49"/>
      <c r="Z185" s="49"/>
      <c r="AA185" s="52"/>
      <c r="AB185" s="52"/>
      <c r="AC185" s="51"/>
      <c r="AD185" s="51"/>
      <c r="AE185" s="51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</row>
    <row r="186" spans="1:337" x14ac:dyDescent="0.35">
      <c r="A186" s="41" t="s">
        <v>31</v>
      </c>
      <c r="B186" s="41" t="s">
        <v>32</v>
      </c>
      <c r="C186" s="42">
        <v>46160</v>
      </c>
      <c r="D186" s="43">
        <v>0</v>
      </c>
      <c r="E186" s="43">
        <v>20</v>
      </c>
      <c r="F186" s="43">
        <v>20</v>
      </c>
      <c r="G186" s="43">
        <v>28</v>
      </c>
      <c r="H186" s="43">
        <v>40</v>
      </c>
      <c r="I186" s="43">
        <v>10</v>
      </c>
      <c r="J186" s="43">
        <v>21449</v>
      </c>
      <c r="K186" s="43">
        <f>SUM(L186:L188)</f>
        <v>6</v>
      </c>
      <c r="L186" s="43">
        <v>2</v>
      </c>
      <c r="M186" s="43"/>
      <c r="N186" s="43">
        <v>4</v>
      </c>
      <c r="O186" s="43">
        <v>3</v>
      </c>
      <c r="P186" s="43">
        <v>7</v>
      </c>
      <c r="Q186" s="43">
        <v>6</v>
      </c>
      <c r="R186" s="43">
        <v>9</v>
      </c>
      <c r="S186" s="43">
        <v>9</v>
      </c>
      <c r="T186" s="43">
        <v>25</v>
      </c>
      <c r="U186" s="43">
        <v>4</v>
      </c>
      <c r="V186" s="41" t="s">
        <v>33</v>
      </c>
      <c r="W186" s="41" t="s">
        <v>34</v>
      </c>
      <c r="X186" s="41">
        <v>1</v>
      </c>
      <c r="Y186" s="41">
        <v>3</v>
      </c>
      <c r="Z186" s="41">
        <v>322</v>
      </c>
      <c r="AA186" s="44">
        <v>34</v>
      </c>
      <c r="AB186" s="44">
        <v>34</v>
      </c>
      <c r="AC186" s="43">
        <v>45</v>
      </c>
      <c r="AD186" s="43">
        <v>30</v>
      </c>
      <c r="AE186" s="43">
        <v>45</v>
      </c>
    </row>
    <row r="187" spans="1:337" x14ac:dyDescent="0.35">
      <c r="A187" s="32" t="s">
        <v>31</v>
      </c>
      <c r="B187" s="32" t="s">
        <v>35</v>
      </c>
      <c r="C187" s="33">
        <v>46160</v>
      </c>
      <c r="D187" s="34">
        <v>13</v>
      </c>
      <c r="E187" s="34">
        <v>24</v>
      </c>
      <c r="F187" s="34">
        <v>25</v>
      </c>
      <c r="G187" s="141"/>
      <c r="H187" s="141"/>
      <c r="I187" s="141"/>
      <c r="J187" s="141"/>
      <c r="K187" s="141"/>
      <c r="L187" s="34">
        <v>2</v>
      </c>
      <c r="M187" s="34">
        <v>5</v>
      </c>
      <c r="N187" s="34">
        <v>4</v>
      </c>
      <c r="O187" s="34">
        <v>4</v>
      </c>
      <c r="P187" s="32">
        <v>7</v>
      </c>
      <c r="Q187" s="32">
        <v>7</v>
      </c>
      <c r="R187" s="32">
        <v>8</v>
      </c>
      <c r="S187" s="32">
        <v>6</v>
      </c>
      <c r="T187" s="143"/>
      <c r="U187" s="143"/>
      <c r="V187" s="32" t="s">
        <v>36</v>
      </c>
      <c r="W187" s="32" t="s">
        <v>37</v>
      </c>
      <c r="X187" s="32">
        <v>1</v>
      </c>
      <c r="Y187" s="143"/>
      <c r="Z187" s="143"/>
      <c r="AA187" s="145"/>
      <c r="AB187" s="145"/>
      <c r="AC187" s="141"/>
      <c r="AD187" s="141"/>
      <c r="AE187" s="141"/>
    </row>
    <row r="188" spans="1:337" ht="15" thickBot="1" x14ac:dyDescent="0.4">
      <c r="A188" s="45" t="s">
        <v>31</v>
      </c>
      <c r="B188" s="45" t="s">
        <v>38</v>
      </c>
      <c r="C188" s="46">
        <v>46160</v>
      </c>
      <c r="D188" s="47"/>
      <c r="E188" s="47"/>
      <c r="F188" s="47"/>
      <c r="G188" s="142"/>
      <c r="H188" s="142"/>
      <c r="I188" s="142"/>
      <c r="J188" s="142"/>
      <c r="K188" s="142"/>
      <c r="L188" s="47">
        <v>2</v>
      </c>
      <c r="M188" s="47"/>
      <c r="N188" s="47"/>
      <c r="O188" s="47"/>
      <c r="P188" s="47"/>
      <c r="Q188" s="47"/>
      <c r="R188" s="47"/>
      <c r="S188" s="47"/>
      <c r="T188" s="144"/>
      <c r="U188" s="144"/>
      <c r="V188" s="45"/>
      <c r="W188" s="45"/>
      <c r="X188" s="47"/>
      <c r="Y188" s="144"/>
      <c r="Z188" s="144"/>
      <c r="AA188" s="146"/>
      <c r="AB188" s="146"/>
      <c r="AC188" s="142"/>
      <c r="AD188" s="142"/>
      <c r="AE188" s="142"/>
    </row>
    <row r="189" spans="1:337" s="53" customFormat="1" ht="15" thickBot="1" x14ac:dyDescent="0.4">
      <c r="A189" s="49"/>
      <c r="B189" s="49"/>
      <c r="C189" s="50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49"/>
      <c r="U189" s="49"/>
      <c r="V189" s="49"/>
      <c r="W189" s="49"/>
      <c r="X189" s="51"/>
      <c r="Y189" s="49"/>
      <c r="Z189" s="49"/>
      <c r="AA189" s="52"/>
      <c r="AB189" s="52"/>
      <c r="AC189" s="51"/>
      <c r="AD189" s="51"/>
      <c r="AE189" s="51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</row>
    <row r="190" spans="1:337" x14ac:dyDescent="0.35">
      <c r="A190" s="41" t="s">
        <v>31</v>
      </c>
      <c r="B190" s="41" t="s">
        <v>32</v>
      </c>
      <c r="C190" s="42">
        <v>46161</v>
      </c>
      <c r="D190" s="43">
        <v>0</v>
      </c>
      <c r="E190" s="43">
        <v>20</v>
      </c>
      <c r="F190" s="43">
        <v>20</v>
      </c>
      <c r="G190" s="43">
        <v>28</v>
      </c>
      <c r="H190" s="43">
        <v>40</v>
      </c>
      <c r="I190" s="43">
        <v>10</v>
      </c>
      <c r="J190" s="43">
        <v>21449</v>
      </c>
      <c r="K190" s="43">
        <f>SUM(L190:L192)</f>
        <v>6</v>
      </c>
      <c r="L190" s="43">
        <v>2</v>
      </c>
      <c r="M190" s="43"/>
      <c r="N190" s="43">
        <v>4</v>
      </c>
      <c r="O190" s="43">
        <v>3</v>
      </c>
      <c r="P190" s="43">
        <v>7</v>
      </c>
      <c r="Q190" s="43">
        <v>6</v>
      </c>
      <c r="R190" s="43">
        <v>9</v>
      </c>
      <c r="S190" s="43">
        <v>9</v>
      </c>
      <c r="T190" s="43">
        <v>25</v>
      </c>
      <c r="U190" s="43">
        <v>4</v>
      </c>
      <c r="V190" s="41" t="s">
        <v>33</v>
      </c>
      <c r="W190" s="41" t="s">
        <v>34</v>
      </c>
      <c r="X190" s="41">
        <v>1</v>
      </c>
      <c r="Y190" s="41">
        <v>3</v>
      </c>
      <c r="Z190" s="41">
        <v>322</v>
      </c>
      <c r="AA190" s="44">
        <v>34</v>
      </c>
      <c r="AB190" s="44">
        <v>34</v>
      </c>
      <c r="AC190" s="43">
        <v>45</v>
      </c>
      <c r="AD190" s="43">
        <v>30</v>
      </c>
      <c r="AE190" s="43">
        <v>45</v>
      </c>
    </row>
    <row r="191" spans="1:337" x14ac:dyDescent="0.35">
      <c r="A191" s="32" t="s">
        <v>31</v>
      </c>
      <c r="B191" s="32" t="s">
        <v>35</v>
      </c>
      <c r="C191" s="33">
        <v>46161</v>
      </c>
      <c r="D191" s="34">
        <v>13</v>
      </c>
      <c r="E191" s="34">
        <v>24</v>
      </c>
      <c r="F191" s="34">
        <v>25</v>
      </c>
      <c r="G191" s="141"/>
      <c r="H191" s="141"/>
      <c r="I191" s="141"/>
      <c r="J191" s="141"/>
      <c r="K191" s="141"/>
      <c r="L191" s="34">
        <v>2</v>
      </c>
      <c r="M191" s="34">
        <v>5</v>
      </c>
      <c r="N191" s="34">
        <v>4</v>
      </c>
      <c r="O191" s="34">
        <v>4</v>
      </c>
      <c r="P191" s="32">
        <v>7</v>
      </c>
      <c r="Q191" s="32">
        <v>7</v>
      </c>
      <c r="R191" s="32">
        <v>8</v>
      </c>
      <c r="S191" s="32">
        <v>6</v>
      </c>
      <c r="T191" s="143"/>
      <c r="U191" s="143"/>
      <c r="V191" s="32" t="s">
        <v>36</v>
      </c>
      <c r="W191" s="32" t="s">
        <v>37</v>
      </c>
      <c r="X191" s="32">
        <v>1</v>
      </c>
      <c r="Y191" s="143"/>
      <c r="Z191" s="143"/>
      <c r="AA191" s="145"/>
      <c r="AB191" s="145"/>
      <c r="AC191" s="141"/>
      <c r="AD191" s="141"/>
      <c r="AE191" s="141"/>
    </row>
    <row r="192" spans="1:337" ht="15" thickBot="1" x14ac:dyDescent="0.4">
      <c r="A192" s="45" t="s">
        <v>31</v>
      </c>
      <c r="B192" s="45" t="s">
        <v>38</v>
      </c>
      <c r="C192" s="46">
        <v>46161</v>
      </c>
      <c r="D192" s="47"/>
      <c r="E192" s="47"/>
      <c r="F192" s="47"/>
      <c r="G192" s="142"/>
      <c r="H192" s="142"/>
      <c r="I192" s="142"/>
      <c r="J192" s="142"/>
      <c r="K192" s="142"/>
      <c r="L192" s="47">
        <v>2</v>
      </c>
      <c r="M192" s="47"/>
      <c r="N192" s="47"/>
      <c r="O192" s="47"/>
      <c r="P192" s="47"/>
      <c r="Q192" s="47"/>
      <c r="R192" s="47"/>
      <c r="S192" s="47"/>
      <c r="T192" s="144"/>
      <c r="U192" s="144"/>
      <c r="V192" s="45"/>
      <c r="W192" s="45"/>
      <c r="X192" s="47"/>
      <c r="Y192" s="144"/>
      <c r="Z192" s="144"/>
      <c r="AA192" s="146"/>
      <c r="AB192" s="146"/>
      <c r="AC192" s="142"/>
      <c r="AD192" s="142"/>
      <c r="AE192" s="142"/>
    </row>
    <row r="193" spans="1:337" s="53" customFormat="1" ht="15" thickBot="1" x14ac:dyDescent="0.4">
      <c r="A193" s="49"/>
      <c r="B193" s="49"/>
      <c r="C193" s="50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49"/>
      <c r="U193" s="49"/>
      <c r="V193" s="49"/>
      <c r="W193" s="49"/>
      <c r="X193" s="51"/>
      <c r="Y193" s="49"/>
      <c r="Z193" s="49"/>
      <c r="AA193" s="52"/>
      <c r="AB193" s="52"/>
      <c r="AC193" s="51"/>
      <c r="AD193" s="51"/>
      <c r="AE193" s="51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</row>
    <row r="194" spans="1:337" x14ac:dyDescent="0.35">
      <c r="A194" s="41" t="s">
        <v>31</v>
      </c>
      <c r="B194" s="41" t="s">
        <v>32</v>
      </c>
      <c r="C194" s="42">
        <v>46162</v>
      </c>
      <c r="D194" s="43">
        <v>0</v>
      </c>
      <c r="E194" s="43">
        <v>20</v>
      </c>
      <c r="F194" s="43">
        <v>20</v>
      </c>
      <c r="G194" s="43">
        <v>28</v>
      </c>
      <c r="H194" s="43">
        <v>40</v>
      </c>
      <c r="I194" s="43">
        <v>10</v>
      </c>
      <c r="J194" s="43">
        <v>21449</v>
      </c>
      <c r="K194" s="43">
        <f>SUM(L194:L196)</f>
        <v>6</v>
      </c>
      <c r="L194" s="43">
        <v>2</v>
      </c>
      <c r="M194" s="43"/>
      <c r="N194" s="43">
        <v>4</v>
      </c>
      <c r="O194" s="43">
        <v>3</v>
      </c>
      <c r="P194" s="43">
        <v>7</v>
      </c>
      <c r="Q194" s="43">
        <v>6</v>
      </c>
      <c r="R194" s="43">
        <v>9</v>
      </c>
      <c r="S194" s="43">
        <v>9</v>
      </c>
      <c r="T194" s="43">
        <v>20</v>
      </c>
      <c r="U194" s="43">
        <v>3</v>
      </c>
      <c r="V194" s="41" t="s">
        <v>33</v>
      </c>
      <c r="W194" s="41" t="s">
        <v>34</v>
      </c>
      <c r="X194" s="41">
        <v>1</v>
      </c>
      <c r="Y194" s="41">
        <v>3</v>
      </c>
      <c r="Z194" s="41">
        <v>322</v>
      </c>
      <c r="AA194" s="44">
        <v>34</v>
      </c>
      <c r="AB194" s="44">
        <v>34</v>
      </c>
      <c r="AC194" s="43">
        <v>45</v>
      </c>
      <c r="AD194" s="43">
        <v>30</v>
      </c>
      <c r="AE194" s="43">
        <v>45</v>
      </c>
    </row>
    <row r="195" spans="1:337" x14ac:dyDescent="0.35">
      <c r="A195" s="32" t="s">
        <v>31</v>
      </c>
      <c r="B195" s="32" t="s">
        <v>35</v>
      </c>
      <c r="C195" s="33">
        <v>46162</v>
      </c>
      <c r="D195" s="34">
        <v>13</v>
      </c>
      <c r="E195" s="34">
        <v>24</v>
      </c>
      <c r="F195" s="34">
        <v>25</v>
      </c>
      <c r="G195" s="141"/>
      <c r="H195" s="141"/>
      <c r="I195" s="141"/>
      <c r="J195" s="141"/>
      <c r="K195" s="141"/>
      <c r="L195" s="34">
        <v>2</v>
      </c>
      <c r="M195" s="34">
        <v>5</v>
      </c>
      <c r="N195" s="34">
        <v>4</v>
      </c>
      <c r="O195" s="34">
        <v>4</v>
      </c>
      <c r="P195" s="32">
        <v>7</v>
      </c>
      <c r="Q195" s="32">
        <v>7</v>
      </c>
      <c r="R195" s="32">
        <v>8</v>
      </c>
      <c r="S195" s="32">
        <v>6</v>
      </c>
      <c r="T195" s="143"/>
      <c r="U195" s="143"/>
      <c r="V195" s="32" t="s">
        <v>36</v>
      </c>
      <c r="W195" s="32" t="s">
        <v>37</v>
      </c>
      <c r="X195" s="32">
        <v>1</v>
      </c>
      <c r="Y195" s="143"/>
      <c r="Z195" s="143"/>
      <c r="AA195" s="145"/>
      <c r="AB195" s="145"/>
      <c r="AC195" s="141"/>
      <c r="AD195" s="141"/>
      <c r="AE195" s="141"/>
    </row>
    <row r="196" spans="1:337" ht="15" thickBot="1" x14ac:dyDescent="0.4">
      <c r="A196" s="45" t="s">
        <v>31</v>
      </c>
      <c r="B196" s="45" t="s">
        <v>38</v>
      </c>
      <c r="C196" s="46">
        <v>46162</v>
      </c>
      <c r="D196" s="47"/>
      <c r="E196" s="47"/>
      <c r="F196" s="47"/>
      <c r="G196" s="142"/>
      <c r="H196" s="142"/>
      <c r="I196" s="142"/>
      <c r="J196" s="142"/>
      <c r="K196" s="142"/>
      <c r="L196" s="47">
        <v>2</v>
      </c>
      <c r="M196" s="47"/>
      <c r="N196" s="47"/>
      <c r="O196" s="47"/>
      <c r="P196" s="47"/>
      <c r="Q196" s="47"/>
      <c r="R196" s="47"/>
      <c r="S196" s="47"/>
      <c r="T196" s="144"/>
      <c r="U196" s="144"/>
      <c r="V196" s="45"/>
      <c r="W196" s="45"/>
      <c r="X196" s="47"/>
      <c r="Y196" s="144"/>
      <c r="Z196" s="144"/>
      <c r="AA196" s="146"/>
      <c r="AB196" s="146"/>
      <c r="AC196" s="142"/>
      <c r="AD196" s="142"/>
      <c r="AE196" s="142"/>
    </row>
    <row r="197" spans="1:337" s="53" customFormat="1" ht="15" thickBot="1" x14ac:dyDescent="0.4">
      <c r="A197" s="49"/>
      <c r="B197" s="49"/>
      <c r="C197" s="50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49"/>
      <c r="U197" s="49"/>
      <c r="V197" s="49"/>
      <c r="W197" s="49"/>
      <c r="X197" s="51"/>
      <c r="Y197" s="49"/>
      <c r="Z197" s="49"/>
      <c r="AA197" s="52"/>
      <c r="AB197" s="52"/>
      <c r="AC197" s="51"/>
      <c r="AD197" s="51"/>
      <c r="AE197" s="51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</row>
    <row r="198" spans="1:337" x14ac:dyDescent="0.35">
      <c r="A198" s="41" t="s">
        <v>31</v>
      </c>
      <c r="B198" s="41" t="s">
        <v>32</v>
      </c>
      <c r="C198" s="42">
        <v>46163</v>
      </c>
      <c r="D198" s="43">
        <v>0</v>
      </c>
      <c r="E198" s="43">
        <v>20</v>
      </c>
      <c r="F198" s="43">
        <v>20</v>
      </c>
      <c r="G198" s="43">
        <v>28</v>
      </c>
      <c r="H198" s="43">
        <v>40</v>
      </c>
      <c r="I198" s="43">
        <v>10</v>
      </c>
      <c r="J198" s="43">
        <v>21449</v>
      </c>
      <c r="K198" s="43">
        <f>SUM(L198:L200)</f>
        <v>6</v>
      </c>
      <c r="L198" s="43">
        <v>2</v>
      </c>
      <c r="M198" s="43"/>
      <c r="N198" s="43">
        <v>4</v>
      </c>
      <c r="O198" s="43">
        <v>3</v>
      </c>
      <c r="P198" s="43">
        <v>7</v>
      </c>
      <c r="Q198" s="43">
        <v>6</v>
      </c>
      <c r="R198" s="43">
        <v>9</v>
      </c>
      <c r="S198" s="43">
        <v>9</v>
      </c>
      <c r="T198" s="43">
        <v>25</v>
      </c>
      <c r="U198" s="43">
        <v>4</v>
      </c>
      <c r="V198" s="41" t="s">
        <v>33</v>
      </c>
      <c r="W198" s="41" t="s">
        <v>34</v>
      </c>
      <c r="X198" s="41">
        <v>1</v>
      </c>
      <c r="Y198" s="41">
        <v>3</v>
      </c>
      <c r="Z198" s="41">
        <v>322</v>
      </c>
      <c r="AA198" s="44">
        <v>34</v>
      </c>
      <c r="AB198" s="44">
        <v>34</v>
      </c>
      <c r="AC198" s="43">
        <v>45</v>
      </c>
      <c r="AD198" s="43">
        <v>30</v>
      </c>
      <c r="AE198" s="43">
        <v>45</v>
      </c>
    </row>
    <row r="199" spans="1:337" x14ac:dyDescent="0.35">
      <c r="A199" s="32" t="s">
        <v>31</v>
      </c>
      <c r="B199" s="32" t="s">
        <v>35</v>
      </c>
      <c r="C199" s="33">
        <v>46163</v>
      </c>
      <c r="D199" s="34">
        <v>13</v>
      </c>
      <c r="E199" s="34">
        <v>24</v>
      </c>
      <c r="F199" s="34">
        <v>25</v>
      </c>
      <c r="G199" s="141"/>
      <c r="H199" s="141"/>
      <c r="I199" s="141"/>
      <c r="J199" s="141"/>
      <c r="K199" s="141"/>
      <c r="L199" s="34">
        <v>2</v>
      </c>
      <c r="M199" s="34">
        <v>5</v>
      </c>
      <c r="N199" s="34">
        <v>4</v>
      </c>
      <c r="O199" s="34">
        <v>4</v>
      </c>
      <c r="P199" s="32">
        <v>7</v>
      </c>
      <c r="Q199" s="32">
        <v>7</v>
      </c>
      <c r="R199" s="32">
        <v>8</v>
      </c>
      <c r="S199" s="32">
        <v>6</v>
      </c>
      <c r="T199" s="143"/>
      <c r="U199" s="143"/>
      <c r="V199" s="32" t="s">
        <v>36</v>
      </c>
      <c r="W199" s="32" t="s">
        <v>37</v>
      </c>
      <c r="X199" s="32">
        <v>1</v>
      </c>
      <c r="Y199" s="143"/>
      <c r="Z199" s="143"/>
      <c r="AA199" s="145"/>
      <c r="AB199" s="145"/>
      <c r="AC199" s="141"/>
      <c r="AD199" s="141"/>
      <c r="AE199" s="141"/>
    </row>
    <row r="200" spans="1:337" ht="15" thickBot="1" x14ac:dyDescent="0.4">
      <c r="A200" s="45" t="s">
        <v>31</v>
      </c>
      <c r="B200" s="45" t="s">
        <v>38</v>
      </c>
      <c r="C200" s="46">
        <v>46163</v>
      </c>
      <c r="D200" s="47"/>
      <c r="E200" s="47"/>
      <c r="F200" s="47"/>
      <c r="G200" s="142"/>
      <c r="H200" s="142"/>
      <c r="I200" s="142"/>
      <c r="J200" s="142"/>
      <c r="K200" s="142"/>
      <c r="L200" s="47">
        <v>2</v>
      </c>
      <c r="M200" s="47"/>
      <c r="N200" s="47"/>
      <c r="O200" s="47"/>
      <c r="P200" s="47"/>
      <c r="Q200" s="47"/>
      <c r="R200" s="47"/>
      <c r="S200" s="47"/>
      <c r="T200" s="144"/>
      <c r="U200" s="144"/>
      <c r="V200" s="45"/>
      <c r="W200" s="45"/>
      <c r="X200" s="47"/>
      <c r="Y200" s="144"/>
      <c r="Z200" s="144"/>
      <c r="AA200" s="146"/>
      <c r="AB200" s="146"/>
      <c r="AC200" s="142"/>
      <c r="AD200" s="142"/>
      <c r="AE200" s="142"/>
    </row>
    <row r="201" spans="1:337" s="53" customFormat="1" ht="15" thickBot="1" x14ac:dyDescent="0.4">
      <c r="A201" s="49"/>
      <c r="B201" s="49"/>
      <c r="C201" s="50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49"/>
      <c r="U201" s="49"/>
      <c r="V201" s="49"/>
      <c r="W201" s="49"/>
      <c r="X201" s="51"/>
      <c r="Y201" s="49"/>
      <c r="Z201" s="49"/>
      <c r="AA201" s="52"/>
      <c r="AB201" s="52"/>
      <c r="AC201" s="51"/>
      <c r="AD201" s="51"/>
      <c r="AE201" s="5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/>
      <c r="LL201"/>
      <c r="LM201"/>
      <c r="LN201"/>
      <c r="LO201"/>
      <c r="LP201"/>
      <c r="LQ201"/>
      <c r="LR201"/>
      <c r="LS201"/>
      <c r="LT201"/>
      <c r="LU201"/>
      <c r="LV201"/>
      <c r="LW201"/>
      <c r="LX201"/>
      <c r="LY201"/>
    </row>
    <row r="202" spans="1:337" x14ac:dyDescent="0.35">
      <c r="A202" s="41" t="s">
        <v>31</v>
      </c>
      <c r="B202" s="41" t="s">
        <v>32</v>
      </c>
      <c r="C202" s="42">
        <v>46164</v>
      </c>
      <c r="D202" s="43">
        <v>0</v>
      </c>
      <c r="E202" s="43">
        <v>20</v>
      </c>
      <c r="F202" s="43">
        <v>20</v>
      </c>
      <c r="G202" s="43">
        <v>28</v>
      </c>
      <c r="H202" s="43">
        <v>40</v>
      </c>
      <c r="I202" s="43">
        <v>10</v>
      </c>
      <c r="J202" s="43">
        <v>21449</v>
      </c>
      <c r="K202" s="43">
        <f>SUM(L202:L204)</f>
        <v>6</v>
      </c>
      <c r="L202" s="43">
        <v>2</v>
      </c>
      <c r="M202" s="43"/>
      <c r="N202" s="43">
        <v>4</v>
      </c>
      <c r="O202" s="43">
        <v>3</v>
      </c>
      <c r="P202" s="43">
        <v>7</v>
      </c>
      <c r="Q202" s="43">
        <v>6</v>
      </c>
      <c r="R202" s="43">
        <v>9</v>
      </c>
      <c r="S202" s="43">
        <v>9</v>
      </c>
      <c r="T202" s="43">
        <v>25</v>
      </c>
      <c r="U202" s="43">
        <v>4</v>
      </c>
      <c r="V202" s="41" t="s">
        <v>33</v>
      </c>
      <c r="W202" s="41" t="s">
        <v>34</v>
      </c>
      <c r="X202" s="41">
        <v>1</v>
      </c>
      <c r="Y202" s="41">
        <v>3</v>
      </c>
      <c r="Z202" s="41">
        <v>322</v>
      </c>
      <c r="AA202" s="44">
        <v>34</v>
      </c>
      <c r="AB202" s="44">
        <v>34</v>
      </c>
      <c r="AC202" s="43">
        <v>45</v>
      </c>
      <c r="AD202" s="43">
        <v>30</v>
      </c>
      <c r="AE202" s="43">
        <v>45</v>
      </c>
    </row>
    <row r="203" spans="1:337" x14ac:dyDescent="0.35">
      <c r="A203" s="32" t="s">
        <v>31</v>
      </c>
      <c r="B203" s="32" t="s">
        <v>35</v>
      </c>
      <c r="C203" s="33">
        <v>46164</v>
      </c>
      <c r="D203" s="34">
        <v>13</v>
      </c>
      <c r="E203" s="34">
        <v>24</v>
      </c>
      <c r="F203" s="34">
        <v>25</v>
      </c>
      <c r="G203" s="141"/>
      <c r="H203" s="141"/>
      <c r="I203" s="141"/>
      <c r="J203" s="141"/>
      <c r="K203" s="141"/>
      <c r="L203" s="34">
        <v>2</v>
      </c>
      <c r="M203" s="34">
        <v>5</v>
      </c>
      <c r="N203" s="34">
        <v>4</v>
      </c>
      <c r="O203" s="34">
        <v>4</v>
      </c>
      <c r="P203" s="32">
        <v>7</v>
      </c>
      <c r="Q203" s="32">
        <v>7</v>
      </c>
      <c r="R203" s="32">
        <v>8</v>
      </c>
      <c r="S203" s="32">
        <v>6</v>
      </c>
      <c r="T203" s="143"/>
      <c r="U203" s="143"/>
      <c r="V203" s="32" t="s">
        <v>36</v>
      </c>
      <c r="W203" s="32" t="s">
        <v>37</v>
      </c>
      <c r="X203" s="32">
        <v>1</v>
      </c>
      <c r="Y203" s="143"/>
      <c r="Z203" s="143"/>
      <c r="AA203" s="145"/>
      <c r="AB203" s="145"/>
      <c r="AC203" s="141"/>
      <c r="AD203" s="141"/>
      <c r="AE203" s="141"/>
    </row>
    <row r="204" spans="1:337" ht="15" thickBot="1" x14ac:dyDescent="0.4">
      <c r="A204" s="45" t="s">
        <v>31</v>
      </c>
      <c r="B204" s="45" t="s">
        <v>38</v>
      </c>
      <c r="C204" s="46">
        <v>46164</v>
      </c>
      <c r="D204" s="47"/>
      <c r="E204" s="47"/>
      <c r="F204" s="47"/>
      <c r="G204" s="142"/>
      <c r="H204" s="142"/>
      <c r="I204" s="142"/>
      <c r="J204" s="142"/>
      <c r="K204" s="142"/>
      <c r="L204" s="47">
        <v>2</v>
      </c>
      <c r="M204" s="47"/>
      <c r="N204" s="47"/>
      <c r="O204" s="47"/>
      <c r="P204" s="47"/>
      <c r="Q204" s="47"/>
      <c r="R204" s="47"/>
      <c r="S204" s="47"/>
      <c r="T204" s="144"/>
      <c r="U204" s="144"/>
      <c r="V204" s="45"/>
      <c r="W204" s="45"/>
      <c r="X204" s="47"/>
      <c r="Y204" s="144"/>
      <c r="Z204" s="144"/>
      <c r="AA204" s="146"/>
      <c r="AB204" s="146"/>
      <c r="AC204" s="142"/>
      <c r="AD204" s="142"/>
      <c r="AE204" s="142"/>
    </row>
    <row r="205" spans="1:337" s="53" customFormat="1" ht="15" thickBot="1" x14ac:dyDescent="0.4">
      <c r="A205" s="49"/>
      <c r="B205" s="49"/>
      <c r="C205" s="50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49"/>
      <c r="U205" s="49"/>
      <c r="V205" s="49"/>
      <c r="W205" s="49"/>
      <c r="X205" s="51"/>
      <c r="Y205" s="49"/>
      <c r="Z205" s="49"/>
      <c r="AA205" s="52"/>
      <c r="AB205" s="52"/>
      <c r="AC205" s="51"/>
      <c r="AD205" s="51"/>
      <c r="AE205" s="51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  <c r="LK205"/>
      <c r="LL205"/>
      <c r="LM205"/>
      <c r="LN205"/>
      <c r="LO205"/>
      <c r="LP205"/>
      <c r="LQ205"/>
      <c r="LR205"/>
      <c r="LS205"/>
      <c r="LT205"/>
      <c r="LU205"/>
      <c r="LV205"/>
      <c r="LW205"/>
      <c r="LX205"/>
      <c r="LY205"/>
    </row>
    <row r="206" spans="1:337" x14ac:dyDescent="0.35">
      <c r="A206" s="41" t="s">
        <v>31</v>
      </c>
      <c r="B206" s="41" t="s">
        <v>32</v>
      </c>
      <c r="C206" s="42">
        <v>46167</v>
      </c>
      <c r="D206" s="43">
        <v>0</v>
      </c>
      <c r="E206" s="43">
        <v>20</v>
      </c>
      <c r="F206" s="43">
        <v>20</v>
      </c>
      <c r="G206" s="43">
        <v>28</v>
      </c>
      <c r="H206" s="43">
        <v>40</v>
      </c>
      <c r="I206" s="43">
        <v>10</v>
      </c>
      <c r="J206" s="43">
        <v>21449</v>
      </c>
      <c r="K206" s="43">
        <f>SUM(L206:L208)</f>
        <v>6</v>
      </c>
      <c r="L206" s="43">
        <v>2</v>
      </c>
      <c r="M206" s="43"/>
      <c r="N206" s="43">
        <v>4</v>
      </c>
      <c r="O206" s="43">
        <v>3</v>
      </c>
      <c r="P206" s="43">
        <v>7</v>
      </c>
      <c r="Q206" s="43">
        <v>6</v>
      </c>
      <c r="R206" s="43">
        <v>9</v>
      </c>
      <c r="S206" s="43">
        <v>9</v>
      </c>
      <c r="T206" s="43">
        <v>25</v>
      </c>
      <c r="U206" s="43">
        <v>4</v>
      </c>
      <c r="V206" s="41" t="s">
        <v>33</v>
      </c>
      <c r="W206" s="41" t="s">
        <v>34</v>
      </c>
      <c r="X206" s="41">
        <v>1</v>
      </c>
      <c r="Y206" s="41">
        <v>3</v>
      </c>
      <c r="Z206" s="41">
        <v>322</v>
      </c>
      <c r="AA206" s="44">
        <v>34</v>
      </c>
      <c r="AB206" s="44">
        <v>34</v>
      </c>
      <c r="AC206" s="43">
        <v>45</v>
      </c>
      <c r="AD206" s="43">
        <v>30</v>
      </c>
      <c r="AE206" s="43">
        <v>45</v>
      </c>
    </row>
    <row r="207" spans="1:337" x14ac:dyDescent="0.35">
      <c r="A207" s="32" t="s">
        <v>31</v>
      </c>
      <c r="B207" s="32" t="s">
        <v>35</v>
      </c>
      <c r="C207" s="33">
        <v>46167</v>
      </c>
      <c r="D207" s="34">
        <v>13</v>
      </c>
      <c r="E207" s="34">
        <v>24</v>
      </c>
      <c r="F207" s="34">
        <v>25</v>
      </c>
      <c r="G207" s="141"/>
      <c r="H207" s="141"/>
      <c r="I207" s="141"/>
      <c r="J207" s="141"/>
      <c r="K207" s="141"/>
      <c r="L207" s="34">
        <v>2</v>
      </c>
      <c r="M207" s="34">
        <v>5</v>
      </c>
      <c r="N207" s="34">
        <v>4</v>
      </c>
      <c r="O207" s="34">
        <v>4</v>
      </c>
      <c r="P207" s="32">
        <v>7</v>
      </c>
      <c r="Q207" s="32">
        <v>7</v>
      </c>
      <c r="R207" s="32">
        <v>8</v>
      </c>
      <c r="S207" s="32">
        <v>6</v>
      </c>
      <c r="T207" s="143"/>
      <c r="U207" s="143"/>
      <c r="V207" s="32" t="s">
        <v>36</v>
      </c>
      <c r="W207" s="32" t="s">
        <v>37</v>
      </c>
      <c r="X207" s="32">
        <v>1</v>
      </c>
      <c r="Y207" s="143"/>
      <c r="Z207" s="143"/>
      <c r="AA207" s="145"/>
      <c r="AB207" s="145"/>
      <c r="AC207" s="141"/>
      <c r="AD207" s="141"/>
      <c r="AE207" s="141"/>
    </row>
    <row r="208" spans="1:337" ht="15" thickBot="1" x14ac:dyDescent="0.4">
      <c r="A208" s="45" t="s">
        <v>31</v>
      </c>
      <c r="B208" s="45" t="s">
        <v>38</v>
      </c>
      <c r="C208" s="46">
        <v>46167</v>
      </c>
      <c r="D208" s="47"/>
      <c r="E208" s="47"/>
      <c r="F208" s="47"/>
      <c r="G208" s="142"/>
      <c r="H208" s="142"/>
      <c r="I208" s="142"/>
      <c r="J208" s="142"/>
      <c r="K208" s="142"/>
      <c r="L208" s="47">
        <v>2</v>
      </c>
      <c r="M208" s="47"/>
      <c r="N208" s="47"/>
      <c r="O208" s="47"/>
      <c r="P208" s="47"/>
      <c r="Q208" s="47"/>
      <c r="R208" s="47"/>
      <c r="S208" s="47"/>
      <c r="T208" s="144"/>
      <c r="U208" s="144"/>
      <c r="V208" s="45"/>
      <c r="W208" s="45"/>
      <c r="X208" s="47"/>
      <c r="Y208" s="144"/>
      <c r="Z208" s="144"/>
      <c r="AA208" s="146"/>
      <c r="AB208" s="146"/>
      <c r="AC208" s="142"/>
      <c r="AD208" s="142"/>
      <c r="AE208" s="142"/>
    </row>
    <row r="209" spans="1:337" s="53" customFormat="1" ht="15" thickBot="1" x14ac:dyDescent="0.4">
      <c r="A209" s="49"/>
      <c r="B209" s="49"/>
      <c r="C209" s="50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49"/>
      <c r="U209" s="49"/>
      <c r="V209" s="49"/>
      <c r="W209" s="49"/>
      <c r="X209" s="51"/>
      <c r="Y209" s="49"/>
      <c r="Z209" s="49"/>
      <c r="AA209" s="52"/>
      <c r="AB209" s="52"/>
      <c r="AC209" s="51"/>
      <c r="AD209" s="51"/>
      <c r="AE209" s="51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</row>
    <row r="210" spans="1:337" x14ac:dyDescent="0.35">
      <c r="A210" s="41" t="s">
        <v>31</v>
      </c>
      <c r="B210" s="41" t="s">
        <v>32</v>
      </c>
      <c r="C210" s="42">
        <v>46168</v>
      </c>
      <c r="D210" s="43">
        <v>0</v>
      </c>
      <c r="E210" s="43">
        <v>20</v>
      </c>
      <c r="F210" s="43">
        <v>20</v>
      </c>
      <c r="G210" s="43">
        <v>28</v>
      </c>
      <c r="H210" s="43">
        <v>40</v>
      </c>
      <c r="I210" s="43">
        <v>10</v>
      </c>
      <c r="J210" s="43">
        <v>21449</v>
      </c>
      <c r="K210" s="43">
        <f>SUM(L210:L212)</f>
        <v>6</v>
      </c>
      <c r="L210" s="43">
        <v>2</v>
      </c>
      <c r="M210" s="43"/>
      <c r="N210" s="43">
        <v>4</v>
      </c>
      <c r="O210" s="43">
        <v>3</v>
      </c>
      <c r="P210" s="43">
        <v>7</v>
      </c>
      <c r="Q210" s="43">
        <v>6</v>
      </c>
      <c r="R210" s="43">
        <v>9</v>
      </c>
      <c r="S210" s="43">
        <v>9</v>
      </c>
      <c r="T210" s="43">
        <v>25</v>
      </c>
      <c r="U210" s="43">
        <v>4</v>
      </c>
      <c r="V210" s="41" t="s">
        <v>33</v>
      </c>
      <c r="W210" s="41" t="s">
        <v>34</v>
      </c>
      <c r="X210" s="41">
        <v>1</v>
      </c>
      <c r="Y210" s="41">
        <v>3</v>
      </c>
      <c r="Z210" s="41">
        <v>322</v>
      </c>
      <c r="AA210" s="44">
        <v>34</v>
      </c>
      <c r="AB210" s="44">
        <v>34</v>
      </c>
      <c r="AC210" s="43">
        <v>45</v>
      </c>
      <c r="AD210" s="43">
        <v>30</v>
      </c>
      <c r="AE210" s="43">
        <v>45</v>
      </c>
    </row>
    <row r="211" spans="1:337" x14ac:dyDescent="0.35">
      <c r="A211" s="32" t="s">
        <v>31</v>
      </c>
      <c r="B211" s="32" t="s">
        <v>35</v>
      </c>
      <c r="C211" s="33">
        <v>46168</v>
      </c>
      <c r="D211" s="34">
        <v>13</v>
      </c>
      <c r="E211" s="34">
        <v>24</v>
      </c>
      <c r="F211" s="34">
        <v>25</v>
      </c>
      <c r="G211" s="141"/>
      <c r="H211" s="141"/>
      <c r="I211" s="141"/>
      <c r="J211" s="141"/>
      <c r="K211" s="141"/>
      <c r="L211" s="34">
        <v>2</v>
      </c>
      <c r="M211" s="34">
        <v>5</v>
      </c>
      <c r="N211" s="34">
        <v>4</v>
      </c>
      <c r="O211" s="34">
        <v>4</v>
      </c>
      <c r="P211" s="32">
        <v>7</v>
      </c>
      <c r="Q211" s="32">
        <v>7</v>
      </c>
      <c r="R211" s="32">
        <v>8</v>
      </c>
      <c r="S211" s="32">
        <v>6</v>
      </c>
      <c r="T211" s="143"/>
      <c r="U211" s="143"/>
      <c r="V211" s="32" t="s">
        <v>36</v>
      </c>
      <c r="W211" s="32" t="s">
        <v>37</v>
      </c>
      <c r="X211" s="32">
        <v>1</v>
      </c>
      <c r="Y211" s="143"/>
      <c r="Z211" s="143"/>
      <c r="AA211" s="145"/>
      <c r="AB211" s="145"/>
      <c r="AC211" s="141"/>
      <c r="AD211" s="141"/>
      <c r="AE211" s="141"/>
    </row>
    <row r="212" spans="1:337" ht="15" thickBot="1" x14ac:dyDescent="0.4">
      <c r="A212" s="45" t="s">
        <v>31</v>
      </c>
      <c r="B212" s="45" t="s">
        <v>38</v>
      </c>
      <c r="C212" s="46">
        <v>46168</v>
      </c>
      <c r="D212" s="47"/>
      <c r="E212" s="47"/>
      <c r="F212" s="47"/>
      <c r="G212" s="142"/>
      <c r="H212" s="142"/>
      <c r="I212" s="142"/>
      <c r="J212" s="142"/>
      <c r="K212" s="142"/>
      <c r="L212" s="47">
        <v>2</v>
      </c>
      <c r="M212" s="47"/>
      <c r="N212" s="47"/>
      <c r="O212" s="47"/>
      <c r="P212" s="47"/>
      <c r="Q212" s="47"/>
      <c r="R212" s="47"/>
      <c r="S212" s="47"/>
      <c r="T212" s="144"/>
      <c r="U212" s="144"/>
      <c r="V212" s="45"/>
      <c r="W212" s="45"/>
      <c r="X212" s="47"/>
      <c r="Y212" s="144"/>
      <c r="Z212" s="144"/>
      <c r="AA212" s="146"/>
      <c r="AB212" s="146"/>
      <c r="AC212" s="142"/>
      <c r="AD212" s="142"/>
      <c r="AE212" s="142"/>
    </row>
    <row r="213" spans="1:337" s="53" customFormat="1" ht="15" thickBot="1" x14ac:dyDescent="0.4">
      <c r="A213" s="49"/>
      <c r="B213" s="49"/>
      <c r="C213" s="50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49"/>
      <c r="U213" s="49"/>
      <c r="V213" s="49"/>
      <c r="W213" s="49"/>
      <c r="X213" s="51"/>
      <c r="Y213" s="49"/>
      <c r="Z213" s="49"/>
      <c r="AA213" s="52"/>
      <c r="AB213" s="52"/>
      <c r="AC213" s="51"/>
      <c r="AD213" s="51"/>
      <c r="AE213" s="51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</row>
    <row r="214" spans="1:337" x14ac:dyDescent="0.35">
      <c r="A214" s="41" t="s">
        <v>31</v>
      </c>
      <c r="B214" s="41" t="s">
        <v>32</v>
      </c>
      <c r="C214" s="42">
        <v>46169</v>
      </c>
      <c r="D214" s="43">
        <v>0</v>
      </c>
      <c r="E214" s="43">
        <v>20</v>
      </c>
      <c r="F214" s="43">
        <v>20</v>
      </c>
      <c r="G214" s="43">
        <v>28</v>
      </c>
      <c r="H214" s="43">
        <v>40</v>
      </c>
      <c r="I214" s="43">
        <v>10</v>
      </c>
      <c r="J214" s="43">
        <v>21449</v>
      </c>
      <c r="K214" s="43">
        <f>SUM(L214:L216)</f>
        <v>6</v>
      </c>
      <c r="L214" s="43">
        <v>2</v>
      </c>
      <c r="M214" s="43"/>
      <c r="N214" s="43">
        <v>4</v>
      </c>
      <c r="O214" s="43">
        <v>3</v>
      </c>
      <c r="P214" s="43">
        <v>7</v>
      </c>
      <c r="Q214" s="43">
        <v>6</v>
      </c>
      <c r="R214" s="43">
        <v>9</v>
      </c>
      <c r="S214" s="43">
        <v>9</v>
      </c>
      <c r="T214" s="43">
        <v>25</v>
      </c>
      <c r="U214" s="43">
        <v>4</v>
      </c>
      <c r="V214" s="41" t="s">
        <v>33</v>
      </c>
      <c r="W214" s="41" t="s">
        <v>34</v>
      </c>
      <c r="X214" s="41">
        <v>1</v>
      </c>
      <c r="Y214" s="41">
        <v>3</v>
      </c>
      <c r="Z214" s="41">
        <v>322</v>
      </c>
      <c r="AA214" s="44">
        <v>34</v>
      </c>
      <c r="AB214" s="44">
        <v>34</v>
      </c>
      <c r="AC214" s="43">
        <v>45</v>
      </c>
      <c r="AD214" s="43">
        <v>30</v>
      </c>
      <c r="AE214" s="43">
        <v>45</v>
      </c>
    </row>
    <row r="215" spans="1:337" x14ac:dyDescent="0.35">
      <c r="A215" s="32" t="s">
        <v>31</v>
      </c>
      <c r="B215" s="32" t="s">
        <v>35</v>
      </c>
      <c r="C215" s="33">
        <v>46169</v>
      </c>
      <c r="D215" s="34">
        <v>13</v>
      </c>
      <c r="E215" s="34">
        <v>24</v>
      </c>
      <c r="F215" s="34">
        <v>25</v>
      </c>
      <c r="G215" s="141"/>
      <c r="H215" s="141"/>
      <c r="I215" s="141"/>
      <c r="J215" s="141"/>
      <c r="K215" s="141"/>
      <c r="L215" s="34">
        <v>2</v>
      </c>
      <c r="M215" s="34">
        <v>5</v>
      </c>
      <c r="N215" s="34">
        <v>4</v>
      </c>
      <c r="O215" s="34">
        <v>4</v>
      </c>
      <c r="P215" s="32">
        <v>7</v>
      </c>
      <c r="Q215" s="32">
        <v>7</v>
      </c>
      <c r="R215" s="32">
        <v>8</v>
      </c>
      <c r="S215" s="32">
        <v>6</v>
      </c>
      <c r="T215" s="143"/>
      <c r="U215" s="143"/>
      <c r="V215" s="32" t="s">
        <v>36</v>
      </c>
      <c r="W215" s="32" t="s">
        <v>37</v>
      </c>
      <c r="X215" s="32">
        <v>1</v>
      </c>
      <c r="Y215" s="143"/>
      <c r="Z215" s="143"/>
      <c r="AA215" s="145"/>
      <c r="AB215" s="145"/>
      <c r="AC215" s="141"/>
      <c r="AD215" s="141"/>
      <c r="AE215" s="141"/>
    </row>
    <row r="216" spans="1:337" ht="15" thickBot="1" x14ac:dyDescent="0.4">
      <c r="A216" s="45" t="s">
        <v>31</v>
      </c>
      <c r="B216" s="45" t="s">
        <v>38</v>
      </c>
      <c r="C216" s="46">
        <v>46169</v>
      </c>
      <c r="D216" s="47"/>
      <c r="E216" s="47"/>
      <c r="F216" s="47"/>
      <c r="G216" s="142"/>
      <c r="H216" s="142"/>
      <c r="I216" s="142"/>
      <c r="J216" s="142"/>
      <c r="K216" s="142"/>
      <c r="L216" s="47">
        <v>2</v>
      </c>
      <c r="M216" s="47"/>
      <c r="N216" s="47"/>
      <c r="O216" s="47"/>
      <c r="P216" s="47"/>
      <c r="Q216" s="47"/>
      <c r="R216" s="47"/>
      <c r="S216" s="47"/>
      <c r="T216" s="144"/>
      <c r="U216" s="144"/>
      <c r="V216" s="45"/>
      <c r="W216" s="45"/>
      <c r="X216" s="47"/>
      <c r="Y216" s="144"/>
      <c r="Z216" s="144"/>
      <c r="AA216" s="146"/>
      <c r="AB216" s="146"/>
      <c r="AC216" s="142"/>
      <c r="AD216" s="142"/>
      <c r="AE216" s="142"/>
    </row>
    <row r="217" spans="1:337" s="53" customFormat="1" ht="15" thickBot="1" x14ac:dyDescent="0.4">
      <c r="A217" s="49"/>
      <c r="B217" s="49"/>
      <c r="C217" s="50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49"/>
      <c r="U217" s="49"/>
      <c r="V217" s="49"/>
      <c r="W217" s="49"/>
      <c r="X217" s="51"/>
      <c r="Y217" s="49"/>
      <c r="Z217" s="49"/>
      <c r="AA217" s="52"/>
      <c r="AB217" s="52"/>
      <c r="AC217" s="51"/>
      <c r="AD217" s="51"/>
      <c r="AE217" s="51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</row>
    <row r="218" spans="1:337" x14ac:dyDescent="0.35">
      <c r="A218" s="41" t="s">
        <v>31</v>
      </c>
      <c r="B218" s="41" t="s">
        <v>32</v>
      </c>
      <c r="C218" s="42">
        <v>46170</v>
      </c>
      <c r="D218" s="43">
        <v>0</v>
      </c>
      <c r="E218" s="43">
        <v>20</v>
      </c>
      <c r="F218" s="43">
        <v>20</v>
      </c>
      <c r="G218" s="43">
        <v>28</v>
      </c>
      <c r="H218" s="43">
        <v>40</v>
      </c>
      <c r="I218" s="43">
        <v>10</v>
      </c>
      <c r="J218" s="43">
        <v>21449</v>
      </c>
      <c r="K218" s="43">
        <f>SUM(L218:L220)</f>
        <v>6</v>
      </c>
      <c r="L218" s="43">
        <v>2</v>
      </c>
      <c r="M218" s="43"/>
      <c r="N218" s="43">
        <v>4</v>
      </c>
      <c r="O218" s="43">
        <v>3</v>
      </c>
      <c r="P218" s="43">
        <v>7</v>
      </c>
      <c r="Q218" s="43">
        <v>6</v>
      </c>
      <c r="R218" s="43">
        <v>9</v>
      </c>
      <c r="S218" s="43">
        <v>9</v>
      </c>
      <c r="T218" s="43">
        <v>20</v>
      </c>
      <c r="U218" s="43">
        <v>3</v>
      </c>
      <c r="V218" s="41" t="s">
        <v>33</v>
      </c>
      <c r="W218" s="41" t="s">
        <v>34</v>
      </c>
      <c r="X218" s="41">
        <v>1</v>
      </c>
      <c r="Y218" s="41">
        <v>3</v>
      </c>
      <c r="Z218" s="41">
        <v>322</v>
      </c>
      <c r="AA218" s="44">
        <v>34</v>
      </c>
      <c r="AB218" s="44">
        <v>34</v>
      </c>
      <c r="AC218" s="43">
        <v>45</v>
      </c>
      <c r="AD218" s="43">
        <v>30</v>
      </c>
      <c r="AE218" s="43">
        <v>45</v>
      </c>
    </row>
    <row r="219" spans="1:337" x14ac:dyDescent="0.35">
      <c r="A219" s="32" t="s">
        <v>31</v>
      </c>
      <c r="B219" s="32" t="s">
        <v>35</v>
      </c>
      <c r="C219" s="33">
        <v>46170</v>
      </c>
      <c r="D219" s="34">
        <v>13</v>
      </c>
      <c r="E219" s="34">
        <v>24</v>
      </c>
      <c r="F219" s="34">
        <v>25</v>
      </c>
      <c r="G219" s="141"/>
      <c r="H219" s="141"/>
      <c r="I219" s="141"/>
      <c r="J219" s="141"/>
      <c r="K219" s="141"/>
      <c r="L219" s="34">
        <v>2</v>
      </c>
      <c r="M219" s="34">
        <v>5</v>
      </c>
      <c r="N219" s="34">
        <v>4</v>
      </c>
      <c r="O219" s="34">
        <v>4</v>
      </c>
      <c r="P219" s="32">
        <v>7</v>
      </c>
      <c r="Q219" s="32">
        <v>7</v>
      </c>
      <c r="R219" s="32">
        <v>8</v>
      </c>
      <c r="S219" s="32">
        <v>6</v>
      </c>
      <c r="T219" s="143"/>
      <c r="U219" s="143"/>
      <c r="V219" s="32" t="s">
        <v>36</v>
      </c>
      <c r="W219" s="32" t="s">
        <v>37</v>
      </c>
      <c r="X219" s="32">
        <v>1</v>
      </c>
      <c r="Y219" s="143"/>
      <c r="Z219" s="143"/>
      <c r="AA219" s="145"/>
      <c r="AB219" s="145"/>
      <c r="AC219" s="141"/>
      <c r="AD219" s="141"/>
      <c r="AE219" s="141"/>
    </row>
    <row r="220" spans="1:337" ht="15" thickBot="1" x14ac:dyDescent="0.4">
      <c r="A220" s="45" t="s">
        <v>31</v>
      </c>
      <c r="B220" s="45" t="s">
        <v>38</v>
      </c>
      <c r="C220" s="46">
        <v>46170</v>
      </c>
      <c r="D220" s="47"/>
      <c r="E220" s="47"/>
      <c r="F220" s="47"/>
      <c r="G220" s="142"/>
      <c r="H220" s="142"/>
      <c r="I220" s="142"/>
      <c r="J220" s="142"/>
      <c r="K220" s="142"/>
      <c r="L220" s="47">
        <v>2</v>
      </c>
      <c r="M220" s="47"/>
      <c r="N220" s="47"/>
      <c r="O220" s="47"/>
      <c r="P220" s="47"/>
      <c r="Q220" s="47"/>
      <c r="R220" s="47"/>
      <c r="S220" s="47"/>
      <c r="T220" s="144"/>
      <c r="U220" s="144"/>
      <c r="V220" s="45"/>
      <c r="W220" s="45"/>
      <c r="X220" s="47"/>
      <c r="Y220" s="144"/>
      <c r="Z220" s="144"/>
      <c r="AA220" s="146"/>
      <c r="AB220" s="146"/>
      <c r="AC220" s="142"/>
      <c r="AD220" s="142"/>
      <c r="AE220" s="142"/>
    </row>
    <row r="221" spans="1:337" s="53" customFormat="1" ht="15" thickBot="1" x14ac:dyDescent="0.4">
      <c r="A221" s="49"/>
      <c r="B221" s="49"/>
      <c r="C221" s="50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49"/>
      <c r="U221" s="49"/>
      <c r="V221" s="49"/>
      <c r="W221" s="49"/>
      <c r="X221" s="51"/>
      <c r="Y221" s="49"/>
      <c r="Z221" s="49"/>
      <c r="AA221" s="52"/>
      <c r="AB221" s="52"/>
      <c r="AC221" s="51"/>
      <c r="AD221" s="51"/>
      <c r="AE221" s="5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</row>
    <row r="222" spans="1:337" x14ac:dyDescent="0.35">
      <c r="A222" s="41" t="s">
        <v>31</v>
      </c>
      <c r="B222" s="41" t="s">
        <v>32</v>
      </c>
      <c r="C222" s="42">
        <v>46171</v>
      </c>
      <c r="D222" s="43">
        <v>0</v>
      </c>
      <c r="E222" s="43">
        <v>20</v>
      </c>
      <c r="F222" s="43">
        <v>20</v>
      </c>
      <c r="G222" s="43">
        <v>28</v>
      </c>
      <c r="H222" s="43">
        <v>40</v>
      </c>
      <c r="I222" s="43">
        <v>10</v>
      </c>
      <c r="J222" s="43">
        <v>21449</v>
      </c>
      <c r="K222" s="43">
        <f>SUM(L222:L224)</f>
        <v>6</v>
      </c>
      <c r="L222" s="43">
        <v>2</v>
      </c>
      <c r="M222" s="43"/>
      <c r="N222" s="43">
        <v>4</v>
      </c>
      <c r="O222" s="43">
        <v>3</v>
      </c>
      <c r="P222" s="43">
        <v>7</v>
      </c>
      <c r="Q222" s="43">
        <v>6</v>
      </c>
      <c r="R222" s="43">
        <v>9</v>
      </c>
      <c r="S222" s="43">
        <v>9</v>
      </c>
      <c r="T222" s="43">
        <v>25</v>
      </c>
      <c r="U222" s="43">
        <v>4</v>
      </c>
      <c r="V222" s="41" t="s">
        <v>33</v>
      </c>
      <c r="W222" s="41" t="s">
        <v>34</v>
      </c>
      <c r="X222" s="41">
        <v>1</v>
      </c>
      <c r="Y222" s="41">
        <v>3</v>
      </c>
      <c r="Z222" s="41">
        <v>322</v>
      </c>
      <c r="AA222" s="44">
        <v>34</v>
      </c>
      <c r="AB222" s="44">
        <v>34</v>
      </c>
      <c r="AC222" s="43">
        <v>45</v>
      </c>
      <c r="AD222" s="43">
        <v>30</v>
      </c>
      <c r="AE222" s="43">
        <v>45</v>
      </c>
    </row>
    <row r="223" spans="1:337" x14ac:dyDescent="0.35">
      <c r="A223" s="32" t="s">
        <v>31</v>
      </c>
      <c r="B223" s="32" t="s">
        <v>35</v>
      </c>
      <c r="C223" s="33">
        <v>46171</v>
      </c>
      <c r="D223" s="34">
        <v>13</v>
      </c>
      <c r="E223" s="34">
        <v>24</v>
      </c>
      <c r="F223" s="34">
        <v>25</v>
      </c>
      <c r="G223" s="141"/>
      <c r="H223" s="141"/>
      <c r="I223" s="141"/>
      <c r="J223" s="141"/>
      <c r="K223" s="141"/>
      <c r="L223" s="34">
        <v>2</v>
      </c>
      <c r="M223" s="34">
        <v>5</v>
      </c>
      <c r="N223" s="34">
        <v>4</v>
      </c>
      <c r="O223" s="34">
        <v>4</v>
      </c>
      <c r="P223" s="32">
        <v>7</v>
      </c>
      <c r="Q223" s="32">
        <v>7</v>
      </c>
      <c r="R223" s="32">
        <v>8</v>
      </c>
      <c r="S223" s="32">
        <v>6</v>
      </c>
      <c r="T223" s="143"/>
      <c r="U223" s="143"/>
      <c r="V223" s="32" t="s">
        <v>36</v>
      </c>
      <c r="W223" s="32" t="s">
        <v>37</v>
      </c>
      <c r="X223" s="32">
        <v>1</v>
      </c>
      <c r="Y223" s="143"/>
      <c r="Z223" s="143"/>
      <c r="AA223" s="145"/>
      <c r="AB223" s="145"/>
      <c r="AC223" s="141"/>
      <c r="AD223" s="141"/>
      <c r="AE223" s="141"/>
    </row>
    <row r="224" spans="1:337" ht="15" thickBot="1" x14ac:dyDescent="0.4">
      <c r="A224" s="45" t="s">
        <v>31</v>
      </c>
      <c r="B224" s="45" t="s">
        <v>38</v>
      </c>
      <c r="C224" s="46">
        <v>46171</v>
      </c>
      <c r="D224" s="47"/>
      <c r="E224" s="47"/>
      <c r="F224" s="47"/>
      <c r="G224" s="142"/>
      <c r="H224" s="142"/>
      <c r="I224" s="142"/>
      <c r="J224" s="142"/>
      <c r="K224" s="142"/>
      <c r="L224" s="47">
        <v>2</v>
      </c>
      <c r="M224" s="47"/>
      <c r="N224" s="47"/>
      <c r="O224" s="47"/>
      <c r="P224" s="47"/>
      <c r="Q224" s="47"/>
      <c r="R224" s="47"/>
      <c r="S224" s="47"/>
      <c r="T224" s="144"/>
      <c r="U224" s="144"/>
      <c r="V224" s="45"/>
      <c r="W224" s="45"/>
      <c r="X224" s="47"/>
      <c r="Y224" s="144"/>
      <c r="Z224" s="144"/>
      <c r="AA224" s="146"/>
      <c r="AB224" s="146"/>
      <c r="AC224" s="142"/>
      <c r="AD224" s="142"/>
      <c r="AE224" s="142"/>
    </row>
    <row r="225" spans="1:337" s="53" customFormat="1" ht="15" thickBot="1" x14ac:dyDescent="0.4">
      <c r="A225" s="49"/>
      <c r="B225" s="49"/>
      <c r="C225" s="50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49"/>
      <c r="U225" s="49"/>
      <c r="V225" s="49"/>
      <c r="W225" s="49"/>
      <c r="X225" s="51"/>
      <c r="Y225" s="49"/>
      <c r="Z225" s="49"/>
      <c r="AA225" s="52"/>
      <c r="AB225" s="52"/>
      <c r="AC225" s="51"/>
      <c r="AD225" s="51"/>
      <c r="AE225" s="51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/>
      <c r="LH225"/>
      <c r="LI225"/>
      <c r="LJ225"/>
      <c r="LK225"/>
      <c r="LL225"/>
      <c r="LM225"/>
      <c r="LN225"/>
      <c r="LO225"/>
      <c r="LP225"/>
      <c r="LQ225"/>
      <c r="LR225"/>
      <c r="LS225"/>
      <c r="LT225"/>
      <c r="LU225"/>
      <c r="LV225"/>
      <c r="LW225"/>
      <c r="LX225"/>
      <c r="LY225"/>
    </row>
    <row r="226" spans="1:337" x14ac:dyDescent="0.35">
      <c r="A226" s="41" t="s">
        <v>31</v>
      </c>
      <c r="B226" s="41" t="s">
        <v>32</v>
      </c>
      <c r="C226" s="42">
        <v>46174</v>
      </c>
      <c r="D226" s="43">
        <v>0</v>
      </c>
      <c r="E226" s="43">
        <v>20</v>
      </c>
      <c r="F226" s="43">
        <v>20</v>
      </c>
      <c r="G226" s="43">
        <v>28</v>
      </c>
      <c r="H226" s="43">
        <v>40</v>
      </c>
      <c r="I226" s="43">
        <v>10</v>
      </c>
      <c r="J226" s="43">
        <v>21449</v>
      </c>
      <c r="K226" s="43">
        <f>SUM(L226:L228)</f>
        <v>6</v>
      </c>
      <c r="L226" s="43">
        <v>2</v>
      </c>
      <c r="M226" s="43"/>
      <c r="N226" s="43">
        <v>4</v>
      </c>
      <c r="O226" s="43">
        <v>3</v>
      </c>
      <c r="P226" s="43">
        <v>7</v>
      </c>
      <c r="Q226" s="43">
        <v>6</v>
      </c>
      <c r="R226" s="43">
        <v>9</v>
      </c>
      <c r="S226" s="43">
        <v>9</v>
      </c>
      <c r="T226" s="43">
        <v>25</v>
      </c>
      <c r="U226" s="43">
        <v>4</v>
      </c>
      <c r="V226" s="41" t="s">
        <v>33</v>
      </c>
      <c r="W226" s="41" t="s">
        <v>34</v>
      </c>
      <c r="X226" s="41">
        <v>1</v>
      </c>
      <c r="Y226" s="41">
        <v>3</v>
      </c>
      <c r="Z226" s="41">
        <v>322</v>
      </c>
      <c r="AA226" s="44">
        <v>34</v>
      </c>
      <c r="AB226" s="44">
        <v>34</v>
      </c>
      <c r="AC226" s="43">
        <v>45</v>
      </c>
      <c r="AD226" s="43">
        <v>30</v>
      </c>
      <c r="AE226" s="43">
        <v>45</v>
      </c>
    </row>
    <row r="227" spans="1:337" x14ac:dyDescent="0.35">
      <c r="A227" s="32" t="s">
        <v>31</v>
      </c>
      <c r="B227" s="32" t="s">
        <v>35</v>
      </c>
      <c r="C227" s="33">
        <v>46174</v>
      </c>
      <c r="D227" s="34">
        <v>13</v>
      </c>
      <c r="E227" s="34">
        <v>24</v>
      </c>
      <c r="F227" s="34">
        <v>25</v>
      </c>
      <c r="G227" s="141"/>
      <c r="H227" s="141"/>
      <c r="I227" s="141"/>
      <c r="J227" s="141"/>
      <c r="K227" s="141"/>
      <c r="L227" s="34">
        <v>2</v>
      </c>
      <c r="M227" s="34">
        <v>5</v>
      </c>
      <c r="N227" s="34">
        <v>4</v>
      </c>
      <c r="O227" s="34">
        <v>4</v>
      </c>
      <c r="P227" s="32">
        <v>7</v>
      </c>
      <c r="Q227" s="32">
        <v>7</v>
      </c>
      <c r="R227" s="32">
        <v>8</v>
      </c>
      <c r="S227" s="32">
        <v>6</v>
      </c>
      <c r="T227" s="143"/>
      <c r="U227" s="143"/>
      <c r="V227" s="32" t="s">
        <v>36</v>
      </c>
      <c r="W227" s="32" t="s">
        <v>37</v>
      </c>
      <c r="X227" s="32">
        <v>1</v>
      </c>
      <c r="Y227" s="143"/>
      <c r="Z227" s="143"/>
      <c r="AA227" s="145"/>
      <c r="AB227" s="145"/>
      <c r="AC227" s="141"/>
      <c r="AD227" s="141"/>
      <c r="AE227" s="141"/>
    </row>
    <row r="228" spans="1:337" ht="15" thickBot="1" x14ac:dyDescent="0.4">
      <c r="A228" s="45" t="s">
        <v>31</v>
      </c>
      <c r="B228" s="45" t="s">
        <v>38</v>
      </c>
      <c r="C228" s="46">
        <v>46174</v>
      </c>
      <c r="D228" s="47"/>
      <c r="E228" s="47"/>
      <c r="F228" s="47"/>
      <c r="G228" s="142"/>
      <c r="H228" s="142"/>
      <c r="I228" s="142"/>
      <c r="J228" s="142"/>
      <c r="K228" s="142"/>
      <c r="L228" s="47">
        <v>2</v>
      </c>
      <c r="M228" s="47"/>
      <c r="N228" s="47"/>
      <c r="O228" s="47"/>
      <c r="P228" s="47"/>
      <c r="Q228" s="47"/>
      <c r="R228" s="47"/>
      <c r="S228" s="47"/>
      <c r="T228" s="144"/>
      <c r="U228" s="144"/>
      <c r="V228" s="45"/>
      <c r="W228" s="45"/>
      <c r="X228" s="47"/>
      <c r="Y228" s="144"/>
      <c r="Z228" s="144"/>
      <c r="AA228" s="146"/>
      <c r="AB228" s="146"/>
      <c r="AC228" s="142"/>
      <c r="AD228" s="142"/>
      <c r="AE228" s="142"/>
    </row>
    <row r="229" spans="1:337" s="53" customFormat="1" ht="15" thickBot="1" x14ac:dyDescent="0.4">
      <c r="A229" s="49"/>
      <c r="B229" s="49"/>
      <c r="C229" s="50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49"/>
      <c r="U229" s="49"/>
      <c r="V229" s="49"/>
      <c r="W229" s="49"/>
      <c r="X229" s="51"/>
      <c r="Y229" s="49"/>
      <c r="Z229" s="49"/>
      <c r="AA229" s="52"/>
      <c r="AB229" s="52"/>
      <c r="AC229" s="51"/>
      <c r="AD229" s="51"/>
      <c r="AE229" s="51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/>
      <c r="KO229"/>
      <c r="KP229"/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/>
      <c r="LG229"/>
      <c r="LH229"/>
      <c r="LI229"/>
      <c r="LJ229"/>
      <c r="LK229"/>
      <c r="LL229"/>
      <c r="LM229"/>
      <c r="LN229"/>
      <c r="LO229"/>
      <c r="LP229"/>
      <c r="LQ229"/>
      <c r="LR229"/>
      <c r="LS229"/>
      <c r="LT229"/>
      <c r="LU229"/>
      <c r="LV229"/>
      <c r="LW229"/>
      <c r="LX229"/>
      <c r="LY229"/>
    </row>
    <row r="230" spans="1:337" x14ac:dyDescent="0.35">
      <c r="A230" s="41" t="s">
        <v>31</v>
      </c>
      <c r="B230" s="41" t="s">
        <v>32</v>
      </c>
      <c r="C230" s="42">
        <v>46175</v>
      </c>
      <c r="D230" s="43">
        <v>0</v>
      </c>
      <c r="E230" s="43">
        <v>20</v>
      </c>
      <c r="F230" s="43">
        <v>20</v>
      </c>
      <c r="G230" s="43">
        <v>28</v>
      </c>
      <c r="H230" s="43">
        <v>40</v>
      </c>
      <c r="I230" s="43">
        <v>10</v>
      </c>
      <c r="J230" s="43">
        <v>21449</v>
      </c>
      <c r="K230" s="43">
        <f>SUM(L230:L232)</f>
        <v>6</v>
      </c>
      <c r="L230" s="43">
        <v>2</v>
      </c>
      <c r="M230" s="43"/>
      <c r="N230" s="43">
        <v>4</v>
      </c>
      <c r="O230" s="43">
        <v>3</v>
      </c>
      <c r="P230" s="43">
        <v>7</v>
      </c>
      <c r="Q230" s="43">
        <v>6</v>
      </c>
      <c r="R230" s="43">
        <v>9</v>
      </c>
      <c r="S230" s="43">
        <v>9</v>
      </c>
      <c r="T230" s="43">
        <v>25</v>
      </c>
      <c r="U230" s="43">
        <v>4</v>
      </c>
      <c r="V230" s="41" t="s">
        <v>33</v>
      </c>
      <c r="W230" s="41" t="s">
        <v>34</v>
      </c>
      <c r="X230" s="41">
        <v>1</v>
      </c>
      <c r="Y230" s="41">
        <v>3</v>
      </c>
      <c r="Z230" s="41">
        <v>322</v>
      </c>
      <c r="AA230" s="44">
        <v>34</v>
      </c>
      <c r="AB230" s="44">
        <v>34</v>
      </c>
      <c r="AC230" s="43">
        <v>45</v>
      </c>
      <c r="AD230" s="43">
        <v>30</v>
      </c>
      <c r="AE230" s="43">
        <v>45</v>
      </c>
    </row>
    <row r="231" spans="1:337" x14ac:dyDescent="0.35">
      <c r="A231" s="32" t="s">
        <v>31</v>
      </c>
      <c r="B231" s="32" t="s">
        <v>35</v>
      </c>
      <c r="C231" s="33">
        <v>46175</v>
      </c>
      <c r="D231" s="34">
        <v>13</v>
      </c>
      <c r="E231" s="34">
        <v>24</v>
      </c>
      <c r="F231" s="34">
        <v>25</v>
      </c>
      <c r="G231" s="141"/>
      <c r="H231" s="141"/>
      <c r="I231" s="141"/>
      <c r="J231" s="141"/>
      <c r="K231" s="141"/>
      <c r="L231" s="34">
        <v>2</v>
      </c>
      <c r="M231" s="34">
        <v>5</v>
      </c>
      <c r="N231" s="34">
        <v>4</v>
      </c>
      <c r="O231" s="34">
        <v>4</v>
      </c>
      <c r="P231" s="32">
        <v>7</v>
      </c>
      <c r="Q231" s="32">
        <v>7</v>
      </c>
      <c r="R231" s="32">
        <v>8</v>
      </c>
      <c r="S231" s="32">
        <v>6</v>
      </c>
      <c r="T231" s="143"/>
      <c r="U231" s="143"/>
      <c r="V231" s="32" t="s">
        <v>36</v>
      </c>
      <c r="W231" s="32" t="s">
        <v>37</v>
      </c>
      <c r="X231" s="32">
        <v>1</v>
      </c>
      <c r="Y231" s="143"/>
      <c r="Z231" s="143"/>
      <c r="AA231" s="145"/>
      <c r="AB231" s="145"/>
      <c r="AC231" s="141"/>
      <c r="AD231" s="141"/>
      <c r="AE231" s="141"/>
    </row>
    <row r="232" spans="1:337" ht="15" thickBot="1" x14ac:dyDescent="0.4">
      <c r="A232" s="45" t="s">
        <v>31</v>
      </c>
      <c r="B232" s="45" t="s">
        <v>38</v>
      </c>
      <c r="C232" s="46">
        <v>46175</v>
      </c>
      <c r="D232" s="47"/>
      <c r="E232" s="47"/>
      <c r="F232" s="47"/>
      <c r="G232" s="142"/>
      <c r="H232" s="142"/>
      <c r="I232" s="142"/>
      <c r="J232" s="142"/>
      <c r="K232" s="142"/>
      <c r="L232" s="47">
        <v>2</v>
      </c>
      <c r="M232" s="47"/>
      <c r="N232" s="47"/>
      <c r="O232" s="47"/>
      <c r="P232" s="47"/>
      <c r="Q232" s="47"/>
      <c r="R232" s="47"/>
      <c r="S232" s="47"/>
      <c r="T232" s="144"/>
      <c r="U232" s="144"/>
      <c r="V232" s="45"/>
      <c r="W232" s="45"/>
      <c r="X232" s="47"/>
      <c r="Y232" s="144"/>
      <c r="Z232" s="144"/>
      <c r="AA232" s="146"/>
      <c r="AB232" s="146"/>
      <c r="AC232" s="142"/>
      <c r="AD232" s="142"/>
      <c r="AE232" s="142"/>
    </row>
    <row r="233" spans="1:337" s="53" customFormat="1" ht="15" thickBot="1" x14ac:dyDescent="0.4">
      <c r="A233" s="49"/>
      <c r="B233" s="49"/>
      <c r="C233" s="50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49"/>
      <c r="U233" s="49"/>
      <c r="V233" s="49"/>
      <c r="W233" s="49"/>
      <c r="X233" s="51"/>
      <c r="Y233" s="49"/>
      <c r="Z233" s="49"/>
      <c r="AA233" s="52"/>
      <c r="AB233" s="52"/>
      <c r="AC233" s="51"/>
      <c r="AD233" s="51"/>
      <c r="AE233" s="51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/>
      <c r="LM233"/>
      <c r="LN233"/>
      <c r="LO233"/>
      <c r="LP233"/>
      <c r="LQ233"/>
      <c r="LR233"/>
      <c r="LS233"/>
      <c r="LT233"/>
      <c r="LU233"/>
      <c r="LV233"/>
      <c r="LW233"/>
      <c r="LX233"/>
      <c r="LY233"/>
    </row>
    <row r="234" spans="1:337" x14ac:dyDescent="0.35">
      <c r="A234" s="41" t="s">
        <v>31</v>
      </c>
      <c r="B234" s="41" t="s">
        <v>32</v>
      </c>
      <c r="C234" s="42">
        <v>46176</v>
      </c>
      <c r="D234" s="43">
        <v>0</v>
      </c>
      <c r="E234" s="43">
        <v>20</v>
      </c>
      <c r="F234" s="43">
        <v>20</v>
      </c>
      <c r="G234" s="43">
        <v>28</v>
      </c>
      <c r="H234" s="43">
        <v>40</v>
      </c>
      <c r="I234" s="43">
        <v>10</v>
      </c>
      <c r="J234" s="43">
        <v>21449</v>
      </c>
      <c r="K234" s="43">
        <f>SUM(L234:L236)</f>
        <v>6</v>
      </c>
      <c r="L234" s="43">
        <v>2</v>
      </c>
      <c r="M234" s="43"/>
      <c r="N234" s="43">
        <v>4</v>
      </c>
      <c r="O234" s="43">
        <v>3</v>
      </c>
      <c r="P234" s="43">
        <v>7</v>
      </c>
      <c r="Q234" s="43">
        <v>6</v>
      </c>
      <c r="R234" s="43">
        <v>9</v>
      </c>
      <c r="S234" s="43">
        <v>9</v>
      </c>
      <c r="T234" s="43">
        <v>25</v>
      </c>
      <c r="U234" s="43">
        <v>4</v>
      </c>
      <c r="V234" s="41" t="s">
        <v>33</v>
      </c>
      <c r="W234" s="41" t="s">
        <v>34</v>
      </c>
      <c r="X234" s="41">
        <v>1</v>
      </c>
      <c r="Y234" s="41">
        <v>3</v>
      </c>
      <c r="Z234" s="41">
        <v>322</v>
      </c>
      <c r="AA234" s="44">
        <v>34</v>
      </c>
      <c r="AB234" s="44">
        <v>34</v>
      </c>
      <c r="AC234" s="43">
        <v>45</v>
      </c>
      <c r="AD234" s="43">
        <v>30</v>
      </c>
      <c r="AE234" s="43">
        <v>45</v>
      </c>
    </row>
    <row r="235" spans="1:337" x14ac:dyDescent="0.35">
      <c r="A235" s="32" t="s">
        <v>31</v>
      </c>
      <c r="B235" s="32" t="s">
        <v>35</v>
      </c>
      <c r="C235" s="33">
        <v>46176</v>
      </c>
      <c r="D235" s="34">
        <v>13</v>
      </c>
      <c r="E235" s="34">
        <v>24</v>
      </c>
      <c r="F235" s="34">
        <v>25</v>
      </c>
      <c r="G235" s="141"/>
      <c r="H235" s="141"/>
      <c r="I235" s="141"/>
      <c r="J235" s="141"/>
      <c r="K235" s="141"/>
      <c r="L235" s="34">
        <v>2</v>
      </c>
      <c r="M235" s="34">
        <v>5</v>
      </c>
      <c r="N235" s="34">
        <v>4</v>
      </c>
      <c r="O235" s="34">
        <v>4</v>
      </c>
      <c r="P235" s="32">
        <v>7</v>
      </c>
      <c r="Q235" s="32">
        <v>7</v>
      </c>
      <c r="R235" s="32">
        <v>8</v>
      </c>
      <c r="S235" s="32">
        <v>6</v>
      </c>
      <c r="T235" s="143"/>
      <c r="U235" s="143"/>
      <c r="V235" s="32" t="s">
        <v>36</v>
      </c>
      <c r="W235" s="32" t="s">
        <v>37</v>
      </c>
      <c r="X235" s="32">
        <v>1</v>
      </c>
      <c r="Y235" s="143"/>
      <c r="Z235" s="143"/>
      <c r="AA235" s="145"/>
      <c r="AB235" s="145"/>
      <c r="AC235" s="141"/>
      <c r="AD235" s="141"/>
      <c r="AE235" s="141"/>
    </row>
    <row r="236" spans="1:337" ht="15" thickBot="1" x14ac:dyDescent="0.4">
      <c r="A236" s="45" t="s">
        <v>31</v>
      </c>
      <c r="B236" s="45" t="s">
        <v>38</v>
      </c>
      <c r="C236" s="46">
        <v>46176</v>
      </c>
      <c r="D236" s="47"/>
      <c r="E236" s="47"/>
      <c r="F236" s="47"/>
      <c r="G236" s="142"/>
      <c r="H236" s="142"/>
      <c r="I236" s="142"/>
      <c r="J236" s="142"/>
      <c r="K236" s="142"/>
      <c r="L236" s="47">
        <v>2</v>
      </c>
      <c r="M236" s="47"/>
      <c r="N236" s="47"/>
      <c r="O236" s="47"/>
      <c r="P236" s="47"/>
      <c r="Q236" s="47"/>
      <c r="R236" s="47"/>
      <c r="S236" s="47"/>
      <c r="T236" s="144"/>
      <c r="U236" s="144"/>
      <c r="V236" s="45"/>
      <c r="W236" s="45"/>
      <c r="X236" s="47"/>
      <c r="Y236" s="144"/>
      <c r="Z236" s="144"/>
      <c r="AA236" s="146"/>
      <c r="AB236" s="146"/>
      <c r="AC236" s="142"/>
      <c r="AD236" s="142"/>
      <c r="AE236" s="142"/>
    </row>
    <row r="237" spans="1:337" s="53" customFormat="1" ht="15" thickBot="1" x14ac:dyDescent="0.4">
      <c r="A237" s="49"/>
      <c r="B237" s="49"/>
      <c r="C237" s="50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49"/>
      <c r="U237" s="49"/>
      <c r="V237" s="49"/>
      <c r="W237" s="49"/>
      <c r="X237" s="51"/>
      <c r="Y237" s="49"/>
      <c r="Z237" s="49"/>
      <c r="AA237" s="52"/>
      <c r="AB237" s="52"/>
      <c r="AC237" s="51"/>
      <c r="AD237" s="51"/>
      <c r="AE237" s="51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/>
      <c r="KO237"/>
      <c r="KP237"/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  <c r="LK237"/>
      <c r="LL237"/>
      <c r="LM237"/>
      <c r="LN237"/>
      <c r="LO237"/>
      <c r="LP237"/>
      <c r="LQ237"/>
      <c r="LR237"/>
      <c r="LS237"/>
      <c r="LT237"/>
      <c r="LU237"/>
      <c r="LV237"/>
      <c r="LW237"/>
      <c r="LX237"/>
      <c r="LY237"/>
    </row>
    <row r="238" spans="1:337" x14ac:dyDescent="0.35">
      <c r="A238" s="41" t="s">
        <v>31</v>
      </c>
      <c r="B238" s="41" t="s">
        <v>32</v>
      </c>
      <c r="C238" s="42">
        <v>46177</v>
      </c>
      <c r="D238" s="43">
        <v>0</v>
      </c>
      <c r="E238" s="43">
        <v>20</v>
      </c>
      <c r="F238" s="43">
        <v>20</v>
      </c>
      <c r="G238" s="43">
        <v>28</v>
      </c>
      <c r="H238" s="43">
        <v>40</v>
      </c>
      <c r="I238" s="43">
        <v>10</v>
      </c>
      <c r="J238" s="43">
        <v>21449</v>
      </c>
      <c r="K238" s="43">
        <f>SUM(L238:L240)</f>
        <v>6</v>
      </c>
      <c r="L238" s="43">
        <v>2</v>
      </c>
      <c r="M238" s="43"/>
      <c r="N238" s="43">
        <v>4</v>
      </c>
      <c r="O238" s="43">
        <v>3</v>
      </c>
      <c r="P238" s="43">
        <v>7</v>
      </c>
      <c r="Q238" s="43">
        <v>6</v>
      </c>
      <c r="R238" s="43">
        <v>9</v>
      </c>
      <c r="S238" s="43">
        <v>9</v>
      </c>
      <c r="T238" s="43">
        <v>25</v>
      </c>
      <c r="U238" s="43">
        <v>4</v>
      </c>
      <c r="V238" s="41" t="s">
        <v>33</v>
      </c>
      <c r="W238" s="41" t="s">
        <v>34</v>
      </c>
      <c r="X238" s="41">
        <v>1</v>
      </c>
      <c r="Y238" s="41">
        <v>3</v>
      </c>
      <c r="Z238" s="41">
        <v>322</v>
      </c>
      <c r="AA238" s="44">
        <v>34</v>
      </c>
      <c r="AB238" s="44">
        <v>34</v>
      </c>
      <c r="AC238" s="43">
        <v>45</v>
      </c>
      <c r="AD238" s="43">
        <v>30</v>
      </c>
      <c r="AE238" s="43">
        <v>45</v>
      </c>
    </row>
    <row r="239" spans="1:337" x14ac:dyDescent="0.35">
      <c r="A239" s="32" t="s">
        <v>31</v>
      </c>
      <c r="B239" s="32" t="s">
        <v>35</v>
      </c>
      <c r="C239" s="33">
        <v>46177</v>
      </c>
      <c r="D239" s="34">
        <v>13</v>
      </c>
      <c r="E239" s="34">
        <v>24</v>
      </c>
      <c r="F239" s="34">
        <v>25</v>
      </c>
      <c r="G239" s="141"/>
      <c r="H239" s="141"/>
      <c r="I239" s="141"/>
      <c r="J239" s="141"/>
      <c r="K239" s="141"/>
      <c r="L239" s="34">
        <v>2</v>
      </c>
      <c r="M239" s="34">
        <v>5</v>
      </c>
      <c r="N239" s="34">
        <v>4</v>
      </c>
      <c r="O239" s="34">
        <v>4</v>
      </c>
      <c r="P239" s="32">
        <v>7</v>
      </c>
      <c r="Q239" s="32">
        <v>7</v>
      </c>
      <c r="R239" s="32">
        <v>8</v>
      </c>
      <c r="S239" s="32">
        <v>6</v>
      </c>
      <c r="T239" s="143"/>
      <c r="U239" s="143"/>
      <c r="V239" s="32" t="s">
        <v>36</v>
      </c>
      <c r="W239" s="32" t="s">
        <v>37</v>
      </c>
      <c r="X239" s="32">
        <v>1</v>
      </c>
      <c r="Y239" s="143"/>
      <c r="Z239" s="143"/>
      <c r="AA239" s="145"/>
      <c r="AB239" s="145"/>
      <c r="AC239" s="141"/>
      <c r="AD239" s="141"/>
      <c r="AE239" s="141"/>
    </row>
    <row r="240" spans="1:337" ht="15" thickBot="1" x14ac:dyDescent="0.4">
      <c r="A240" s="45" t="s">
        <v>31</v>
      </c>
      <c r="B240" s="45" t="s">
        <v>38</v>
      </c>
      <c r="C240" s="46">
        <v>46177</v>
      </c>
      <c r="D240" s="47"/>
      <c r="E240" s="47"/>
      <c r="F240" s="47"/>
      <c r="G240" s="142"/>
      <c r="H240" s="142"/>
      <c r="I240" s="142"/>
      <c r="J240" s="142"/>
      <c r="K240" s="142"/>
      <c r="L240" s="47">
        <v>2</v>
      </c>
      <c r="M240" s="47"/>
      <c r="N240" s="47"/>
      <c r="O240" s="47"/>
      <c r="P240" s="47"/>
      <c r="Q240" s="47"/>
      <c r="R240" s="47"/>
      <c r="S240" s="47"/>
      <c r="T240" s="144"/>
      <c r="U240" s="144"/>
      <c r="V240" s="45"/>
      <c r="W240" s="45"/>
      <c r="X240" s="47"/>
      <c r="Y240" s="144"/>
      <c r="Z240" s="144"/>
      <c r="AA240" s="146"/>
      <c r="AB240" s="146"/>
      <c r="AC240" s="142"/>
      <c r="AD240" s="142"/>
      <c r="AE240" s="142"/>
    </row>
    <row r="241" spans="1:337" s="53" customFormat="1" ht="15" thickBot="1" x14ac:dyDescent="0.4">
      <c r="A241" s="49"/>
      <c r="B241" s="49"/>
      <c r="C241" s="50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49"/>
      <c r="U241" s="49"/>
      <c r="V241" s="49"/>
      <c r="W241" s="49"/>
      <c r="X241" s="51"/>
      <c r="Y241" s="49"/>
      <c r="Z241" s="49"/>
      <c r="AA241" s="52"/>
      <c r="AB241" s="52"/>
      <c r="AC241" s="51"/>
      <c r="AD241" s="51"/>
      <c r="AE241" s="5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/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</row>
    <row r="242" spans="1:337" x14ac:dyDescent="0.35">
      <c r="A242" s="41" t="s">
        <v>31</v>
      </c>
      <c r="B242" s="41" t="s">
        <v>32</v>
      </c>
      <c r="C242" s="42">
        <v>46178</v>
      </c>
      <c r="D242" s="43">
        <v>0</v>
      </c>
      <c r="E242" s="43">
        <v>20</v>
      </c>
      <c r="F242" s="43">
        <v>20</v>
      </c>
      <c r="G242" s="43">
        <v>28</v>
      </c>
      <c r="H242" s="43">
        <v>40</v>
      </c>
      <c r="I242" s="43">
        <v>10</v>
      </c>
      <c r="J242" s="43">
        <v>21449</v>
      </c>
      <c r="K242" s="43">
        <f>SUM(L242:L244)</f>
        <v>6</v>
      </c>
      <c r="L242" s="43">
        <v>2</v>
      </c>
      <c r="M242" s="43"/>
      <c r="N242" s="43">
        <v>4</v>
      </c>
      <c r="O242" s="43">
        <v>3</v>
      </c>
      <c r="P242" s="43">
        <v>7</v>
      </c>
      <c r="Q242" s="43">
        <v>6</v>
      </c>
      <c r="R242" s="43">
        <v>9</v>
      </c>
      <c r="S242" s="43">
        <v>9</v>
      </c>
      <c r="T242" s="43">
        <v>20</v>
      </c>
      <c r="U242" s="43">
        <v>3</v>
      </c>
      <c r="V242" s="41" t="s">
        <v>33</v>
      </c>
      <c r="W242" s="41" t="s">
        <v>34</v>
      </c>
      <c r="X242" s="41">
        <v>1</v>
      </c>
      <c r="Y242" s="41">
        <v>3</v>
      </c>
      <c r="Z242" s="41">
        <v>322</v>
      </c>
      <c r="AA242" s="44">
        <v>34</v>
      </c>
      <c r="AB242" s="44">
        <v>34</v>
      </c>
      <c r="AC242" s="43">
        <v>45</v>
      </c>
      <c r="AD242" s="43">
        <v>30</v>
      </c>
      <c r="AE242" s="43">
        <v>45</v>
      </c>
    </row>
    <row r="243" spans="1:337" x14ac:dyDescent="0.35">
      <c r="A243" s="32" t="s">
        <v>31</v>
      </c>
      <c r="B243" s="32" t="s">
        <v>35</v>
      </c>
      <c r="C243" s="33">
        <v>46178</v>
      </c>
      <c r="D243" s="34">
        <v>13</v>
      </c>
      <c r="E243" s="34">
        <v>24</v>
      </c>
      <c r="F243" s="34">
        <v>25</v>
      </c>
      <c r="G243" s="141"/>
      <c r="H243" s="141"/>
      <c r="I243" s="141"/>
      <c r="J243" s="141"/>
      <c r="K243" s="141"/>
      <c r="L243" s="34">
        <v>2</v>
      </c>
      <c r="M243" s="34">
        <v>5</v>
      </c>
      <c r="N243" s="34">
        <v>4</v>
      </c>
      <c r="O243" s="34">
        <v>4</v>
      </c>
      <c r="P243" s="32">
        <v>7</v>
      </c>
      <c r="Q243" s="32">
        <v>7</v>
      </c>
      <c r="R243" s="32">
        <v>8</v>
      </c>
      <c r="S243" s="32">
        <v>6</v>
      </c>
      <c r="T243" s="143"/>
      <c r="U243" s="143"/>
      <c r="V243" s="32" t="s">
        <v>36</v>
      </c>
      <c r="W243" s="32" t="s">
        <v>37</v>
      </c>
      <c r="X243" s="32">
        <v>1</v>
      </c>
      <c r="Y243" s="143"/>
      <c r="Z243" s="143"/>
      <c r="AA243" s="145"/>
      <c r="AB243" s="145"/>
      <c r="AC243" s="141"/>
      <c r="AD243" s="141"/>
      <c r="AE243" s="141"/>
    </row>
    <row r="244" spans="1:337" ht="15" thickBot="1" x14ac:dyDescent="0.4">
      <c r="A244" s="45" t="s">
        <v>31</v>
      </c>
      <c r="B244" s="45" t="s">
        <v>38</v>
      </c>
      <c r="C244" s="46">
        <v>46178</v>
      </c>
      <c r="D244" s="47"/>
      <c r="E244" s="47"/>
      <c r="F244" s="47"/>
      <c r="G244" s="142"/>
      <c r="H244" s="142"/>
      <c r="I244" s="142"/>
      <c r="J244" s="142"/>
      <c r="K244" s="142"/>
      <c r="L244" s="47">
        <v>2</v>
      </c>
      <c r="M244" s="47"/>
      <c r="N244" s="47"/>
      <c r="O244" s="47"/>
      <c r="P244" s="47"/>
      <c r="Q244" s="47"/>
      <c r="R244" s="47"/>
      <c r="S244" s="47"/>
      <c r="T244" s="144"/>
      <c r="U244" s="144"/>
      <c r="V244" s="45"/>
      <c r="W244" s="45"/>
      <c r="X244" s="47"/>
      <c r="Y244" s="144"/>
      <c r="Z244" s="144"/>
      <c r="AA244" s="146"/>
      <c r="AB244" s="146"/>
      <c r="AC244" s="142"/>
      <c r="AD244" s="142"/>
      <c r="AE244" s="142"/>
    </row>
    <row r="245" spans="1:337" s="53" customFormat="1" ht="15" thickBot="1" x14ac:dyDescent="0.4">
      <c r="A245" s="49"/>
      <c r="B245" s="49"/>
      <c r="C245" s="50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49"/>
      <c r="U245" s="49"/>
      <c r="V245" s="49"/>
      <c r="W245" s="49"/>
      <c r="X245" s="51"/>
      <c r="Y245" s="49"/>
      <c r="Z245" s="49"/>
      <c r="AA245" s="52"/>
      <c r="AB245" s="52"/>
      <c r="AC245" s="51"/>
      <c r="AD245" s="51"/>
      <c r="AE245" s="51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</row>
    <row r="246" spans="1:337" x14ac:dyDescent="0.35">
      <c r="A246" s="41" t="s">
        <v>31</v>
      </c>
      <c r="B246" s="41" t="s">
        <v>32</v>
      </c>
      <c r="C246" s="42">
        <v>46181</v>
      </c>
      <c r="D246" s="43">
        <v>0</v>
      </c>
      <c r="E246" s="43">
        <v>20</v>
      </c>
      <c r="F246" s="43">
        <v>20</v>
      </c>
      <c r="G246" s="43">
        <v>28</v>
      </c>
      <c r="H246" s="43">
        <v>40</v>
      </c>
      <c r="I246" s="43">
        <v>10</v>
      </c>
      <c r="J246" s="43">
        <v>21449</v>
      </c>
      <c r="K246" s="43">
        <f>SUM(L246:L248)</f>
        <v>6</v>
      </c>
      <c r="L246" s="43">
        <v>2</v>
      </c>
      <c r="M246" s="43"/>
      <c r="N246" s="43">
        <v>4</v>
      </c>
      <c r="O246" s="43">
        <v>3</v>
      </c>
      <c r="P246" s="43">
        <v>7</v>
      </c>
      <c r="Q246" s="43">
        <v>6</v>
      </c>
      <c r="R246" s="43">
        <v>9</v>
      </c>
      <c r="S246" s="43">
        <v>9</v>
      </c>
      <c r="T246" s="43">
        <v>25</v>
      </c>
      <c r="U246" s="43">
        <v>4</v>
      </c>
      <c r="V246" s="41" t="s">
        <v>33</v>
      </c>
      <c r="W246" s="41" t="s">
        <v>34</v>
      </c>
      <c r="X246" s="41">
        <v>1</v>
      </c>
      <c r="Y246" s="41">
        <v>3</v>
      </c>
      <c r="Z246" s="41">
        <v>322</v>
      </c>
      <c r="AA246" s="44">
        <v>34</v>
      </c>
      <c r="AB246" s="44">
        <v>34</v>
      </c>
      <c r="AC246" s="43">
        <v>45</v>
      </c>
      <c r="AD246" s="43">
        <v>30</v>
      </c>
      <c r="AE246" s="43">
        <v>45</v>
      </c>
    </row>
    <row r="247" spans="1:337" x14ac:dyDescent="0.35">
      <c r="A247" s="32" t="s">
        <v>31</v>
      </c>
      <c r="B247" s="32" t="s">
        <v>35</v>
      </c>
      <c r="C247" s="33">
        <v>46181</v>
      </c>
      <c r="D247" s="34">
        <v>13</v>
      </c>
      <c r="E247" s="34">
        <v>24</v>
      </c>
      <c r="F247" s="34">
        <v>25</v>
      </c>
      <c r="G247" s="141"/>
      <c r="H247" s="141"/>
      <c r="I247" s="141"/>
      <c r="J247" s="141"/>
      <c r="K247" s="141"/>
      <c r="L247" s="34">
        <v>2</v>
      </c>
      <c r="M247" s="34">
        <v>5</v>
      </c>
      <c r="N247" s="34">
        <v>4</v>
      </c>
      <c r="O247" s="34">
        <v>4</v>
      </c>
      <c r="P247" s="32">
        <v>7</v>
      </c>
      <c r="Q247" s="32">
        <v>7</v>
      </c>
      <c r="R247" s="32">
        <v>8</v>
      </c>
      <c r="S247" s="32">
        <v>6</v>
      </c>
      <c r="T247" s="143"/>
      <c r="U247" s="143"/>
      <c r="V247" s="32" t="s">
        <v>36</v>
      </c>
      <c r="W247" s="32" t="s">
        <v>37</v>
      </c>
      <c r="X247" s="32">
        <v>1</v>
      </c>
      <c r="Y247" s="143"/>
      <c r="Z247" s="143"/>
      <c r="AA247" s="145"/>
      <c r="AB247" s="145"/>
      <c r="AC247" s="141"/>
      <c r="AD247" s="141"/>
      <c r="AE247" s="141"/>
    </row>
    <row r="248" spans="1:337" ht="15" thickBot="1" x14ac:dyDescent="0.4">
      <c r="A248" s="45" t="s">
        <v>31</v>
      </c>
      <c r="B248" s="45" t="s">
        <v>38</v>
      </c>
      <c r="C248" s="46">
        <v>46181</v>
      </c>
      <c r="D248" s="47"/>
      <c r="E248" s="47"/>
      <c r="F248" s="47"/>
      <c r="G248" s="142"/>
      <c r="H248" s="142"/>
      <c r="I248" s="142"/>
      <c r="J248" s="142"/>
      <c r="K248" s="142"/>
      <c r="L248" s="47">
        <v>2</v>
      </c>
      <c r="M248" s="47"/>
      <c r="N248" s="47"/>
      <c r="O248" s="47"/>
      <c r="P248" s="47"/>
      <c r="Q248" s="47"/>
      <c r="R248" s="47"/>
      <c r="S248" s="47"/>
      <c r="T248" s="144"/>
      <c r="U248" s="144"/>
      <c r="V248" s="45"/>
      <c r="W248" s="45"/>
      <c r="X248" s="47"/>
      <c r="Y248" s="144"/>
      <c r="Z248" s="144"/>
      <c r="AA248" s="146"/>
      <c r="AB248" s="146"/>
      <c r="AC248" s="142"/>
      <c r="AD248" s="142"/>
      <c r="AE248" s="142"/>
    </row>
    <row r="249" spans="1:337" s="53" customFormat="1" ht="15" thickBot="1" x14ac:dyDescent="0.4">
      <c r="A249" s="49"/>
      <c r="B249" s="49"/>
      <c r="C249" s="50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49"/>
      <c r="U249" s="49"/>
      <c r="V249" s="49"/>
      <c r="W249" s="49"/>
      <c r="X249" s="51"/>
      <c r="Y249" s="49"/>
      <c r="Z249" s="49"/>
      <c r="AA249" s="52"/>
      <c r="AB249" s="52"/>
      <c r="AC249" s="51"/>
      <c r="AD249" s="51"/>
      <c r="AE249" s="51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/>
      <c r="LH249"/>
      <c r="LI249"/>
      <c r="LJ249"/>
      <c r="LK249"/>
      <c r="LL249"/>
      <c r="LM249"/>
      <c r="LN249"/>
      <c r="LO249"/>
      <c r="LP249"/>
      <c r="LQ249"/>
      <c r="LR249"/>
      <c r="LS249"/>
      <c r="LT249"/>
      <c r="LU249"/>
      <c r="LV249"/>
      <c r="LW249"/>
      <c r="LX249"/>
      <c r="LY249"/>
    </row>
    <row r="250" spans="1:337" x14ac:dyDescent="0.35">
      <c r="A250" s="41" t="s">
        <v>31</v>
      </c>
      <c r="B250" s="41" t="s">
        <v>32</v>
      </c>
      <c r="C250" s="42">
        <v>46182</v>
      </c>
      <c r="D250" s="43">
        <v>0</v>
      </c>
      <c r="E250" s="43">
        <v>20</v>
      </c>
      <c r="F250" s="43">
        <v>20</v>
      </c>
      <c r="G250" s="43">
        <v>28</v>
      </c>
      <c r="H250" s="43">
        <v>40</v>
      </c>
      <c r="I250" s="43">
        <v>10</v>
      </c>
      <c r="J250" s="43">
        <v>21449</v>
      </c>
      <c r="K250" s="43">
        <f>SUM(L250:L252)</f>
        <v>6</v>
      </c>
      <c r="L250" s="43">
        <v>2</v>
      </c>
      <c r="M250" s="43"/>
      <c r="N250" s="43">
        <v>4</v>
      </c>
      <c r="O250" s="43">
        <v>3</v>
      </c>
      <c r="P250" s="43">
        <v>7</v>
      </c>
      <c r="Q250" s="43">
        <v>6</v>
      </c>
      <c r="R250" s="43">
        <v>9</v>
      </c>
      <c r="S250" s="43">
        <v>9</v>
      </c>
      <c r="T250" s="43">
        <v>25</v>
      </c>
      <c r="U250" s="43">
        <v>4</v>
      </c>
      <c r="V250" s="41" t="s">
        <v>33</v>
      </c>
      <c r="W250" s="41" t="s">
        <v>34</v>
      </c>
      <c r="X250" s="41">
        <v>1</v>
      </c>
      <c r="Y250" s="41">
        <v>3</v>
      </c>
      <c r="Z250" s="41">
        <v>322</v>
      </c>
      <c r="AA250" s="44">
        <v>34</v>
      </c>
      <c r="AB250" s="44">
        <v>34</v>
      </c>
      <c r="AC250" s="43">
        <v>45</v>
      </c>
      <c r="AD250" s="43">
        <v>30</v>
      </c>
      <c r="AE250" s="43">
        <v>45</v>
      </c>
    </row>
    <row r="251" spans="1:337" x14ac:dyDescent="0.35">
      <c r="A251" s="32" t="s">
        <v>31</v>
      </c>
      <c r="B251" s="32" t="s">
        <v>35</v>
      </c>
      <c r="C251" s="33">
        <v>46182</v>
      </c>
      <c r="D251" s="34">
        <v>13</v>
      </c>
      <c r="E251" s="34">
        <v>24</v>
      </c>
      <c r="F251" s="34">
        <v>25</v>
      </c>
      <c r="G251" s="141"/>
      <c r="H251" s="141"/>
      <c r="I251" s="141"/>
      <c r="J251" s="141"/>
      <c r="K251" s="141"/>
      <c r="L251" s="34">
        <v>2</v>
      </c>
      <c r="M251" s="34">
        <v>5</v>
      </c>
      <c r="N251" s="34">
        <v>4</v>
      </c>
      <c r="O251" s="34">
        <v>4</v>
      </c>
      <c r="P251" s="32">
        <v>7</v>
      </c>
      <c r="Q251" s="32">
        <v>7</v>
      </c>
      <c r="R251" s="32">
        <v>8</v>
      </c>
      <c r="S251" s="32">
        <v>6</v>
      </c>
      <c r="T251" s="143"/>
      <c r="U251" s="143"/>
      <c r="V251" s="32" t="s">
        <v>36</v>
      </c>
      <c r="W251" s="32" t="s">
        <v>37</v>
      </c>
      <c r="X251" s="32">
        <v>1</v>
      </c>
      <c r="Y251" s="143"/>
      <c r="Z251" s="143"/>
      <c r="AA251" s="145"/>
      <c r="AB251" s="145"/>
      <c r="AC251" s="141"/>
      <c r="AD251" s="141"/>
      <c r="AE251" s="141"/>
    </row>
    <row r="252" spans="1:337" ht="15" thickBot="1" x14ac:dyDescent="0.4">
      <c r="A252" s="45" t="s">
        <v>31</v>
      </c>
      <c r="B252" s="45" t="s">
        <v>38</v>
      </c>
      <c r="C252" s="46">
        <v>46182</v>
      </c>
      <c r="D252" s="47"/>
      <c r="E252" s="47"/>
      <c r="F252" s="47"/>
      <c r="G252" s="142"/>
      <c r="H252" s="142"/>
      <c r="I252" s="142"/>
      <c r="J252" s="142"/>
      <c r="K252" s="142"/>
      <c r="L252" s="47">
        <v>2</v>
      </c>
      <c r="M252" s="47"/>
      <c r="N252" s="47"/>
      <c r="O252" s="47"/>
      <c r="P252" s="47"/>
      <c r="Q252" s="47"/>
      <c r="R252" s="47"/>
      <c r="S252" s="47"/>
      <c r="T252" s="144"/>
      <c r="U252" s="144"/>
      <c r="V252" s="45"/>
      <c r="W252" s="45"/>
      <c r="X252" s="47"/>
      <c r="Y252" s="144"/>
      <c r="Z252" s="144"/>
      <c r="AA252" s="146"/>
      <c r="AB252" s="146"/>
      <c r="AC252" s="142"/>
      <c r="AD252" s="142"/>
      <c r="AE252" s="142"/>
    </row>
    <row r="253" spans="1:337" s="53" customFormat="1" ht="15" thickBot="1" x14ac:dyDescent="0.4">
      <c r="A253" s="49"/>
      <c r="B253" s="49"/>
      <c r="C253" s="50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49"/>
      <c r="U253" s="49"/>
      <c r="V253" s="49"/>
      <c r="W253" s="49"/>
      <c r="X253" s="51"/>
      <c r="Y253" s="49"/>
      <c r="Z253" s="49"/>
      <c r="AA253" s="52"/>
      <c r="AB253" s="52"/>
      <c r="AC253" s="51"/>
      <c r="AD253" s="51"/>
      <c r="AE253" s="51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  <c r="LK253"/>
      <c r="LL253"/>
      <c r="LM253"/>
      <c r="LN253"/>
      <c r="LO253"/>
      <c r="LP253"/>
      <c r="LQ253"/>
      <c r="LR253"/>
      <c r="LS253"/>
      <c r="LT253"/>
      <c r="LU253"/>
      <c r="LV253"/>
      <c r="LW253"/>
      <c r="LX253"/>
      <c r="LY253"/>
    </row>
    <row r="254" spans="1:337" x14ac:dyDescent="0.35">
      <c r="A254" s="41" t="s">
        <v>31</v>
      </c>
      <c r="B254" s="41" t="s">
        <v>32</v>
      </c>
      <c r="C254" s="42">
        <v>46183</v>
      </c>
      <c r="D254" s="43">
        <v>0</v>
      </c>
      <c r="E254" s="43">
        <v>20</v>
      </c>
      <c r="F254" s="43">
        <v>20</v>
      </c>
      <c r="G254" s="43">
        <v>28</v>
      </c>
      <c r="H254" s="43">
        <v>40</v>
      </c>
      <c r="I254" s="43">
        <v>10</v>
      </c>
      <c r="J254" s="43">
        <v>21449</v>
      </c>
      <c r="K254" s="43">
        <f>SUM(L254:L256)</f>
        <v>6</v>
      </c>
      <c r="L254" s="43">
        <v>2</v>
      </c>
      <c r="M254" s="43"/>
      <c r="N254" s="43">
        <v>4</v>
      </c>
      <c r="O254" s="43">
        <v>3</v>
      </c>
      <c r="P254" s="43">
        <v>7</v>
      </c>
      <c r="Q254" s="43">
        <v>6</v>
      </c>
      <c r="R254" s="43">
        <v>9</v>
      </c>
      <c r="S254" s="43">
        <v>9</v>
      </c>
      <c r="T254" s="43">
        <v>25</v>
      </c>
      <c r="U254" s="43">
        <v>4</v>
      </c>
      <c r="V254" s="41" t="s">
        <v>33</v>
      </c>
      <c r="W254" s="41" t="s">
        <v>34</v>
      </c>
      <c r="X254" s="41">
        <v>1</v>
      </c>
      <c r="Y254" s="41">
        <v>3</v>
      </c>
      <c r="Z254" s="41">
        <v>322</v>
      </c>
      <c r="AA254" s="44">
        <v>34</v>
      </c>
      <c r="AB254" s="44">
        <v>34</v>
      </c>
      <c r="AC254" s="43">
        <v>45</v>
      </c>
      <c r="AD254" s="43">
        <v>30</v>
      </c>
      <c r="AE254" s="43">
        <v>45</v>
      </c>
    </row>
    <row r="255" spans="1:337" x14ac:dyDescent="0.35">
      <c r="A255" s="32" t="s">
        <v>31</v>
      </c>
      <c r="B255" s="32" t="s">
        <v>35</v>
      </c>
      <c r="C255" s="33">
        <v>46183</v>
      </c>
      <c r="D255" s="34">
        <v>13</v>
      </c>
      <c r="E255" s="34">
        <v>24</v>
      </c>
      <c r="F255" s="34">
        <v>25</v>
      </c>
      <c r="G255" s="141"/>
      <c r="H255" s="141"/>
      <c r="I255" s="141"/>
      <c r="J255" s="141"/>
      <c r="K255" s="141"/>
      <c r="L255" s="34">
        <v>2</v>
      </c>
      <c r="M255" s="34">
        <v>5</v>
      </c>
      <c r="N255" s="34">
        <v>4</v>
      </c>
      <c r="O255" s="34">
        <v>4</v>
      </c>
      <c r="P255" s="32">
        <v>7</v>
      </c>
      <c r="Q255" s="32">
        <v>7</v>
      </c>
      <c r="R255" s="32">
        <v>8</v>
      </c>
      <c r="S255" s="32">
        <v>6</v>
      </c>
      <c r="T255" s="143"/>
      <c r="U255" s="143"/>
      <c r="V255" s="32" t="s">
        <v>36</v>
      </c>
      <c r="W255" s="32" t="s">
        <v>37</v>
      </c>
      <c r="X255" s="32">
        <v>1</v>
      </c>
      <c r="Y255" s="143"/>
      <c r="Z255" s="143"/>
      <c r="AA255" s="145"/>
      <c r="AB255" s="145"/>
      <c r="AC255" s="141"/>
      <c r="AD255" s="141"/>
      <c r="AE255" s="141"/>
    </row>
    <row r="256" spans="1:337" ht="15" thickBot="1" x14ac:dyDescent="0.4">
      <c r="A256" s="45" t="s">
        <v>31</v>
      </c>
      <c r="B256" s="45" t="s">
        <v>38</v>
      </c>
      <c r="C256" s="46">
        <v>46183</v>
      </c>
      <c r="D256" s="47"/>
      <c r="E256" s="47"/>
      <c r="F256" s="47"/>
      <c r="G256" s="142"/>
      <c r="H256" s="142"/>
      <c r="I256" s="142"/>
      <c r="J256" s="142"/>
      <c r="K256" s="142"/>
      <c r="L256" s="47">
        <v>2</v>
      </c>
      <c r="M256" s="47"/>
      <c r="N256" s="47"/>
      <c r="O256" s="47"/>
      <c r="P256" s="47"/>
      <c r="Q256" s="47"/>
      <c r="R256" s="47"/>
      <c r="S256" s="47"/>
      <c r="T256" s="144"/>
      <c r="U256" s="144"/>
      <c r="V256" s="45"/>
      <c r="W256" s="45"/>
      <c r="X256" s="47"/>
      <c r="Y256" s="144"/>
      <c r="Z256" s="144"/>
      <c r="AA256" s="146"/>
      <c r="AB256" s="146"/>
      <c r="AC256" s="142"/>
      <c r="AD256" s="142"/>
      <c r="AE256" s="142"/>
    </row>
    <row r="257" spans="1:337" s="53" customFormat="1" ht="15" thickBot="1" x14ac:dyDescent="0.4">
      <c r="A257" s="49"/>
      <c r="B257" s="49"/>
      <c r="C257" s="50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49"/>
      <c r="U257" s="49"/>
      <c r="V257" s="49"/>
      <c r="W257" s="49"/>
      <c r="X257" s="51"/>
      <c r="Y257" s="49"/>
      <c r="Z257" s="49"/>
      <c r="AA257" s="52"/>
      <c r="AB257" s="52"/>
      <c r="AC257" s="51"/>
      <c r="AD257" s="51"/>
      <c r="AE257" s="51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/>
      <c r="KM257"/>
      <c r="KN257"/>
      <c r="KO257"/>
      <c r="KP257"/>
      <c r="KQ257"/>
      <c r="KR257"/>
      <c r="KS257"/>
      <c r="KT257"/>
      <c r="KU257"/>
      <c r="KV257"/>
      <c r="KW257"/>
      <c r="KX257"/>
      <c r="KY257"/>
      <c r="KZ257"/>
      <c r="LA257"/>
      <c r="LB257"/>
      <c r="LC257"/>
      <c r="LD257"/>
      <c r="LE257"/>
      <c r="LF257"/>
      <c r="LG257"/>
      <c r="LH257"/>
      <c r="LI257"/>
      <c r="LJ257"/>
      <c r="LK257"/>
      <c r="LL257"/>
      <c r="LM257"/>
      <c r="LN257"/>
      <c r="LO257"/>
      <c r="LP257"/>
      <c r="LQ257"/>
      <c r="LR257"/>
      <c r="LS257"/>
      <c r="LT257"/>
      <c r="LU257"/>
      <c r="LV257"/>
      <c r="LW257"/>
      <c r="LX257"/>
      <c r="LY257"/>
    </row>
    <row r="258" spans="1:337" x14ac:dyDescent="0.35">
      <c r="A258" s="41" t="s">
        <v>31</v>
      </c>
      <c r="B258" s="41" t="s">
        <v>32</v>
      </c>
      <c r="C258" s="42">
        <v>46184</v>
      </c>
      <c r="D258" s="43">
        <v>0</v>
      </c>
      <c r="E258" s="43">
        <v>20</v>
      </c>
      <c r="F258" s="43">
        <v>20</v>
      </c>
      <c r="G258" s="43">
        <v>28</v>
      </c>
      <c r="H258" s="43">
        <v>40</v>
      </c>
      <c r="I258" s="43">
        <v>10</v>
      </c>
      <c r="J258" s="43">
        <v>21449</v>
      </c>
      <c r="K258" s="43">
        <f>SUM(L258:L260)</f>
        <v>6</v>
      </c>
      <c r="L258" s="43">
        <v>2</v>
      </c>
      <c r="M258" s="43"/>
      <c r="N258" s="43">
        <v>4</v>
      </c>
      <c r="O258" s="43">
        <v>3</v>
      </c>
      <c r="P258" s="43">
        <v>7</v>
      </c>
      <c r="Q258" s="43">
        <v>6</v>
      </c>
      <c r="R258" s="43">
        <v>9</v>
      </c>
      <c r="S258" s="43">
        <v>9</v>
      </c>
      <c r="T258" s="43">
        <v>25</v>
      </c>
      <c r="U258" s="43">
        <v>4</v>
      </c>
      <c r="V258" s="41" t="s">
        <v>33</v>
      </c>
      <c r="W258" s="41" t="s">
        <v>34</v>
      </c>
      <c r="X258" s="41">
        <v>1</v>
      </c>
      <c r="Y258" s="41">
        <v>3</v>
      </c>
      <c r="Z258" s="41">
        <v>322</v>
      </c>
      <c r="AA258" s="44">
        <v>34</v>
      </c>
      <c r="AB258" s="44">
        <v>34</v>
      </c>
      <c r="AC258" s="43">
        <v>45</v>
      </c>
      <c r="AD258" s="43">
        <v>30</v>
      </c>
      <c r="AE258" s="43">
        <v>45</v>
      </c>
    </row>
    <row r="259" spans="1:337" x14ac:dyDescent="0.35">
      <c r="A259" s="32" t="s">
        <v>31</v>
      </c>
      <c r="B259" s="32" t="s">
        <v>35</v>
      </c>
      <c r="C259" s="33">
        <v>46184</v>
      </c>
      <c r="D259" s="34">
        <v>13</v>
      </c>
      <c r="E259" s="34">
        <v>24</v>
      </c>
      <c r="F259" s="34">
        <v>25</v>
      </c>
      <c r="G259" s="141"/>
      <c r="H259" s="141"/>
      <c r="I259" s="141"/>
      <c r="J259" s="141"/>
      <c r="K259" s="141"/>
      <c r="L259" s="34">
        <v>2</v>
      </c>
      <c r="M259" s="34">
        <v>5</v>
      </c>
      <c r="N259" s="34">
        <v>4</v>
      </c>
      <c r="O259" s="34">
        <v>4</v>
      </c>
      <c r="P259" s="32">
        <v>7</v>
      </c>
      <c r="Q259" s="32">
        <v>7</v>
      </c>
      <c r="R259" s="32">
        <v>8</v>
      </c>
      <c r="S259" s="32">
        <v>6</v>
      </c>
      <c r="T259" s="143"/>
      <c r="U259" s="143"/>
      <c r="V259" s="32" t="s">
        <v>36</v>
      </c>
      <c r="W259" s="32" t="s">
        <v>37</v>
      </c>
      <c r="X259" s="32">
        <v>1</v>
      </c>
      <c r="Y259" s="143"/>
      <c r="Z259" s="143"/>
      <c r="AA259" s="145"/>
      <c r="AB259" s="145"/>
      <c r="AC259" s="141"/>
      <c r="AD259" s="141"/>
      <c r="AE259" s="141"/>
    </row>
    <row r="260" spans="1:337" ht="15" thickBot="1" x14ac:dyDescent="0.4">
      <c r="A260" s="45" t="s">
        <v>31</v>
      </c>
      <c r="B260" s="45" t="s">
        <v>38</v>
      </c>
      <c r="C260" s="46">
        <v>46184</v>
      </c>
      <c r="D260" s="47"/>
      <c r="E260" s="47"/>
      <c r="F260" s="47"/>
      <c r="G260" s="142"/>
      <c r="H260" s="142"/>
      <c r="I260" s="142"/>
      <c r="J260" s="142"/>
      <c r="K260" s="142"/>
      <c r="L260" s="47">
        <v>2</v>
      </c>
      <c r="M260" s="47"/>
      <c r="N260" s="47"/>
      <c r="O260" s="47"/>
      <c r="P260" s="47"/>
      <c r="Q260" s="47"/>
      <c r="R260" s="47"/>
      <c r="S260" s="47"/>
      <c r="T260" s="144"/>
      <c r="U260" s="144"/>
      <c r="V260" s="45"/>
      <c r="W260" s="45"/>
      <c r="X260" s="47"/>
      <c r="Y260" s="144"/>
      <c r="Z260" s="144"/>
      <c r="AA260" s="146"/>
      <c r="AB260" s="146"/>
      <c r="AC260" s="142"/>
      <c r="AD260" s="142"/>
      <c r="AE260" s="142"/>
    </row>
    <row r="261" spans="1:337" s="53" customFormat="1" ht="15" thickBot="1" x14ac:dyDescent="0.4">
      <c r="A261" s="49"/>
      <c r="B261" s="49"/>
      <c r="C261" s="50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49"/>
      <c r="U261" s="49"/>
      <c r="V261" s="49"/>
      <c r="W261" s="49"/>
      <c r="X261" s="51"/>
      <c r="Y261" s="49"/>
      <c r="Z261" s="49"/>
      <c r="AA261" s="52"/>
      <c r="AB261" s="52"/>
      <c r="AC261" s="51"/>
      <c r="AD261" s="51"/>
      <c r="AE261" s="5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/>
      <c r="KO261"/>
      <c r="KP261"/>
      <c r="KQ261"/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  <c r="LK261"/>
      <c r="LL261"/>
      <c r="LM261"/>
      <c r="LN261"/>
      <c r="LO261"/>
      <c r="LP261"/>
      <c r="LQ261"/>
      <c r="LR261"/>
      <c r="LS261"/>
      <c r="LT261"/>
      <c r="LU261"/>
      <c r="LV261"/>
      <c r="LW261"/>
      <c r="LX261"/>
      <c r="LY261"/>
    </row>
    <row r="262" spans="1:337" x14ac:dyDescent="0.35">
      <c r="A262" s="41" t="s">
        <v>31</v>
      </c>
      <c r="B262" s="41" t="s">
        <v>32</v>
      </c>
      <c r="C262" s="42">
        <v>46185</v>
      </c>
      <c r="D262" s="43">
        <v>0</v>
      </c>
      <c r="E262" s="43">
        <v>20</v>
      </c>
      <c r="F262" s="43">
        <v>20</v>
      </c>
      <c r="G262" s="43">
        <v>28</v>
      </c>
      <c r="H262" s="43">
        <v>40</v>
      </c>
      <c r="I262" s="43">
        <v>10</v>
      </c>
      <c r="J262" s="43">
        <v>21449</v>
      </c>
      <c r="K262" s="43">
        <f>SUM(L262:L264)</f>
        <v>6</v>
      </c>
      <c r="L262" s="43">
        <v>2</v>
      </c>
      <c r="M262" s="43"/>
      <c r="N262" s="43">
        <v>4</v>
      </c>
      <c r="O262" s="43">
        <v>3</v>
      </c>
      <c r="P262" s="43">
        <v>7</v>
      </c>
      <c r="Q262" s="43">
        <v>6</v>
      </c>
      <c r="R262" s="43">
        <v>9</v>
      </c>
      <c r="S262" s="43">
        <v>9</v>
      </c>
      <c r="T262" s="43">
        <v>25</v>
      </c>
      <c r="U262" s="43">
        <v>4</v>
      </c>
      <c r="V262" s="41" t="s">
        <v>33</v>
      </c>
      <c r="W262" s="41" t="s">
        <v>34</v>
      </c>
      <c r="X262" s="41">
        <v>1</v>
      </c>
      <c r="Y262" s="41">
        <v>3</v>
      </c>
      <c r="Z262" s="41">
        <v>322</v>
      </c>
      <c r="AA262" s="44">
        <v>34</v>
      </c>
      <c r="AB262" s="44">
        <v>34</v>
      </c>
      <c r="AC262" s="43">
        <v>45</v>
      </c>
      <c r="AD262" s="43">
        <v>30</v>
      </c>
      <c r="AE262" s="43">
        <v>45</v>
      </c>
    </row>
    <row r="263" spans="1:337" x14ac:dyDescent="0.35">
      <c r="A263" s="32" t="s">
        <v>31</v>
      </c>
      <c r="B263" s="32" t="s">
        <v>35</v>
      </c>
      <c r="C263" s="33">
        <v>46185</v>
      </c>
      <c r="D263" s="34">
        <v>13</v>
      </c>
      <c r="E263" s="34">
        <v>24</v>
      </c>
      <c r="F263" s="34">
        <v>25</v>
      </c>
      <c r="G263" s="141"/>
      <c r="H263" s="141"/>
      <c r="I263" s="141"/>
      <c r="J263" s="141"/>
      <c r="K263" s="141"/>
      <c r="L263" s="34">
        <v>2</v>
      </c>
      <c r="M263" s="34">
        <v>5</v>
      </c>
      <c r="N263" s="34">
        <v>4</v>
      </c>
      <c r="O263" s="34">
        <v>4</v>
      </c>
      <c r="P263" s="32">
        <v>7</v>
      </c>
      <c r="Q263" s="32">
        <v>7</v>
      </c>
      <c r="R263" s="32">
        <v>8</v>
      </c>
      <c r="S263" s="32">
        <v>6</v>
      </c>
      <c r="T263" s="143"/>
      <c r="U263" s="143"/>
      <c r="V263" s="32" t="s">
        <v>36</v>
      </c>
      <c r="W263" s="32" t="s">
        <v>37</v>
      </c>
      <c r="X263" s="32">
        <v>1</v>
      </c>
      <c r="Y263" s="143"/>
      <c r="Z263" s="143"/>
      <c r="AA263" s="145"/>
      <c r="AB263" s="145"/>
      <c r="AC263" s="141"/>
      <c r="AD263" s="141"/>
      <c r="AE263" s="141"/>
    </row>
    <row r="264" spans="1:337" ht="15" thickBot="1" x14ac:dyDescent="0.4">
      <c r="A264" s="45" t="s">
        <v>31</v>
      </c>
      <c r="B264" s="45" t="s">
        <v>38</v>
      </c>
      <c r="C264" s="46">
        <v>46185</v>
      </c>
      <c r="D264" s="47"/>
      <c r="E264" s="47"/>
      <c r="F264" s="47"/>
      <c r="G264" s="142"/>
      <c r="H264" s="142"/>
      <c r="I264" s="142"/>
      <c r="J264" s="142"/>
      <c r="K264" s="142"/>
      <c r="L264" s="47">
        <v>2</v>
      </c>
      <c r="M264" s="47"/>
      <c r="N264" s="47"/>
      <c r="O264" s="47"/>
      <c r="P264" s="47"/>
      <c r="Q264" s="47"/>
      <c r="R264" s="47"/>
      <c r="S264" s="47"/>
      <c r="T264" s="144"/>
      <c r="U264" s="144"/>
      <c r="V264" s="45"/>
      <c r="W264" s="45"/>
      <c r="X264" s="47"/>
      <c r="Y264" s="144"/>
      <c r="Z264" s="144"/>
      <c r="AA264" s="146"/>
      <c r="AB264" s="146"/>
      <c r="AC264" s="142"/>
      <c r="AD264" s="142"/>
      <c r="AE264" s="142"/>
    </row>
    <row r="265" spans="1:337" s="53" customFormat="1" ht="15" thickBot="1" x14ac:dyDescent="0.4">
      <c r="A265" s="49"/>
      <c r="B265" s="49"/>
      <c r="C265" s="50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49"/>
      <c r="U265" s="49"/>
      <c r="V265" s="49"/>
      <c r="W265" s="49"/>
      <c r="X265" s="51"/>
      <c r="Y265" s="49"/>
      <c r="Z265" s="49"/>
      <c r="AA265" s="52"/>
      <c r="AB265" s="52"/>
      <c r="AC265" s="51"/>
      <c r="AD265" s="51"/>
      <c r="AE265" s="51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  <c r="LK265"/>
      <c r="LL265"/>
      <c r="LM265"/>
      <c r="LN265"/>
      <c r="LO265"/>
      <c r="LP265"/>
      <c r="LQ265"/>
      <c r="LR265"/>
      <c r="LS265"/>
      <c r="LT265"/>
      <c r="LU265"/>
      <c r="LV265"/>
      <c r="LW265"/>
      <c r="LX265"/>
      <c r="LY265"/>
    </row>
    <row r="266" spans="1:337" x14ac:dyDescent="0.35">
      <c r="A266" s="41" t="s">
        <v>31</v>
      </c>
      <c r="B266" s="41" t="s">
        <v>32</v>
      </c>
      <c r="C266" s="42">
        <v>46188</v>
      </c>
      <c r="D266" s="43">
        <v>0</v>
      </c>
      <c r="E266" s="43">
        <v>20</v>
      </c>
      <c r="F266" s="43">
        <v>20</v>
      </c>
      <c r="G266" s="43">
        <v>28</v>
      </c>
      <c r="H266" s="43">
        <v>40</v>
      </c>
      <c r="I266" s="43">
        <v>10</v>
      </c>
      <c r="J266" s="43">
        <v>21449</v>
      </c>
      <c r="K266" s="43">
        <f>SUM(L266:L268)</f>
        <v>6</v>
      </c>
      <c r="L266" s="43">
        <v>2</v>
      </c>
      <c r="M266" s="43"/>
      <c r="N266" s="43">
        <v>4</v>
      </c>
      <c r="O266" s="43">
        <v>3</v>
      </c>
      <c r="P266" s="43">
        <v>7</v>
      </c>
      <c r="Q266" s="43">
        <v>6</v>
      </c>
      <c r="R266" s="43">
        <v>9</v>
      </c>
      <c r="S266" s="43">
        <v>9</v>
      </c>
      <c r="T266" s="43">
        <v>20</v>
      </c>
      <c r="U266" s="43">
        <v>3</v>
      </c>
      <c r="V266" s="41" t="s">
        <v>33</v>
      </c>
      <c r="W266" s="41" t="s">
        <v>34</v>
      </c>
      <c r="X266" s="41">
        <v>1</v>
      </c>
      <c r="Y266" s="41">
        <v>3</v>
      </c>
      <c r="Z266" s="41">
        <v>322</v>
      </c>
      <c r="AA266" s="44">
        <v>34</v>
      </c>
      <c r="AB266" s="44">
        <v>34</v>
      </c>
      <c r="AC266" s="43">
        <v>45</v>
      </c>
      <c r="AD266" s="43">
        <v>30</v>
      </c>
      <c r="AE266" s="43">
        <v>45</v>
      </c>
    </row>
    <row r="267" spans="1:337" x14ac:dyDescent="0.35">
      <c r="A267" s="32" t="s">
        <v>31</v>
      </c>
      <c r="B267" s="32" t="s">
        <v>35</v>
      </c>
      <c r="C267" s="33">
        <v>46188</v>
      </c>
      <c r="D267" s="34">
        <v>13</v>
      </c>
      <c r="E267" s="34">
        <v>24</v>
      </c>
      <c r="F267" s="34">
        <v>25</v>
      </c>
      <c r="G267" s="141"/>
      <c r="H267" s="141"/>
      <c r="I267" s="141"/>
      <c r="J267" s="141"/>
      <c r="K267" s="141"/>
      <c r="L267" s="34">
        <v>2</v>
      </c>
      <c r="M267" s="34">
        <v>5</v>
      </c>
      <c r="N267" s="34">
        <v>4</v>
      </c>
      <c r="O267" s="34">
        <v>4</v>
      </c>
      <c r="P267" s="32">
        <v>7</v>
      </c>
      <c r="Q267" s="32">
        <v>7</v>
      </c>
      <c r="R267" s="32">
        <v>8</v>
      </c>
      <c r="S267" s="32">
        <v>6</v>
      </c>
      <c r="T267" s="143"/>
      <c r="U267" s="143"/>
      <c r="V267" s="32" t="s">
        <v>36</v>
      </c>
      <c r="W267" s="32" t="s">
        <v>37</v>
      </c>
      <c r="X267" s="32">
        <v>1</v>
      </c>
      <c r="Y267" s="143"/>
      <c r="Z267" s="143"/>
      <c r="AA267" s="145"/>
      <c r="AB267" s="145"/>
      <c r="AC267" s="141"/>
      <c r="AD267" s="141"/>
      <c r="AE267" s="141"/>
    </row>
    <row r="268" spans="1:337" ht="15" thickBot="1" x14ac:dyDescent="0.4">
      <c r="A268" s="45" t="s">
        <v>31</v>
      </c>
      <c r="B268" s="45" t="s">
        <v>38</v>
      </c>
      <c r="C268" s="46">
        <v>46188</v>
      </c>
      <c r="D268" s="47"/>
      <c r="E268" s="47"/>
      <c r="F268" s="47"/>
      <c r="G268" s="142"/>
      <c r="H268" s="142"/>
      <c r="I268" s="142"/>
      <c r="J268" s="142"/>
      <c r="K268" s="142"/>
      <c r="L268" s="47">
        <v>2</v>
      </c>
      <c r="M268" s="47"/>
      <c r="N268" s="47"/>
      <c r="O268" s="47"/>
      <c r="P268" s="47"/>
      <c r="Q268" s="47"/>
      <c r="R268" s="47"/>
      <c r="S268" s="47"/>
      <c r="T268" s="144"/>
      <c r="U268" s="144"/>
      <c r="V268" s="45"/>
      <c r="W268" s="45"/>
      <c r="X268" s="47"/>
      <c r="Y268" s="144"/>
      <c r="Z268" s="144"/>
      <c r="AA268" s="146"/>
      <c r="AB268" s="146"/>
      <c r="AC268" s="142"/>
      <c r="AD268" s="142"/>
      <c r="AE268" s="142"/>
    </row>
    <row r="269" spans="1:337" s="53" customFormat="1" ht="15" thickBot="1" x14ac:dyDescent="0.4">
      <c r="A269" s="49"/>
      <c r="B269" s="49"/>
      <c r="C269" s="50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49"/>
      <c r="U269" s="49"/>
      <c r="V269" s="49"/>
      <c r="W269" s="49"/>
      <c r="X269" s="51"/>
      <c r="Y269" s="49"/>
      <c r="Z269" s="49"/>
      <c r="AA269" s="52"/>
      <c r="AB269" s="52"/>
      <c r="AC269" s="51"/>
      <c r="AD269" s="51"/>
      <c r="AE269" s="51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/>
      <c r="KN269"/>
      <c r="KO269"/>
      <c r="KP269"/>
      <c r="KQ269"/>
      <c r="KR269"/>
      <c r="KS269"/>
      <c r="KT269"/>
      <c r="KU269"/>
      <c r="KV269"/>
      <c r="KW269"/>
      <c r="KX269"/>
      <c r="KY269"/>
      <c r="KZ269"/>
      <c r="LA269"/>
      <c r="LB269"/>
      <c r="LC269"/>
      <c r="LD269"/>
      <c r="LE269"/>
      <c r="LF269"/>
      <c r="LG269"/>
      <c r="LH269"/>
      <c r="LI269"/>
      <c r="LJ269"/>
      <c r="LK269"/>
      <c r="LL269"/>
      <c r="LM269"/>
      <c r="LN269"/>
      <c r="LO269"/>
      <c r="LP269"/>
      <c r="LQ269"/>
      <c r="LR269"/>
      <c r="LS269"/>
      <c r="LT269"/>
      <c r="LU269"/>
      <c r="LV269"/>
      <c r="LW269"/>
      <c r="LX269"/>
      <c r="LY269"/>
    </row>
    <row r="270" spans="1:337" x14ac:dyDescent="0.35">
      <c r="A270" s="41" t="s">
        <v>31</v>
      </c>
      <c r="B270" s="41" t="s">
        <v>32</v>
      </c>
      <c r="C270" s="42">
        <v>46189</v>
      </c>
      <c r="D270" s="43">
        <v>0</v>
      </c>
      <c r="E270" s="43">
        <v>20</v>
      </c>
      <c r="F270" s="43">
        <v>20</v>
      </c>
      <c r="G270" s="43">
        <v>28</v>
      </c>
      <c r="H270" s="43">
        <v>40</v>
      </c>
      <c r="I270" s="43">
        <v>10</v>
      </c>
      <c r="J270" s="43">
        <v>21449</v>
      </c>
      <c r="K270" s="43">
        <f>SUM(L270:L272)</f>
        <v>6</v>
      </c>
      <c r="L270" s="43">
        <v>2</v>
      </c>
      <c r="M270" s="43"/>
      <c r="N270" s="43">
        <v>4</v>
      </c>
      <c r="O270" s="43">
        <v>3</v>
      </c>
      <c r="P270" s="43">
        <v>7</v>
      </c>
      <c r="Q270" s="43">
        <v>6</v>
      </c>
      <c r="R270" s="43">
        <v>9</v>
      </c>
      <c r="S270" s="43">
        <v>9</v>
      </c>
      <c r="T270" s="43">
        <v>25</v>
      </c>
      <c r="U270" s="43">
        <v>4</v>
      </c>
      <c r="V270" s="41" t="s">
        <v>33</v>
      </c>
      <c r="W270" s="41" t="s">
        <v>34</v>
      </c>
      <c r="X270" s="41">
        <v>1</v>
      </c>
      <c r="Y270" s="41">
        <v>3</v>
      </c>
      <c r="Z270" s="41">
        <v>322</v>
      </c>
      <c r="AA270" s="44">
        <v>34</v>
      </c>
      <c r="AB270" s="44">
        <v>34</v>
      </c>
      <c r="AC270" s="43">
        <v>45</v>
      </c>
      <c r="AD270" s="43">
        <v>30</v>
      </c>
      <c r="AE270" s="43">
        <v>45</v>
      </c>
    </row>
    <row r="271" spans="1:337" x14ac:dyDescent="0.35">
      <c r="A271" s="32" t="s">
        <v>31</v>
      </c>
      <c r="B271" s="32" t="s">
        <v>35</v>
      </c>
      <c r="C271" s="33">
        <v>46189</v>
      </c>
      <c r="D271" s="34">
        <v>13</v>
      </c>
      <c r="E271" s="34">
        <v>24</v>
      </c>
      <c r="F271" s="34">
        <v>25</v>
      </c>
      <c r="G271" s="141"/>
      <c r="H271" s="141"/>
      <c r="I271" s="141"/>
      <c r="J271" s="141"/>
      <c r="K271" s="141"/>
      <c r="L271" s="34">
        <v>2</v>
      </c>
      <c r="M271" s="34">
        <v>5</v>
      </c>
      <c r="N271" s="34">
        <v>4</v>
      </c>
      <c r="O271" s="34">
        <v>4</v>
      </c>
      <c r="P271" s="32">
        <v>7</v>
      </c>
      <c r="Q271" s="32">
        <v>7</v>
      </c>
      <c r="R271" s="32">
        <v>8</v>
      </c>
      <c r="S271" s="32">
        <v>6</v>
      </c>
      <c r="T271" s="143"/>
      <c r="U271" s="143"/>
      <c r="V271" s="32" t="s">
        <v>36</v>
      </c>
      <c r="W271" s="32" t="s">
        <v>37</v>
      </c>
      <c r="X271" s="32">
        <v>1</v>
      </c>
      <c r="Y271" s="143"/>
      <c r="Z271" s="143"/>
      <c r="AA271" s="145"/>
      <c r="AB271" s="145"/>
      <c r="AC271" s="141"/>
      <c r="AD271" s="141"/>
      <c r="AE271" s="141"/>
    </row>
    <row r="272" spans="1:337" ht="15" thickBot="1" x14ac:dyDescent="0.4">
      <c r="A272" s="45" t="s">
        <v>31</v>
      </c>
      <c r="B272" s="45" t="s">
        <v>38</v>
      </c>
      <c r="C272" s="46">
        <v>46189</v>
      </c>
      <c r="D272" s="47"/>
      <c r="E272" s="47"/>
      <c r="F272" s="47"/>
      <c r="G272" s="142"/>
      <c r="H272" s="142"/>
      <c r="I272" s="142"/>
      <c r="J272" s="142"/>
      <c r="K272" s="142"/>
      <c r="L272" s="47">
        <v>2</v>
      </c>
      <c r="M272" s="47"/>
      <c r="N272" s="47"/>
      <c r="O272" s="47"/>
      <c r="P272" s="47"/>
      <c r="Q272" s="47"/>
      <c r="R272" s="47"/>
      <c r="S272" s="47"/>
      <c r="T272" s="144"/>
      <c r="U272" s="144"/>
      <c r="V272" s="45"/>
      <c r="W272" s="45"/>
      <c r="X272" s="47"/>
      <c r="Y272" s="144"/>
      <c r="Z272" s="144"/>
      <c r="AA272" s="146"/>
      <c r="AB272" s="146"/>
      <c r="AC272" s="142"/>
      <c r="AD272" s="142"/>
      <c r="AE272" s="142"/>
    </row>
    <row r="273" spans="1:337" s="53" customFormat="1" ht="15" thickBot="1" x14ac:dyDescent="0.4">
      <c r="A273" s="49"/>
      <c r="B273" s="49"/>
      <c r="C273" s="50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49"/>
      <c r="U273" s="49"/>
      <c r="V273" s="49"/>
      <c r="W273" s="49"/>
      <c r="X273" s="51"/>
      <c r="Y273" s="49"/>
      <c r="Z273" s="49"/>
      <c r="AA273" s="52"/>
      <c r="AB273" s="52"/>
      <c r="AC273" s="51"/>
      <c r="AD273" s="51"/>
      <c r="AE273" s="51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/>
      <c r="KP273"/>
      <c r="KQ273"/>
      <c r="KR273"/>
      <c r="KS273"/>
      <c r="KT273"/>
      <c r="KU273"/>
      <c r="KV273"/>
      <c r="KW273"/>
      <c r="KX273"/>
      <c r="KY273"/>
      <c r="KZ273"/>
      <c r="LA273"/>
      <c r="LB273"/>
      <c r="LC273"/>
      <c r="LD273"/>
      <c r="LE273"/>
      <c r="LF273"/>
      <c r="LG273"/>
      <c r="LH273"/>
      <c r="LI273"/>
      <c r="LJ273"/>
      <c r="LK273"/>
      <c r="LL273"/>
      <c r="LM273"/>
      <c r="LN273"/>
      <c r="LO273"/>
      <c r="LP273"/>
      <c r="LQ273"/>
      <c r="LR273"/>
      <c r="LS273"/>
      <c r="LT273"/>
      <c r="LU273"/>
      <c r="LV273"/>
      <c r="LW273"/>
      <c r="LX273"/>
      <c r="LY273"/>
    </row>
    <row r="274" spans="1:337" x14ac:dyDescent="0.35">
      <c r="A274" s="41" t="s">
        <v>31</v>
      </c>
      <c r="B274" s="41" t="s">
        <v>32</v>
      </c>
      <c r="C274" s="42">
        <v>46190</v>
      </c>
      <c r="D274" s="43">
        <v>0</v>
      </c>
      <c r="E274" s="43">
        <v>20</v>
      </c>
      <c r="F274" s="43">
        <v>20</v>
      </c>
      <c r="G274" s="43">
        <v>28</v>
      </c>
      <c r="H274" s="43">
        <v>40</v>
      </c>
      <c r="I274" s="43">
        <v>10</v>
      </c>
      <c r="J274" s="43">
        <v>21449</v>
      </c>
      <c r="K274" s="43">
        <f>SUM(L274:L276)</f>
        <v>6</v>
      </c>
      <c r="L274" s="43">
        <v>2</v>
      </c>
      <c r="M274" s="43"/>
      <c r="N274" s="43">
        <v>4</v>
      </c>
      <c r="O274" s="43">
        <v>3</v>
      </c>
      <c r="P274" s="43">
        <v>7</v>
      </c>
      <c r="Q274" s="43">
        <v>6</v>
      </c>
      <c r="R274" s="43">
        <v>9</v>
      </c>
      <c r="S274" s="43">
        <v>9</v>
      </c>
      <c r="T274" s="43">
        <v>25</v>
      </c>
      <c r="U274" s="43">
        <v>4</v>
      </c>
      <c r="V274" s="41" t="s">
        <v>33</v>
      </c>
      <c r="W274" s="41" t="s">
        <v>34</v>
      </c>
      <c r="X274" s="41">
        <v>1</v>
      </c>
      <c r="Y274" s="41">
        <v>3</v>
      </c>
      <c r="Z274" s="41">
        <v>322</v>
      </c>
      <c r="AA274" s="44">
        <v>34</v>
      </c>
      <c r="AB274" s="44">
        <v>34</v>
      </c>
      <c r="AC274" s="43">
        <v>45</v>
      </c>
      <c r="AD274" s="43">
        <v>30</v>
      </c>
      <c r="AE274" s="43">
        <v>45</v>
      </c>
    </row>
    <row r="275" spans="1:337" x14ac:dyDescent="0.35">
      <c r="A275" s="32" t="s">
        <v>31</v>
      </c>
      <c r="B275" s="32" t="s">
        <v>35</v>
      </c>
      <c r="C275" s="33">
        <v>46190</v>
      </c>
      <c r="D275" s="34">
        <v>13</v>
      </c>
      <c r="E275" s="34">
        <v>24</v>
      </c>
      <c r="F275" s="34">
        <v>25</v>
      </c>
      <c r="G275" s="141"/>
      <c r="H275" s="141"/>
      <c r="I275" s="141"/>
      <c r="J275" s="141"/>
      <c r="K275" s="141"/>
      <c r="L275" s="34">
        <v>2</v>
      </c>
      <c r="M275" s="34">
        <v>5</v>
      </c>
      <c r="N275" s="34">
        <v>4</v>
      </c>
      <c r="O275" s="34">
        <v>4</v>
      </c>
      <c r="P275" s="32">
        <v>7</v>
      </c>
      <c r="Q275" s="32">
        <v>7</v>
      </c>
      <c r="R275" s="32">
        <v>8</v>
      </c>
      <c r="S275" s="32">
        <v>6</v>
      </c>
      <c r="T275" s="143"/>
      <c r="U275" s="143"/>
      <c r="V275" s="32" t="s">
        <v>36</v>
      </c>
      <c r="W275" s="32" t="s">
        <v>37</v>
      </c>
      <c r="X275" s="32">
        <v>1</v>
      </c>
      <c r="Y275" s="143"/>
      <c r="Z275" s="143"/>
      <c r="AA275" s="145"/>
      <c r="AB275" s="145"/>
      <c r="AC275" s="141"/>
      <c r="AD275" s="141"/>
      <c r="AE275" s="141"/>
    </row>
    <row r="276" spans="1:337" ht="15" thickBot="1" x14ac:dyDescent="0.4">
      <c r="A276" s="45" t="s">
        <v>31</v>
      </c>
      <c r="B276" s="45" t="s">
        <v>38</v>
      </c>
      <c r="C276" s="46">
        <v>46190</v>
      </c>
      <c r="D276" s="47"/>
      <c r="E276" s="47"/>
      <c r="F276" s="47"/>
      <c r="G276" s="142"/>
      <c r="H276" s="142"/>
      <c r="I276" s="142"/>
      <c r="J276" s="142"/>
      <c r="K276" s="142"/>
      <c r="L276" s="47">
        <v>2</v>
      </c>
      <c r="M276" s="47"/>
      <c r="N276" s="47"/>
      <c r="O276" s="47"/>
      <c r="P276" s="47"/>
      <c r="Q276" s="47"/>
      <c r="R276" s="47"/>
      <c r="S276" s="47"/>
      <c r="T276" s="144"/>
      <c r="U276" s="144"/>
      <c r="V276" s="45"/>
      <c r="W276" s="45"/>
      <c r="X276" s="47"/>
      <c r="Y276" s="144"/>
      <c r="Z276" s="144"/>
      <c r="AA276" s="146"/>
      <c r="AB276" s="146"/>
      <c r="AC276" s="142"/>
      <c r="AD276" s="142"/>
      <c r="AE276" s="142"/>
    </row>
    <row r="277" spans="1:337" s="53" customFormat="1" ht="15" thickBot="1" x14ac:dyDescent="0.4">
      <c r="A277" s="49"/>
      <c r="B277" s="49"/>
      <c r="C277" s="50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49"/>
      <c r="U277" s="49"/>
      <c r="V277" s="49"/>
      <c r="W277" s="49"/>
      <c r="X277" s="51"/>
      <c r="Y277" s="49"/>
      <c r="Z277" s="49"/>
      <c r="AA277" s="52"/>
      <c r="AB277" s="52"/>
      <c r="AC277" s="51"/>
      <c r="AD277" s="51"/>
      <c r="AE277" s="51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/>
      <c r="KJ277"/>
      <c r="KK277"/>
      <c r="KL277"/>
      <c r="KM277"/>
      <c r="KN277"/>
      <c r="KO277"/>
      <c r="KP277"/>
      <c r="KQ277"/>
      <c r="KR277"/>
      <c r="KS277"/>
      <c r="KT277"/>
      <c r="KU277"/>
      <c r="KV277"/>
      <c r="KW277"/>
      <c r="KX277"/>
      <c r="KY277"/>
      <c r="KZ277"/>
      <c r="LA277"/>
      <c r="LB277"/>
      <c r="LC277"/>
      <c r="LD277"/>
      <c r="LE277"/>
      <c r="LF277"/>
      <c r="LG277"/>
      <c r="LH277"/>
      <c r="LI277"/>
      <c r="LJ277"/>
      <c r="LK277"/>
      <c r="LL277"/>
      <c r="LM277"/>
      <c r="LN277"/>
      <c r="LO277"/>
      <c r="LP277"/>
      <c r="LQ277"/>
      <c r="LR277"/>
      <c r="LS277"/>
      <c r="LT277"/>
      <c r="LU277"/>
      <c r="LV277"/>
      <c r="LW277"/>
      <c r="LX277"/>
      <c r="LY277"/>
    </row>
    <row r="278" spans="1:337" x14ac:dyDescent="0.35">
      <c r="A278" s="41" t="s">
        <v>31</v>
      </c>
      <c r="B278" s="41" t="s">
        <v>32</v>
      </c>
      <c r="C278" s="42">
        <v>46191</v>
      </c>
      <c r="D278" s="43">
        <v>0</v>
      </c>
      <c r="E278" s="43">
        <v>20</v>
      </c>
      <c r="F278" s="43">
        <v>20</v>
      </c>
      <c r="G278" s="43">
        <v>28</v>
      </c>
      <c r="H278" s="43">
        <v>40</v>
      </c>
      <c r="I278" s="43">
        <v>10</v>
      </c>
      <c r="J278" s="43">
        <v>21449</v>
      </c>
      <c r="K278" s="43">
        <f>SUM(L278:L280)</f>
        <v>6</v>
      </c>
      <c r="L278" s="43">
        <v>2</v>
      </c>
      <c r="M278" s="43"/>
      <c r="N278" s="43">
        <v>4</v>
      </c>
      <c r="O278" s="43">
        <v>3</v>
      </c>
      <c r="P278" s="43">
        <v>7</v>
      </c>
      <c r="Q278" s="43">
        <v>6</v>
      </c>
      <c r="R278" s="43">
        <v>9</v>
      </c>
      <c r="S278" s="43">
        <v>9</v>
      </c>
      <c r="T278" s="43">
        <v>25</v>
      </c>
      <c r="U278" s="43">
        <v>4</v>
      </c>
      <c r="V278" s="41" t="s">
        <v>33</v>
      </c>
      <c r="W278" s="41" t="s">
        <v>34</v>
      </c>
      <c r="X278" s="41">
        <v>1</v>
      </c>
      <c r="Y278" s="41">
        <v>3</v>
      </c>
      <c r="Z278" s="41">
        <v>322</v>
      </c>
      <c r="AA278" s="44">
        <v>34</v>
      </c>
      <c r="AB278" s="44">
        <v>34</v>
      </c>
      <c r="AC278" s="43">
        <v>45</v>
      </c>
      <c r="AD278" s="43">
        <v>30</v>
      </c>
      <c r="AE278" s="43">
        <v>45</v>
      </c>
    </row>
    <row r="279" spans="1:337" x14ac:dyDescent="0.35">
      <c r="A279" s="32" t="s">
        <v>31</v>
      </c>
      <c r="B279" s="32" t="s">
        <v>35</v>
      </c>
      <c r="C279" s="33">
        <v>46191</v>
      </c>
      <c r="D279" s="34">
        <v>13</v>
      </c>
      <c r="E279" s="34">
        <v>24</v>
      </c>
      <c r="F279" s="34">
        <v>25</v>
      </c>
      <c r="G279" s="141"/>
      <c r="H279" s="141"/>
      <c r="I279" s="141"/>
      <c r="J279" s="141"/>
      <c r="K279" s="141"/>
      <c r="L279" s="34">
        <v>2</v>
      </c>
      <c r="M279" s="34">
        <v>5</v>
      </c>
      <c r="N279" s="34">
        <v>4</v>
      </c>
      <c r="O279" s="34">
        <v>4</v>
      </c>
      <c r="P279" s="32">
        <v>7</v>
      </c>
      <c r="Q279" s="32">
        <v>7</v>
      </c>
      <c r="R279" s="32">
        <v>8</v>
      </c>
      <c r="S279" s="32">
        <v>6</v>
      </c>
      <c r="T279" s="143"/>
      <c r="U279" s="143"/>
      <c r="V279" s="32" t="s">
        <v>36</v>
      </c>
      <c r="W279" s="32" t="s">
        <v>37</v>
      </c>
      <c r="X279" s="32">
        <v>1</v>
      </c>
      <c r="Y279" s="143"/>
      <c r="Z279" s="143"/>
      <c r="AA279" s="145"/>
      <c r="AB279" s="145"/>
      <c r="AC279" s="141"/>
      <c r="AD279" s="141"/>
      <c r="AE279" s="141"/>
    </row>
    <row r="280" spans="1:337" ht="15" thickBot="1" x14ac:dyDescent="0.4">
      <c r="A280" s="45" t="s">
        <v>31</v>
      </c>
      <c r="B280" s="45" t="s">
        <v>38</v>
      </c>
      <c r="C280" s="46">
        <v>46191</v>
      </c>
      <c r="D280" s="47"/>
      <c r="E280" s="47"/>
      <c r="F280" s="47"/>
      <c r="G280" s="142"/>
      <c r="H280" s="142"/>
      <c r="I280" s="142"/>
      <c r="J280" s="142"/>
      <c r="K280" s="142"/>
      <c r="L280" s="47">
        <v>2</v>
      </c>
      <c r="M280" s="47"/>
      <c r="N280" s="47"/>
      <c r="O280" s="47"/>
      <c r="P280" s="47"/>
      <c r="Q280" s="47"/>
      <c r="R280" s="47"/>
      <c r="S280" s="47"/>
      <c r="T280" s="144"/>
      <c r="U280" s="144"/>
      <c r="V280" s="45"/>
      <c r="W280" s="45"/>
      <c r="X280" s="47"/>
      <c r="Y280" s="144"/>
      <c r="Z280" s="144"/>
      <c r="AA280" s="146"/>
      <c r="AB280" s="146"/>
      <c r="AC280" s="142"/>
      <c r="AD280" s="142"/>
      <c r="AE280" s="142"/>
    </row>
    <row r="281" spans="1:337" s="53" customFormat="1" ht="15" thickBot="1" x14ac:dyDescent="0.4">
      <c r="A281" s="49"/>
      <c r="B281" s="49"/>
      <c r="C281" s="50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49"/>
      <c r="U281" s="49"/>
      <c r="V281" s="49"/>
      <c r="W281" s="49"/>
      <c r="X281" s="51"/>
      <c r="Y281" s="49"/>
      <c r="Z281" s="49"/>
      <c r="AA281" s="52"/>
      <c r="AB281" s="52"/>
      <c r="AC281" s="51"/>
      <c r="AD281" s="51"/>
      <c r="AE281" s="5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/>
      <c r="KO281"/>
      <c r="KP281"/>
      <c r="KQ281"/>
      <c r="KR281"/>
      <c r="KS281"/>
      <c r="KT281"/>
      <c r="KU281"/>
      <c r="KV281"/>
      <c r="KW281"/>
      <c r="KX281"/>
      <c r="KY281"/>
      <c r="KZ281"/>
      <c r="LA281"/>
      <c r="LB281"/>
      <c r="LC281"/>
      <c r="LD281"/>
      <c r="LE281"/>
      <c r="LF281"/>
      <c r="LG281"/>
      <c r="LH281"/>
      <c r="LI281"/>
      <c r="LJ281"/>
      <c r="LK281"/>
      <c r="LL281"/>
      <c r="LM281"/>
      <c r="LN281"/>
      <c r="LO281"/>
      <c r="LP281"/>
      <c r="LQ281"/>
      <c r="LR281"/>
      <c r="LS281"/>
      <c r="LT281"/>
      <c r="LU281"/>
      <c r="LV281"/>
      <c r="LW281"/>
      <c r="LX281"/>
      <c r="LY281"/>
    </row>
    <row r="282" spans="1:337" x14ac:dyDescent="0.35">
      <c r="A282" s="41" t="s">
        <v>31</v>
      </c>
      <c r="B282" s="41" t="s">
        <v>32</v>
      </c>
      <c r="C282" s="42">
        <v>46192</v>
      </c>
      <c r="D282" s="43">
        <v>0</v>
      </c>
      <c r="E282" s="43">
        <v>20</v>
      </c>
      <c r="F282" s="43">
        <v>20</v>
      </c>
      <c r="G282" s="43">
        <v>28</v>
      </c>
      <c r="H282" s="43">
        <v>40</v>
      </c>
      <c r="I282" s="43">
        <v>10</v>
      </c>
      <c r="J282" s="43">
        <v>21449</v>
      </c>
      <c r="K282" s="43">
        <f>SUM(L282:L284)</f>
        <v>6</v>
      </c>
      <c r="L282" s="43">
        <v>2</v>
      </c>
      <c r="M282" s="43"/>
      <c r="N282" s="43">
        <v>4</v>
      </c>
      <c r="O282" s="43">
        <v>3</v>
      </c>
      <c r="P282" s="43">
        <v>7</v>
      </c>
      <c r="Q282" s="43">
        <v>6</v>
      </c>
      <c r="R282" s="43">
        <v>9</v>
      </c>
      <c r="S282" s="43">
        <v>9</v>
      </c>
      <c r="T282" s="43">
        <v>25</v>
      </c>
      <c r="U282" s="43">
        <v>4</v>
      </c>
      <c r="V282" s="41" t="s">
        <v>33</v>
      </c>
      <c r="W282" s="41" t="s">
        <v>34</v>
      </c>
      <c r="X282" s="41">
        <v>1</v>
      </c>
      <c r="Y282" s="41">
        <v>3</v>
      </c>
      <c r="Z282" s="41">
        <v>322</v>
      </c>
      <c r="AA282" s="44">
        <v>34</v>
      </c>
      <c r="AB282" s="44">
        <v>34</v>
      </c>
      <c r="AC282" s="43">
        <v>45</v>
      </c>
      <c r="AD282" s="43">
        <v>30</v>
      </c>
      <c r="AE282" s="43">
        <v>45</v>
      </c>
    </row>
    <row r="283" spans="1:337" x14ac:dyDescent="0.35">
      <c r="A283" s="32" t="s">
        <v>31</v>
      </c>
      <c r="B283" s="32" t="s">
        <v>35</v>
      </c>
      <c r="C283" s="33">
        <v>46192</v>
      </c>
      <c r="D283" s="34">
        <v>13</v>
      </c>
      <c r="E283" s="34">
        <v>24</v>
      </c>
      <c r="F283" s="34">
        <v>25</v>
      </c>
      <c r="G283" s="141"/>
      <c r="H283" s="141"/>
      <c r="I283" s="141"/>
      <c r="J283" s="141"/>
      <c r="K283" s="141"/>
      <c r="L283" s="34">
        <v>2</v>
      </c>
      <c r="M283" s="34">
        <v>5</v>
      </c>
      <c r="N283" s="34">
        <v>4</v>
      </c>
      <c r="O283" s="34">
        <v>4</v>
      </c>
      <c r="P283" s="32">
        <v>7</v>
      </c>
      <c r="Q283" s="32">
        <v>7</v>
      </c>
      <c r="R283" s="32">
        <v>8</v>
      </c>
      <c r="S283" s="32">
        <v>6</v>
      </c>
      <c r="T283" s="143"/>
      <c r="U283" s="143"/>
      <c r="V283" s="32" t="s">
        <v>36</v>
      </c>
      <c r="W283" s="32" t="s">
        <v>37</v>
      </c>
      <c r="X283" s="32">
        <v>1</v>
      </c>
      <c r="Y283" s="143"/>
      <c r="Z283" s="143"/>
      <c r="AA283" s="145"/>
      <c r="AB283" s="145"/>
      <c r="AC283" s="141"/>
      <c r="AD283" s="141"/>
      <c r="AE283" s="141"/>
    </row>
    <row r="284" spans="1:337" ht="15" thickBot="1" x14ac:dyDescent="0.4">
      <c r="A284" s="45" t="s">
        <v>31</v>
      </c>
      <c r="B284" s="45" t="s">
        <v>38</v>
      </c>
      <c r="C284" s="46">
        <v>46192</v>
      </c>
      <c r="D284" s="47"/>
      <c r="E284" s="47"/>
      <c r="F284" s="47"/>
      <c r="G284" s="142"/>
      <c r="H284" s="142"/>
      <c r="I284" s="142"/>
      <c r="J284" s="142"/>
      <c r="K284" s="142"/>
      <c r="L284" s="47">
        <v>2</v>
      </c>
      <c r="M284" s="47"/>
      <c r="N284" s="47"/>
      <c r="O284" s="47"/>
      <c r="P284" s="47"/>
      <c r="Q284" s="47"/>
      <c r="R284" s="47"/>
      <c r="S284" s="47"/>
      <c r="T284" s="144"/>
      <c r="U284" s="144"/>
      <c r="V284" s="45"/>
      <c r="W284" s="45"/>
      <c r="X284" s="47"/>
      <c r="Y284" s="144"/>
      <c r="Z284" s="144"/>
      <c r="AA284" s="146"/>
      <c r="AB284" s="146"/>
      <c r="AC284" s="142"/>
      <c r="AD284" s="142"/>
      <c r="AE284" s="142"/>
    </row>
    <row r="285" spans="1:337" s="53" customFormat="1" ht="15" thickBot="1" x14ac:dyDescent="0.4">
      <c r="A285" s="49"/>
      <c r="B285" s="49"/>
      <c r="C285" s="50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49"/>
      <c r="U285" s="49"/>
      <c r="V285" s="49"/>
      <c r="W285" s="49"/>
      <c r="X285" s="51"/>
      <c r="Y285" s="49"/>
      <c r="Z285" s="49"/>
      <c r="AA285" s="52"/>
      <c r="AB285" s="52"/>
      <c r="AC285" s="51"/>
      <c r="AD285" s="51"/>
      <c r="AE285" s="51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/>
      <c r="KN285"/>
      <c r="KO285"/>
      <c r="KP285"/>
      <c r="KQ285"/>
      <c r="KR285"/>
      <c r="KS285"/>
      <c r="KT285"/>
      <c r="KU285"/>
      <c r="KV285"/>
      <c r="KW285"/>
      <c r="KX285"/>
      <c r="KY285"/>
      <c r="KZ285"/>
      <c r="LA285"/>
      <c r="LB285"/>
      <c r="LC285"/>
      <c r="LD285"/>
      <c r="LE285"/>
      <c r="LF285"/>
      <c r="LG285"/>
      <c r="LH285"/>
      <c r="LI285"/>
      <c r="LJ285"/>
      <c r="LK285"/>
      <c r="LL285"/>
      <c r="LM285"/>
      <c r="LN285"/>
      <c r="LO285"/>
      <c r="LP285"/>
      <c r="LQ285"/>
      <c r="LR285"/>
      <c r="LS285"/>
      <c r="LT285"/>
      <c r="LU285"/>
      <c r="LV285"/>
      <c r="LW285"/>
      <c r="LX285"/>
      <c r="LY285"/>
    </row>
    <row r="286" spans="1:337" x14ac:dyDescent="0.35">
      <c r="A286" s="41" t="s">
        <v>31</v>
      </c>
      <c r="B286" s="41" t="s">
        <v>32</v>
      </c>
      <c r="C286" s="42">
        <v>46195</v>
      </c>
      <c r="D286" s="43">
        <v>0</v>
      </c>
      <c r="E286" s="43">
        <v>20</v>
      </c>
      <c r="F286" s="43">
        <v>20</v>
      </c>
      <c r="G286" s="43">
        <v>28</v>
      </c>
      <c r="H286" s="43">
        <v>40</v>
      </c>
      <c r="I286" s="43">
        <v>10</v>
      </c>
      <c r="J286" s="43">
        <v>21449</v>
      </c>
      <c r="K286" s="43">
        <f>SUM(L286:L288)</f>
        <v>6</v>
      </c>
      <c r="L286" s="43">
        <v>2</v>
      </c>
      <c r="M286" s="43"/>
      <c r="N286" s="43">
        <v>4</v>
      </c>
      <c r="O286" s="43">
        <v>3</v>
      </c>
      <c r="P286" s="43">
        <v>7</v>
      </c>
      <c r="Q286" s="43">
        <v>6</v>
      </c>
      <c r="R286" s="43">
        <v>9</v>
      </c>
      <c r="S286" s="43">
        <v>9</v>
      </c>
      <c r="T286" s="43">
        <v>25</v>
      </c>
      <c r="U286" s="43">
        <v>4</v>
      </c>
      <c r="V286" s="41" t="s">
        <v>33</v>
      </c>
      <c r="W286" s="41" t="s">
        <v>34</v>
      </c>
      <c r="X286" s="41">
        <v>1</v>
      </c>
      <c r="Y286" s="41">
        <v>3</v>
      </c>
      <c r="Z286" s="41">
        <v>322</v>
      </c>
      <c r="AA286" s="44">
        <v>34</v>
      </c>
      <c r="AB286" s="44">
        <v>34</v>
      </c>
      <c r="AC286" s="43">
        <v>45</v>
      </c>
      <c r="AD286" s="43">
        <v>30</v>
      </c>
      <c r="AE286" s="43">
        <v>45</v>
      </c>
    </row>
    <row r="287" spans="1:337" x14ac:dyDescent="0.35">
      <c r="A287" s="32" t="s">
        <v>31</v>
      </c>
      <c r="B287" s="32" t="s">
        <v>35</v>
      </c>
      <c r="C287" s="33">
        <v>46195</v>
      </c>
      <c r="D287" s="34">
        <v>13</v>
      </c>
      <c r="E287" s="34">
        <v>24</v>
      </c>
      <c r="F287" s="34">
        <v>25</v>
      </c>
      <c r="G287" s="141"/>
      <c r="H287" s="141"/>
      <c r="I287" s="141"/>
      <c r="J287" s="141"/>
      <c r="K287" s="141"/>
      <c r="L287" s="34">
        <v>2</v>
      </c>
      <c r="M287" s="34">
        <v>5</v>
      </c>
      <c r="N287" s="34">
        <v>4</v>
      </c>
      <c r="O287" s="34">
        <v>4</v>
      </c>
      <c r="P287" s="32">
        <v>7</v>
      </c>
      <c r="Q287" s="32">
        <v>7</v>
      </c>
      <c r="R287" s="32">
        <v>8</v>
      </c>
      <c r="S287" s="32">
        <v>6</v>
      </c>
      <c r="T287" s="143"/>
      <c r="U287" s="143"/>
      <c r="V287" s="32" t="s">
        <v>36</v>
      </c>
      <c r="W287" s="32" t="s">
        <v>37</v>
      </c>
      <c r="X287" s="32">
        <v>1</v>
      </c>
      <c r="Y287" s="143"/>
      <c r="Z287" s="143"/>
      <c r="AA287" s="145"/>
      <c r="AB287" s="145"/>
      <c r="AC287" s="141"/>
      <c r="AD287" s="141"/>
      <c r="AE287" s="141"/>
    </row>
    <row r="288" spans="1:337" ht="15" thickBot="1" x14ac:dyDescent="0.4">
      <c r="A288" s="45" t="s">
        <v>31</v>
      </c>
      <c r="B288" s="45" t="s">
        <v>38</v>
      </c>
      <c r="C288" s="46">
        <v>46195</v>
      </c>
      <c r="D288" s="47"/>
      <c r="E288" s="47"/>
      <c r="F288" s="47"/>
      <c r="G288" s="142"/>
      <c r="H288" s="142"/>
      <c r="I288" s="142"/>
      <c r="J288" s="142"/>
      <c r="K288" s="142"/>
      <c r="L288" s="47">
        <v>2</v>
      </c>
      <c r="M288" s="47"/>
      <c r="N288" s="47"/>
      <c r="O288" s="47"/>
      <c r="P288" s="47"/>
      <c r="Q288" s="47"/>
      <c r="R288" s="47"/>
      <c r="S288" s="47"/>
      <c r="T288" s="144"/>
      <c r="U288" s="144"/>
      <c r="V288" s="45"/>
      <c r="W288" s="45"/>
      <c r="X288" s="47"/>
      <c r="Y288" s="144"/>
      <c r="Z288" s="144"/>
      <c r="AA288" s="146"/>
      <c r="AB288" s="146"/>
      <c r="AC288" s="142"/>
      <c r="AD288" s="142"/>
      <c r="AE288" s="142"/>
    </row>
    <row r="289" spans="1:337" s="53" customFormat="1" ht="15" thickBot="1" x14ac:dyDescent="0.4">
      <c r="A289" s="49"/>
      <c r="B289" s="49"/>
      <c r="C289" s="50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49"/>
      <c r="U289" s="49"/>
      <c r="V289" s="49"/>
      <c r="W289" s="49"/>
      <c r="X289" s="51"/>
      <c r="Y289" s="49"/>
      <c r="Z289" s="49"/>
      <c r="AA289" s="52"/>
      <c r="AB289" s="52"/>
      <c r="AC289" s="51"/>
      <c r="AD289" s="51"/>
      <c r="AE289" s="51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  <c r="KI289"/>
      <c r="KJ289"/>
      <c r="KK289"/>
      <c r="KL289"/>
      <c r="KM289"/>
      <c r="KN289"/>
      <c r="KO289"/>
      <c r="KP289"/>
      <c r="KQ289"/>
      <c r="KR289"/>
      <c r="KS289"/>
      <c r="KT289"/>
      <c r="KU289"/>
      <c r="KV289"/>
      <c r="KW289"/>
      <c r="KX289"/>
      <c r="KY289"/>
      <c r="KZ289"/>
      <c r="LA289"/>
      <c r="LB289"/>
      <c r="LC289"/>
      <c r="LD289"/>
      <c r="LE289"/>
      <c r="LF289"/>
      <c r="LG289"/>
      <c r="LH289"/>
      <c r="LI289"/>
      <c r="LJ289"/>
      <c r="LK289"/>
      <c r="LL289"/>
      <c r="LM289"/>
      <c r="LN289"/>
      <c r="LO289"/>
      <c r="LP289"/>
      <c r="LQ289"/>
      <c r="LR289"/>
      <c r="LS289"/>
      <c r="LT289"/>
      <c r="LU289"/>
      <c r="LV289"/>
      <c r="LW289"/>
      <c r="LX289"/>
      <c r="LY289"/>
    </row>
    <row r="290" spans="1:337" x14ac:dyDescent="0.35">
      <c r="A290" s="41" t="s">
        <v>31</v>
      </c>
      <c r="B290" s="41" t="s">
        <v>32</v>
      </c>
      <c r="C290" s="42">
        <v>46196</v>
      </c>
      <c r="D290" s="43">
        <v>0</v>
      </c>
      <c r="E290" s="43">
        <v>20</v>
      </c>
      <c r="F290" s="43">
        <v>20</v>
      </c>
      <c r="G290" s="43">
        <v>28</v>
      </c>
      <c r="H290" s="43">
        <v>40</v>
      </c>
      <c r="I290" s="43">
        <v>10</v>
      </c>
      <c r="J290" s="43">
        <v>21449</v>
      </c>
      <c r="K290" s="43">
        <f>SUM(L290:L292)</f>
        <v>6</v>
      </c>
      <c r="L290" s="43">
        <v>2</v>
      </c>
      <c r="M290" s="43"/>
      <c r="N290" s="43">
        <v>4</v>
      </c>
      <c r="O290" s="43">
        <v>3</v>
      </c>
      <c r="P290" s="43">
        <v>7</v>
      </c>
      <c r="Q290" s="43">
        <v>6</v>
      </c>
      <c r="R290" s="43">
        <v>9</v>
      </c>
      <c r="S290" s="43">
        <v>9</v>
      </c>
      <c r="T290" s="43">
        <v>20</v>
      </c>
      <c r="U290" s="43">
        <v>3</v>
      </c>
      <c r="V290" s="41" t="s">
        <v>33</v>
      </c>
      <c r="W290" s="41" t="s">
        <v>34</v>
      </c>
      <c r="X290" s="41">
        <v>1</v>
      </c>
      <c r="Y290" s="41">
        <v>3</v>
      </c>
      <c r="Z290" s="41">
        <v>322</v>
      </c>
      <c r="AA290" s="44">
        <v>34</v>
      </c>
      <c r="AB290" s="44">
        <v>34</v>
      </c>
      <c r="AC290" s="43">
        <v>45</v>
      </c>
      <c r="AD290" s="43">
        <v>30</v>
      </c>
      <c r="AE290" s="43">
        <v>45</v>
      </c>
    </row>
    <row r="291" spans="1:337" x14ac:dyDescent="0.35">
      <c r="A291" s="32" t="s">
        <v>31</v>
      </c>
      <c r="B291" s="32" t="s">
        <v>35</v>
      </c>
      <c r="C291" s="33">
        <v>46196</v>
      </c>
      <c r="D291" s="34">
        <v>13</v>
      </c>
      <c r="E291" s="34">
        <v>24</v>
      </c>
      <c r="F291" s="34">
        <v>25</v>
      </c>
      <c r="G291" s="141"/>
      <c r="H291" s="141"/>
      <c r="I291" s="141"/>
      <c r="J291" s="141"/>
      <c r="K291" s="141"/>
      <c r="L291" s="34">
        <v>2</v>
      </c>
      <c r="M291" s="34">
        <v>5</v>
      </c>
      <c r="N291" s="34">
        <v>4</v>
      </c>
      <c r="O291" s="34">
        <v>4</v>
      </c>
      <c r="P291" s="32">
        <v>7</v>
      </c>
      <c r="Q291" s="32">
        <v>7</v>
      </c>
      <c r="R291" s="32">
        <v>8</v>
      </c>
      <c r="S291" s="32">
        <v>6</v>
      </c>
      <c r="T291" s="143"/>
      <c r="U291" s="143"/>
      <c r="V291" s="32" t="s">
        <v>36</v>
      </c>
      <c r="W291" s="32" t="s">
        <v>37</v>
      </c>
      <c r="X291" s="32">
        <v>1</v>
      </c>
      <c r="Y291" s="143"/>
      <c r="Z291" s="143"/>
      <c r="AA291" s="145"/>
      <c r="AB291" s="145"/>
      <c r="AC291" s="141"/>
      <c r="AD291" s="141"/>
      <c r="AE291" s="141"/>
    </row>
    <row r="292" spans="1:337" ht="15" thickBot="1" x14ac:dyDescent="0.4">
      <c r="A292" s="45" t="s">
        <v>31</v>
      </c>
      <c r="B292" s="45" t="s">
        <v>38</v>
      </c>
      <c r="C292" s="46">
        <v>46196</v>
      </c>
      <c r="D292" s="47"/>
      <c r="E292" s="47"/>
      <c r="F292" s="47"/>
      <c r="G292" s="142"/>
      <c r="H292" s="142"/>
      <c r="I292" s="142"/>
      <c r="J292" s="142"/>
      <c r="K292" s="142"/>
      <c r="L292" s="47">
        <v>2</v>
      </c>
      <c r="M292" s="47"/>
      <c r="N292" s="47"/>
      <c r="O292" s="47"/>
      <c r="P292" s="47"/>
      <c r="Q292" s="47"/>
      <c r="R292" s="47"/>
      <c r="S292" s="47"/>
      <c r="T292" s="144"/>
      <c r="U292" s="144"/>
      <c r="V292" s="45"/>
      <c r="W292" s="45"/>
      <c r="X292" s="47"/>
      <c r="Y292" s="144"/>
      <c r="Z292" s="144"/>
      <c r="AA292" s="146"/>
      <c r="AB292" s="146"/>
      <c r="AC292" s="142"/>
      <c r="AD292" s="142"/>
      <c r="AE292" s="142"/>
    </row>
    <row r="293" spans="1:337" s="53" customFormat="1" ht="15" thickBot="1" x14ac:dyDescent="0.4">
      <c r="A293" s="49"/>
      <c r="B293" s="49"/>
      <c r="C293" s="50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49"/>
      <c r="U293" s="49"/>
      <c r="V293" s="49"/>
      <c r="W293" s="49"/>
      <c r="X293" s="51"/>
      <c r="Y293" s="49"/>
      <c r="Z293" s="49"/>
      <c r="AA293" s="52"/>
      <c r="AB293" s="52"/>
      <c r="AC293" s="51"/>
      <c r="AD293" s="51"/>
      <c r="AE293" s="51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  <c r="KN293"/>
      <c r="KO293"/>
      <c r="KP293"/>
      <c r="KQ293"/>
      <c r="KR293"/>
      <c r="KS293"/>
      <c r="KT293"/>
      <c r="KU293"/>
      <c r="KV293"/>
      <c r="KW293"/>
      <c r="KX293"/>
      <c r="KY293"/>
      <c r="KZ293"/>
      <c r="LA293"/>
      <c r="LB293"/>
      <c r="LC293"/>
      <c r="LD293"/>
      <c r="LE293"/>
      <c r="LF293"/>
      <c r="LG293"/>
      <c r="LH293"/>
      <c r="LI293"/>
      <c r="LJ293"/>
      <c r="LK293"/>
      <c r="LL293"/>
      <c r="LM293"/>
      <c r="LN293"/>
      <c r="LO293"/>
      <c r="LP293"/>
      <c r="LQ293"/>
      <c r="LR293"/>
      <c r="LS293"/>
      <c r="LT293"/>
      <c r="LU293"/>
      <c r="LV293"/>
      <c r="LW293"/>
      <c r="LX293"/>
      <c r="LY293"/>
    </row>
    <row r="294" spans="1:337" x14ac:dyDescent="0.35">
      <c r="A294" s="41" t="s">
        <v>31</v>
      </c>
      <c r="B294" s="41" t="s">
        <v>32</v>
      </c>
      <c r="C294" s="42">
        <v>46197</v>
      </c>
      <c r="D294" s="43">
        <v>0</v>
      </c>
      <c r="E294" s="43">
        <v>20</v>
      </c>
      <c r="F294" s="43">
        <v>20</v>
      </c>
      <c r="G294" s="43">
        <v>28</v>
      </c>
      <c r="H294" s="43">
        <v>40</v>
      </c>
      <c r="I294" s="43">
        <v>10</v>
      </c>
      <c r="J294" s="43">
        <v>21449</v>
      </c>
      <c r="K294" s="43">
        <f>SUM(L294:L296)</f>
        <v>6</v>
      </c>
      <c r="L294" s="43">
        <v>2</v>
      </c>
      <c r="M294" s="43"/>
      <c r="N294" s="43">
        <v>4</v>
      </c>
      <c r="O294" s="43">
        <v>3</v>
      </c>
      <c r="P294" s="43">
        <v>7</v>
      </c>
      <c r="Q294" s="43">
        <v>6</v>
      </c>
      <c r="R294" s="43">
        <v>9</v>
      </c>
      <c r="S294" s="43">
        <v>9</v>
      </c>
      <c r="T294" s="43">
        <v>25</v>
      </c>
      <c r="U294" s="43">
        <v>4</v>
      </c>
      <c r="V294" s="41" t="s">
        <v>33</v>
      </c>
      <c r="W294" s="41" t="s">
        <v>34</v>
      </c>
      <c r="X294" s="41">
        <v>1</v>
      </c>
      <c r="Y294" s="41">
        <v>3</v>
      </c>
      <c r="Z294" s="41">
        <v>322</v>
      </c>
      <c r="AA294" s="44">
        <v>34</v>
      </c>
      <c r="AB294" s="44">
        <v>34</v>
      </c>
      <c r="AC294" s="43">
        <v>45</v>
      </c>
      <c r="AD294" s="43">
        <v>30</v>
      </c>
      <c r="AE294" s="43">
        <v>45</v>
      </c>
    </row>
    <row r="295" spans="1:337" x14ac:dyDescent="0.35">
      <c r="A295" s="32" t="s">
        <v>31</v>
      </c>
      <c r="B295" s="32" t="s">
        <v>35</v>
      </c>
      <c r="C295" s="33">
        <v>46197</v>
      </c>
      <c r="D295" s="34">
        <v>13</v>
      </c>
      <c r="E295" s="34">
        <v>24</v>
      </c>
      <c r="F295" s="34">
        <v>25</v>
      </c>
      <c r="G295" s="141"/>
      <c r="H295" s="141"/>
      <c r="I295" s="141"/>
      <c r="J295" s="141"/>
      <c r="K295" s="141"/>
      <c r="L295" s="34">
        <v>2</v>
      </c>
      <c r="M295" s="34">
        <v>5</v>
      </c>
      <c r="N295" s="34">
        <v>4</v>
      </c>
      <c r="O295" s="34">
        <v>4</v>
      </c>
      <c r="P295" s="32">
        <v>7</v>
      </c>
      <c r="Q295" s="32">
        <v>7</v>
      </c>
      <c r="R295" s="32">
        <v>8</v>
      </c>
      <c r="S295" s="32">
        <v>6</v>
      </c>
      <c r="T295" s="143"/>
      <c r="U295" s="143"/>
      <c r="V295" s="32" t="s">
        <v>36</v>
      </c>
      <c r="W295" s="32" t="s">
        <v>37</v>
      </c>
      <c r="X295" s="32">
        <v>1</v>
      </c>
      <c r="Y295" s="143"/>
      <c r="Z295" s="143"/>
      <c r="AA295" s="145"/>
      <c r="AB295" s="145"/>
      <c r="AC295" s="141"/>
      <c r="AD295" s="141"/>
      <c r="AE295" s="141"/>
    </row>
    <row r="296" spans="1:337" ht="15" thickBot="1" x14ac:dyDescent="0.4">
      <c r="A296" s="45" t="s">
        <v>31</v>
      </c>
      <c r="B296" s="45" t="s">
        <v>38</v>
      </c>
      <c r="C296" s="46">
        <v>46197</v>
      </c>
      <c r="D296" s="47"/>
      <c r="E296" s="47"/>
      <c r="F296" s="47"/>
      <c r="G296" s="142"/>
      <c r="H296" s="142"/>
      <c r="I296" s="142"/>
      <c r="J296" s="142"/>
      <c r="K296" s="142"/>
      <c r="L296" s="47">
        <v>2</v>
      </c>
      <c r="M296" s="47"/>
      <c r="N296" s="47"/>
      <c r="O296" s="47"/>
      <c r="P296" s="47"/>
      <c r="Q296" s="47"/>
      <c r="R296" s="47"/>
      <c r="S296" s="47"/>
      <c r="T296" s="144"/>
      <c r="U296" s="144"/>
      <c r="V296" s="45"/>
      <c r="W296" s="45"/>
      <c r="X296" s="47"/>
      <c r="Y296" s="144"/>
      <c r="Z296" s="144"/>
      <c r="AA296" s="146"/>
      <c r="AB296" s="146"/>
      <c r="AC296" s="142"/>
      <c r="AD296" s="142"/>
      <c r="AE296" s="142"/>
    </row>
    <row r="297" spans="1:337" s="53" customFormat="1" ht="15" thickBot="1" x14ac:dyDescent="0.4">
      <c r="A297" s="49"/>
      <c r="B297" s="49"/>
      <c r="C297" s="50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49"/>
      <c r="U297" s="49"/>
      <c r="V297" s="49"/>
      <c r="W297" s="49"/>
      <c r="X297" s="51"/>
      <c r="Y297" s="49"/>
      <c r="Z297" s="49"/>
      <c r="AA297" s="52"/>
      <c r="AB297" s="52"/>
      <c r="AC297" s="51"/>
      <c r="AD297" s="51"/>
      <c r="AE297" s="51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/>
      <c r="KN297"/>
      <c r="KO297"/>
      <c r="KP297"/>
      <c r="KQ297"/>
      <c r="KR297"/>
      <c r="KS297"/>
      <c r="KT297"/>
      <c r="KU297"/>
      <c r="KV297"/>
      <c r="KW297"/>
      <c r="KX297"/>
      <c r="KY297"/>
      <c r="KZ297"/>
      <c r="LA297"/>
      <c r="LB297"/>
      <c r="LC297"/>
      <c r="LD297"/>
      <c r="LE297"/>
      <c r="LF297"/>
      <c r="LG297"/>
      <c r="LH297"/>
      <c r="LI297"/>
      <c r="LJ297"/>
      <c r="LK297"/>
      <c r="LL297"/>
      <c r="LM297"/>
      <c r="LN297"/>
      <c r="LO297"/>
      <c r="LP297"/>
      <c r="LQ297"/>
      <c r="LR297"/>
      <c r="LS297"/>
      <c r="LT297"/>
      <c r="LU297"/>
      <c r="LV297"/>
      <c r="LW297"/>
      <c r="LX297"/>
      <c r="LY297"/>
    </row>
    <row r="298" spans="1:337" x14ac:dyDescent="0.35">
      <c r="A298" s="41" t="s">
        <v>31</v>
      </c>
      <c r="B298" s="41" t="s">
        <v>32</v>
      </c>
      <c r="C298" s="42">
        <v>46198</v>
      </c>
      <c r="D298" s="43">
        <v>0</v>
      </c>
      <c r="E298" s="43">
        <v>20</v>
      </c>
      <c r="F298" s="43">
        <v>20</v>
      </c>
      <c r="G298" s="43">
        <v>28</v>
      </c>
      <c r="H298" s="43">
        <v>40</v>
      </c>
      <c r="I298" s="43">
        <v>10</v>
      </c>
      <c r="J298" s="43">
        <v>21449</v>
      </c>
      <c r="K298" s="43">
        <f>SUM(L298:L300)</f>
        <v>6</v>
      </c>
      <c r="L298" s="43">
        <v>2</v>
      </c>
      <c r="M298" s="43"/>
      <c r="N298" s="43">
        <v>4</v>
      </c>
      <c r="O298" s="43">
        <v>3</v>
      </c>
      <c r="P298" s="43">
        <v>7</v>
      </c>
      <c r="Q298" s="43">
        <v>6</v>
      </c>
      <c r="R298" s="43">
        <v>9</v>
      </c>
      <c r="S298" s="43">
        <v>9</v>
      </c>
      <c r="T298" s="43">
        <v>25</v>
      </c>
      <c r="U298" s="43">
        <v>4</v>
      </c>
      <c r="V298" s="41" t="s">
        <v>33</v>
      </c>
      <c r="W298" s="41" t="s">
        <v>34</v>
      </c>
      <c r="X298" s="41">
        <v>1</v>
      </c>
      <c r="Y298" s="41">
        <v>3</v>
      </c>
      <c r="Z298" s="41">
        <v>322</v>
      </c>
      <c r="AA298" s="44">
        <v>34</v>
      </c>
      <c r="AB298" s="44">
        <v>34</v>
      </c>
      <c r="AC298" s="43">
        <v>45</v>
      </c>
      <c r="AD298" s="43">
        <v>30</v>
      </c>
      <c r="AE298" s="43">
        <v>45</v>
      </c>
    </row>
    <row r="299" spans="1:337" x14ac:dyDescent="0.35">
      <c r="A299" s="32" t="s">
        <v>31</v>
      </c>
      <c r="B299" s="32" t="s">
        <v>35</v>
      </c>
      <c r="C299" s="33">
        <v>46198</v>
      </c>
      <c r="D299" s="34">
        <v>13</v>
      </c>
      <c r="E299" s="34">
        <v>24</v>
      </c>
      <c r="F299" s="34">
        <v>25</v>
      </c>
      <c r="G299" s="141"/>
      <c r="H299" s="141"/>
      <c r="I299" s="141"/>
      <c r="J299" s="141"/>
      <c r="K299" s="141"/>
      <c r="L299" s="34">
        <v>2</v>
      </c>
      <c r="M299" s="34">
        <v>5</v>
      </c>
      <c r="N299" s="34">
        <v>4</v>
      </c>
      <c r="O299" s="34">
        <v>4</v>
      </c>
      <c r="P299" s="32">
        <v>7</v>
      </c>
      <c r="Q299" s="32">
        <v>7</v>
      </c>
      <c r="R299" s="32">
        <v>8</v>
      </c>
      <c r="S299" s="32">
        <v>6</v>
      </c>
      <c r="T299" s="143"/>
      <c r="U299" s="143"/>
      <c r="V299" s="32" t="s">
        <v>36</v>
      </c>
      <c r="W299" s="32" t="s">
        <v>37</v>
      </c>
      <c r="X299" s="32">
        <v>1</v>
      </c>
      <c r="Y299" s="143"/>
      <c r="Z299" s="143"/>
      <c r="AA299" s="145"/>
      <c r="AB299" s="145"/>
      <c r="AC299" s="141"/>
      <c r="AD299" s="141"/>
      <c r="AE299" s="141"/>
    </row>
    <row r="300" spans="1:337" ht="15" thickBot="1" x14ac:dyDescent="0.4">
      <c r="A300" s="45" t="s">
        <v>31</v>
      </c>
      <c r="B300" s="45" t="s">
        <v>38</v>
      </c>
      <c r="C300" s="46">
        <v>46198</v>
      </c>
      <c r="D300" s="47"/>
      <c r="E300" s="47"/>
      <c r="F300" s="47"/>
      <c r="G300" s="142"/>
      <c r="H300" s="142"/>
      <c r="I300" s="142"/>
      <c r="J300" s="142"/>
      <c r="K300" s="142"/>
      <c r="L300" s="47">
        <v>2</v>
      </c>
      <c r="M300" s="47"/>
      <c r="N300" s="47"/>
      <c r="O300" s="47"/>
      <c r="P300" s="47"/>
      <c r="Q300" s="47"/>
      <c r="R300" s="47"/>
      <c r="S300" s="47"/>
      <c r="T300" s="144"/>
      <c r="U300" s="144"/>
      <c r="V300" s="45"/>
      <c r="W300" s="45"/>
      <c r="X300" s="47"/>
      <c r="Y300" s="144"/>
      <c r="Z300" s="144"/>
      <c r="AA300" s="146"/>
      <c r="AB300" s="146"/>
      <c r="AC300" s="142"/>
      <c r="AD300" s="142"/>
      <c r="AE300" s="142"/>
    </row>
    <row r="301" spans="1:337" s="53" customFormat="1" ht="15" thickBot="1" x14ac:dyDescent="0.4">
      <c r="A301" s="49"/>
      <c r="B301" s="49"/>
      <c r="C301" s="50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49"/>
      <c r="U301" s="49"/>
      <c r="V301" s="49"/>
      <c r="W301" s="49"/>
      <c r="X301" s="51"/>
      <c r="Y301" s="49"/>
      <c r="Z301" s="49"/>
      <c r="AA301" s="52"/>
      <c r="AB301" s="52"/>
      <c r="AC301" s="51"/>
      <c r="AD301" s="51"/>
      <c r="AE301" s="5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  <c r="KI301"/>
      <c r="KJ301"/>
      <c r="KK301"/>
      <c r="KL301"/>
      <c r="KM301"/>
      <c r="KN301"/>
      <c r="KO301"/>
      <c r="KP301"/>
      <c r="KQ301"/>
      <c r="KR301"/>
      <c r="KS301"/>
      <c r="KT301"/>
      <c r="KU301"/>
      <c r="KV301"/>
      <c r="KW301"/>
      <c r="KX301"/>
      <c r="KY301"/>
      <c r="KZ301"/>
      <c r="LA301"/>
      <c r="LB301"/>
      <c r="LC301"/>
      <c r="LD301"/>
      <c r="LE301"/>
      <c r="LF301"/>
      <c r="LG301"/>
      <c r="LH301"/>
      <c r="LI301"/>
      <c r="LJ301"/>
      <c r="LK301"/>
      <c r="LL301"/>
      <c r="LM301"/>
      <c r="LN301"/>
      <c r="LO301"/>
      <c r="LP301"/>
      <c r="LQ301"/>
      <c r="LR301"/>
      <c r="LS301"/>
      <c r="LT301"/>
      <c r="LU301"/>
      <c r="LV301"/>
      <c r="LW301"/>
      <c r="LX301"/>
      <c r="LY301"/>
    </row>
    <row r="302" spans="1:337" x14ac:dyDescent="0.35">
      <c r="A302" s="41" t="s">
        <v>31</v>
      </c>
      <c r="B302" s="41" t="s">
        <v>32</v>
      </c>
      <c r="C302" s="42">
        <v>46199</v>
      </c>
      <c r="D302" s="43">
        <v>0</v>
      </c>
      <c r="E302" s="43">
        <v>20</v>
      </c>
      <c r="F302" s="43">
        <v>20</v>
      </c>
      <c r="G302" s="43">
        <v>28</v>
      </c>
      <c r="H302" s="43">
        <v>40</v>
      </c>
      <c r="I302" s="43">
        <v>10</v>
      </c>
      <c r="J302" s="43">
        <v>21449</v>
      </c>
      <c r="K302" s="43">
        <f>SUM(L302:L304)</f>
        <v>6</v>
      </c>
      <c r="L302" s="43">
        <v>2</v>
      </c>
      <c r="M302" s="43"/>
      <c r="N302" s="43">
        <v>4</v>
      </c>
      <c r="O302" s="43">
        <v>3</v>
      </c>
      <c r="P302" s="43">
        <v>7</v>
      </c>
      <c r="Q302" s="43">
        <v>6</v>
      </c>
      <c r="R302" s="43">
        <v>9</v>
      </c>
      <c r="S302" s="43">
        <v>9</v>
      </c>
      <c r="T302" s="43">
        <v>25</v>
      </c>
      <c r="U302" s="43">
        <v>4</v>
      </c>
      <c r="V302" s="41" t="s">
        <v>33</v>
      </c>
      <c r="W302" s="41" t="s">
        <v>34</v>
      </c>
      <c r="X302" s="41">
        <v>1</v>
      </c>
      <c r="Y302" s="41">
        <v>3</v>
      </c>
      <c r="Z302" s="41">
        <v>322</v>
      </c>
      <c r="AA302" s="44">
        <v>34</v>
      </c>
      <c r="AB302" s="44">
        <v>34</v>
      </c>
      <c r="AC302" s="43">
        <v>45</v>
      </c>
      <c r="AD302" s="43">
        <v>30</v>
      </c>
      <c r="AE302" s="43">
        <v>45</v>
      </c>
    </row>
    <row r="303" spans="1:337" x14ac:dyDescent="0.35">
      <c r="A303" s="32" t="s">
        <v>31</v>
      </c>
      <c r="B303" s="32" t="s">
        <v>35</v>
      </c>
      <c r="C303" s="33">
        <v>46199</v>
      </c>
      <c r="D303" s="34">
        <v>13</v>
      </c>
      <c r="E303" s="34">
        <v>24</v>
      </c>
      <c r="F303" s="34">
        <v>25</v>
      </c>
      <c r="G303" s="141"/>
      <c r="H303" s="141"/>
      <c r="I303" s="141"/>
      <c r="J303" s="141"/>
      <c r="K303" s="141"/>
      <c r="L303" s="34">
        <v>2</v>
      </c>
      <c r="M303" s="34">
        <v>5</v>
      </c>
      <c r="N303" s="34">
        <v>4</v>
      </c>
      <c r="O303" s="34">
        <v>4</v>
      </c>
      <c r="P303" s="32">
        <v>7</v>
      </c>
      <c r="Q303" s="32">
        <v>7</v>
      </c>
      <c r="R303" s="32">
        <v>8</v>
      </c>
      <c r="S303" s="32">
        <v>6</v>
      </c>
      <c r="T303" s="143"/>
      <c r="U303" s="143"/>
      <c r="V303" s="32" t="s">
        <v>36</v>
      </c>
      <c r="W303" s="32" t="s">
        <v>37</v>
      </c>
      <c r="X303" s="32">
        <v>1</v>
      </c>
      <c r="Y303" s="143"/>
      <c r="Z303" s="143"/>
      <c r="AA303" s="145"/>
      <c r="AB303" s="145"/>
      <c r="AC303" s="141"/>
      <c r="AD303" s="141"/>
      <c r="AE303" s="141"/>
    </row>
    <row r="304" spans="1:337" ht="15" thickBot="1" x14ac:dyDescent="0.4">
      <c r="A304" s="45" t="s">
        <v>31</v>
      </c>
      <c r="B304" s="45" t="s">
        <v>38</v>
      </c>
      <c r="C304" s="46">
        <v>46199</v>
      </c>
      <c r="D304" s="47"/>
      <c r="E304" s="47"/>
      <c r="F304" s="47"/>
      <c r="G304" s="142"/>
      <c r="H304" s="142"/>
      <c r="I304" s="142"/>
      <c r="J304" s="142"/>
      <c r="K304" s="142"/>
      <c r="L304" s="47">
        <v>2</v>
      </c>
      <c r="M304" s="47"/>
      <c r="N304" s="47"/>
      <c r="O304" s="47"/>
      <c r="P304" s="47"/>
      <c r="Q304" s="47"/>
      <c r="R304" s="47"/>
      <c r="S304" s="47"/>
      <c r="T304" s="144"/>
      <c r="U304" s="144"/>
      <c r="V304" s="45"/>
      <c r="W304" s="45"/>
      <c r="X304" s="47"/>
      <c r="Y304" s="144"/>
      <c r="Z304" s="144"/>
      <c r="AA304" s="146"/>
      <c r="AB304" s="146"/>
      <c r="AC304" s="142"/>
      <c r="AD304" s="142"/>
      <c r="AE304" s="142"/>
    </row>
    <row r="305" spans="1:337" s="53" customFormat="1" ht="15" thickBot="1" x14ac:dyDescent="0.4">
      <c r="A305" s="49"/>
      <c r="B305" s="49"/>
      <c r="C305" s="50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49"/>
      <c r="U305" s="49"/>
      <c r="V305" s="49"/>
      <c r="W305" s="49"/>
      <c r="X305" s="51"/>
      <c r="Y305" s="49"/>
      <c r="Z305" s="49"/>
      <c r="AA305" s="52"/>
      <c r="AB305" s="52"/>
      <c r="AC305" s="51"/>
      <c r="AD305" s="51"/>
      <c r="AE305" s="51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</row>
    <row r="306" spans="1:337" x14ac:dyDescent="0.35">
      <c r="A306" s="41" t="s">
        <v>31</v>
      </c>
      <c r="B306" s="41" t="s">
        <v>32</v>
      </c>
      <c r="C306" s="42">
        <v>46202</v>
      </c>
      <c r="D306" s="43">
        <v>0</v>
      </c>
      <c r="E306" s="43">
        <v>20</v>
      </c>
      <c r="F306" s="43">
        <v>20</v>
      </c>
      <c r="G306" s="43">
        <v>28</v>
      </c>
      <c r="H306" s="43">
        <v>40</v>
      </c>
      <c r="I306" s="43">
        <v>10</v>
      </c>
      <c r="J306" s="43">
        <v>21449</v>
      </c>
      <c r="K306" s="43">
        <f>SUM(L306:L308)</f>
        <v>6</v>
      </c>
      <c r="L306" s="43">
        <v>2</v>
      </c>
      <c r="M306" s="43"/>
      <c r="N306" s="43">
        <v>4</v>
      </c>
      <c r="O306" s="43">
        <v>3</v>
      </c>
      <c r="P306" s="43">
        <v>7</v>
      </c>
      <c r="Q306" s="43">
        <v>6</v>
      </c>
      <c r="R306" s="43">
        <v>9</v>
      </c>
      <c r="S306" s="43">
        <v>9</v>
      </c>
      <c r="T306" s="43">
        <v>25</v>
      </c>
      <c r="U306" s="43">
        <v>4</v>
      </c>
      <c r="V306" s="41" t="s">
        <v>33</v>
      </c>
      <c r="W306" s="41" t="s">
        <v>34</v>
      </c>
      <c r="X306" s="41">
        <v>1</v>
      </c>
      <c r="Y306" s="41">
        <v>3</v>
      </c>
      <c r="Z306" s="41">
        <v>322</v>
      </c>
      <c r="AA306" s="44">
        <v>34</v>
      </c>
      <c r="AB306" s="44">
        <v>34</v>
      </c>
      <c r="AC306" s="43">
        <v>45</v>
      </c>
      <c r="AD306" s="43">
        <v>30</v>
      </c>
      <c r="AE306" s="43">
        <v>45</v>
      </c>
    </row>
    <row r="307" spans="1:337" x14ac:dyDescent="0.35">
      <c r="A307" s="32" t="s">
        <v>31</v>
      </c>
      <c r="B307" s="32" t="s">
        <v>35</v>
      </c>
      <c r="C307" s="33">
        <v>46202</v>
      </c>
      <c r="D307" s="34">
        <v>13</v>
      </c>
      <c r="E307" s="34">
        <v>24</v>
      </c>
      <c r="F307" s="34">
        <v>25</v>
      </c>
      <c r="G307" s="141"/>
      <c r="H307" s="141"/>
      <c r="I307" s="141"/>
      <c r="J307" s="141"/>
      <c r="K307" s="141"/>
      <c r="L307" s="34">
        <v>2</v>
      </c>
      <c r="M307" s="34">
        <v>5</v>
      </c>
      <c r="N307" s="34">
        <v>4</v>
      </c>
      <c r="O307" s="34">
        <v>4</v>
      </c>
      <c r="P307" s="32">
        <v>7</v>
      </c>
      <c r="Q307" s="32">
        <v>7</v>
      </c>
      <c r="R307" s="32">
        <v>8</v>
      </c>
      <c r="S307" s="32">
        <v>6</v>
      </c>
      <c r="T307" s="143"/>
      <c r="U307" s="143"/>
      <c r="V307" s="32" t="s">
        <v>36</v>
      </c>
      <c r="W307" s="32" t="s">
        <v>37</v>
      </c>
      <c r="X307" s="32">
        <v>1</v>
      </c>
      <c r="Y307" s="143"/>
      <c r="Z307" s="143"/>
      <c r="AA307" s="145"/>
      <c r="AB307" s="145"/>
      <c r="AC307" s="141"/>
      <c r="AD307" s="141"/>
      <c r="AE307" s="141"/>
    </row>
    <row r="308" spans="1:337" ht="15" thickBot="1" x14ac:dyDescent="0.4">
      <c r="A308" s="45" t="s">
        <v>31</v>
      </c>
      <c r="B308" s="45" t="s">
        <v>38</v>
      </c>
      <c r="C308" s="46">
        <v>46202</v>
      </c>
      <c r="D308" s="47"/>
      <c r="E308" s="47"/>
      <c r="F308" s="47"/>
      <c r="G308" s="142"/>
      <c r="H308" s="142"/>
      <c r="I308" s="142"/>
      <c r="J308" s="142"/>
      <c r="K308" s="142"/>
      <c r="L308" s="47">
        <v>2</v>
      </c>
      <c r="M308" s="47"/>
      <c r="N308" s="47"/>
      <c r="O308" s="47"/>
      <c r="P308" s="47"/>
      <c r="Q308" s="47"/>
      <c r="R308" s="47"/>
      <c r="S308" s="47"/>
      <c r="T308" s="144"/>
      <c r="U308" s="144"/>
      <c r="V308" s="45"/>
      <c r="W308" s="45"/>
      <c r="X308" s="47"/>
      <c r="Y308" s="144"/>
      <c r="Z308" s="144"/>
      <c r="AA308" s="146"/>
      <c r="AB308" s="146"/>
      <c r="AC308" s="142"/>
      <c r="AD308" s="142"/>
      <c r="AE308" s="142"/>
    </row>
    <row r="309" spans="1:337" s="53" customFormat="1" ht="15" thickBot="1" x14ac:dyDescent="0.4">
      <c r="A309" s="49"/>
      <c r="B309" s="49"/>
      <c r="C309" s="50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49"/>
      <c r="U309" s="49"/>
      <c r="V309" s="49"/>
      <c r="W309" s="49"/>
      <c r="X309" s="51"/>
      <c r="Y309" s="49"/>
      <c r="Z309" s="49"/>
      <c r="AA309" s="52"/>
      <c r="AB309" s="52"/>
      <c r="AC309" s="51"/>
      <c r="AD309" s="51"/>
      <c r="AE309" s="51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</row>
    <row r="310" spans="1:337" x14ac:dyDescent="0.35">
      <c r="A310" s="41" t="s">
        <v>31</v>
      </c>
      <c r="B310" s="41" t="s">
        <v>32</v>
      </c>
      <c r="C310" s="42">
        <v>46203</v>
      </c>
      <c r="D310" s="43">
        <v>0</v>
      </c>
      <c r="E310" s="43">
        <v>20</v>
      </c>
      <c r="F310" s="43">
        <v>20</v>
      </c>
      <c r="G310" s="43">
        <v>28</v>
      </c>
      <c r="H310" s="43">
        <v>40</v>
      </c>
      <c r="I310" s="43">
        <v>10</v>
      </c>
      <c r="J310" s="43">
        <v>21449</v>
      </c>
      <c r="K310" s="43">
        <f>SUM(L310:L312)</f>
        <v>6</v>
      </c>
      <c r="L310" s="43">
        <v>2</v>
      </c>
      <c r="M310" s="43"/>
      <c r="N310" s="43">
        <v>4</v>
      </c>
      <c r="O310" s="43">
        <v>3</v>
      </c>
      <c r="P310" s="43">
        <v>7</v>
      </c>
      <c r="Q310" s="43">
        <v>6</v>
      </c>
      <c r="R310" s="43">
        <v>9</v>
      </c>
      <c r="S310" s="43">
        <v>9</v>
      </c>
      <c r="T310" s="43">
        <v>25</v>
      </c>
      <c r="U310" s="43">
        <v>4</v>
      </c>
      <c r="V310" s="41" t="s">
        <v>33</v>
      </c>
      <c r="W310" s="41" t="s">
        <v>34</v>
      </c>
      <c r="X310" s="41">
        <v>1</v>
      </c>
      <c r="Y310" s="41">
        <v>3</v>
      </c>
      <c r="Z310" s="41">
        <v>322</v>
      </c>
      <c r="AA310" s="44">
        <v>34</v>
      </c>
      <c r="AB310" s="44">
        <v>34</v>
      </c>
      <c r="AC310" s="43">
        <v>45</v>
      </c>
      <c r="AD310" s="43">
        <v>30</v>
      </c>
      <c r="AE310" s="43">
        <v>45</v>
      </c>
    </row>
    <row r="311" spans="1:337" x14ac:dyDescent="0.35">
      <c r="A311" s="32" t="s">
        <v>31</v>
      </c>
      <c r="B311" s="32" t="s">
        <v>35</v>
      </c>
      <c r="C311" s="33">
        <v>46203</v>
      </c>
      <c r="D311" s="34">
        <v>13</v>
      </c>
      <c r="E311" s="34">
        <v>24</v>
      </c>
      <c r="F311" s="34">
        <v>25</v>
      </c>
      <c r="G311" s="141"/>
      <c r="H311" s="141"/>
      <c r="I311" s="141"/>
      <c r="J311" s="141"/>
      <c r="K311" s="141"/>
      <c r="L311" s="34">
        <v>2</v>
      </c>
      <c r="M311" s="34">
        <v>5</v>
      </c>
      <c r="N311" s="34">
        <v>4</v>
      </c>
      <c r="O311" s="34">
        <v>4</v>
      </c>
      <c r="P311" s="32">
        <v>7</v>
      </c>
      <c r="Q311" s="32">
        <v>7</v>
      </c>
      <c r="R311" s="32">
        <v>8</v>
      </c>
      <c r="S311" s="32">
        <v>6</v>
      </c>
      <c r="T311" s="143"/>
      <c r="U311" s="143"/>
      <c r="V311" s="32" t="s">
        <v>36</v>
      </c>
      <c r="W311" s="32" t="s">
        <v>37</v>
      </c>
      <c r="X311" s="32">
        <v>1</v>
      </c>
      <c r="Y311" s="143"/>
      <c r="Z311" s="143"/>
      <c r="AA311" s="145"/>
      <c r="AB311" s="145"/>
      <c r="AC311" s="141"/>
      <c r="AD311" s="141"/>
      <c r="AE311" s="141"/>
    </row>
    <row r="312" spans="1:337" ht="15" thickBot="1" x14ac:dyDescent="0.4">
      <c r="A312" s="45" t="s">
        <v>31</v>
      </c>
      <c r="B312" s="45" t="s">
        <v>38</v>
      </c>
      <c r="C312" s="46">
        <v>46203</v>
      </c>
      <c r="D312" s="47"/>
      <c r="E312" s="47"/>
      <c r="F312" s="47"/>
      <c r="G312" s="142"/>
      <c r="H312" s="142"/>
      <c r="I312" s="142"/>
      <c r="J312" s="142"/>
      <c r="K312" s="142"/>
      <c r="L312" s="47">
        <v>2</v>
      </c>
      <c r="M312" s="47"/>
      <c r="N312" s="47"/>
      <c r="O312" s="47"/>
      <c r="P312" s="47"/>
      <c r="Q312" s="47"/>
      <c r="R312" s="47"/>
      <c r="S312" s="47"/>
      <c r="T312" s="144"/>
      <c r="U312" s="144"/>
      <c r="V312" s="45"/>
      <c r="W312" s="45"/>
      <c r="X312" s="47"/>
      <c r="Y312" s="144"/>
      <c r="Z312" s="144"/>
      <c r="AA312" s="146"/>
      <c r="AB312" s="146"/>
      <c r="AC312" s="142"/>
      <c r="AD312" s="142"/>
      <c r="AE312" s="142"/>
    </row>
    <row r="313" spans="1:337" s="53" customFormat="1" ht="15" thickBot="1" x14ac:dyDescent="0.4">
      <c r="A313" s="49"/>
      <c r="B313" s="49"/>
      <c r="C313" s="50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49"/>
      <c r="U313" s="49"/>
      <c r="V313" s="49"/>
      <c r="W313" s="49"/>
      <c r="X313" s="51"/>
      <c r="Y313" s="49"/>
      <c r="Z313" s="49"/>
      <c r="AA313" s="52"/>
      <c r="AB313" s="52"/>
      <c r="AC313" s="51"/>
      <c r="AD313" s="51"/>
      <c r="AE313" s="51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</row>
    <row r="314" spans="1:337" x14ac:dyDescent="0.35">
      <c r="A314" s="41" t="s">
        <v>31</v>
      </c>
      <c r="B314" s="41" t="s">
        <v>32</v>
      </c>
      <c r="C314" s="42">
        <v>46204</v>
      </c>
      <c r="D314" s="43">
        <v>0</v>
      </c>
      <c r="E314" s="43">
        <v>20</v>
      </c>
      <c r="F314" s="43">
        <v>20</v>
      </c>
      <c r="G314" s="43">
        <v>28</v>
      </c>
      <c r="H314" s="43">
        <v>40</v>
      </c>
      <c r="I314" s="43">
        <v>10</v>
      </c>
      <c r="J314" s="43">
        <v>21449</v>
      </c>
      <c r="K314" s="43">
        <f>SUM(L314:L316)</f>
        <v>6</v>
      </c>
      <c r="L314" s="43">
        <v>2</v>
      </c>
      <c r="M314" s="43"/>
      <c r="N314" s="43">
        <v>4</v>
      </c>
      <c r="O314" s="43">
        <v>3</v>
      </c>
      <c r="P314" s="43">
        <v>7</v>
      </c>
      <c r="Q314" s="43">
        <v>6</v>
      </c>
      <c r="R314" s="43">
        <v>9</v>
      </c>
      <c r="S314" s="43">
        <v>9</v>
      </c>
      <c r="T314" s="43">
        <v>20</v>
      </c>
      <c r="U314" s="43">
        <v>3</v>
      </c>
      <c r="V314" s="41" t="s">
        <v>33</v>
      </c>
      <c r="W314" s="41" t="s">
        <v>34</v>
      </c>
      <c r="X314" s="41">
        <v>1</v>
      </c>
      <c r="Y314" s="41">
        <v>3</v>
      </c>
      <c r="Z314" s="41">
        <v>322</v>
      </c>
      <c r="AA314" s="44">
        <v>34</v>
      </c>
      <c r="AB314" s="44">
        <v>34</v>
      </c>
      <c r="AC314" s="43">
        <v>45</v>
      </c>
      <c r="AD314" s="43">
        <v>30</v>
      </c>
      <c r="AE314" s="43">
        <v>45</v>
      </c>
    </row>
    <row r="315" spans="1:337" x14ac:dyDescent="0.35">
      <c r="A315" s="32" t="s">
        <v>31</v>
      </c>
      <c r="B315" s="32" t="s">
        <v>35</v>
      </c>
      <c r="C315" s="33">
        <v>46204</v>
      </c>
      <c r="D315" s="34">
        <v>13</v>
      </c>
      <c r="E315" s="34">
        <v>24</v>
      </c>
      <c r="F315" s="34">
        <v>25</v>
      </c>
      <c r="G315" s="141"/>
      <c r="H315" s="141"/>
      <c r="I315" s="141"/>
      <c r="J315" s="141"/>
      <c r="K315" s="141"/>
      <c r="L315" s="34">
        <v>2</v>
      </c>
      <c r="M315" s="34">
        <v>5</v>
      </c>
      <c r="N315" s="34">
        <v>4</v>
      </c>
      <c r="O315" s="34">
        <v>4</v>
      </c>
      <c r="P315" s="32">
        <v>7</v>
      </c>
      <c r="Q315" s="32">
        <v>7</v>
      </c>
      <c r="R315" s="32">
        <v>8</v>
      </c>
      <c r="S315" s="32">
        <v>6</v>
      </c>
      <c r="T315" s="143"/>
      <c r="U315" s="143"/>
      <c r="V315" s="32" t="s">
        <v>36</v>
      </c>
      <c r="W315" s="32" t="s">
        <v>37</v>
      </c>
      <c r="X315" s="32">
        <v>1</v>
      </c>
      <c r="Y315" s="143"/>
      <c r="Z315" s="143"/>
      <c r="AA315" s="145"/>
      <c r="AB315" s="145"/>
      <c r="AC315" s="141"/>
      <c r="AD315" s="141"/>
      <c r="AE315" s="141"/>
    </row>
    <row r="316" spans="1:337" ht="15" thickBot="1" x14ac:dyDescent="0.4">
      <c r="A316" s="45" t="s">
        <v>31</v>
      </c>
      <c r="B316" s="45" t="s">
        <v>38</v>
      </c>
      <c r="C316" s="46">
        <v>46204</v>
      </c>
      <c r="D316" s="47"/>
      <c r="E316" s="47"/>
      <c r="F316" s="47"/>
      <c r="G316" s="142"/>
      <c r="H316" s="142"/>
      <c r="I316" s="142"/>
      <c r="J316" s="142"/>
      <c r="K316" s="142"/>
      <c r="L316" s="47">
        <v>2</v>
      </c>
      <c r="M316" s="47"/>
      <c r="N316" s="47"/>
      <c r="O316" s="47"/>
      <c r="P316" s="47"/>
      <c r="Q316" s="47"/>
      <c r="R316" s="47"/>
      <c r="S316" s="47"/>
      <c r="T316" s="144"/>
      <c r="U316" s="144"/>
      <c r="V316" s="45"/>
      <c r="W316" s="45"/>
      <c r="X316" s="47"/>
      <c r="Y316" s="144"/>
      <c r="Z316" s="144"/>
      <c r="AA316" s="146"/>
      <c r="AB316" s="146"/>
      <c r="AC316" s="142"/>
      <c r="AD316" s="142"/>
      <c r="AE316" s="142"/>
    </row>
    <row r="317" spans="1:337" s="53" customFormat="1" ht="15" thickBot="1" x14ac:dyDescent="0.4">
      <c r="A317" s="49"/>
      <c r="B317" s="49"/>
      <c r="C317" s="50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49"/>
      <c r="U317" s="49"/>
      <c r="V317" s="49"/>
      <c r="W317" s="49"/>
      <c r="X317" s="51"/>
      <c r="Y317" s="49"/>
      <c r="Z317" s="49"/>
      <c r="AA317" s="52"/>
      <c r="AB317" s="52"/>
      <c r="AC317" s="51"/>
      <c r="AD317" s="51"/>
      <c r="AE317" s="51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</row>
    <row r="318" spans="1:337" x14ac:dyDescent="0.35">
      <c r="A318" s="41" t="s">
        <v>31</v>
      </c>
      <c r="B318" s="41" t="s">
        <v>32</v>
      </c>
      <c r="C318" s="42">
        <v>46205</v>
      </c>
      <c r="D318" s="43">
        <v>0</v>
      </c>
      <c r="E318" s="43">
        <v>20</v>
      </c>
      <c r="F318" s="43">
        <v>20</v>
      </c>
      <c r="G318" s="43">
        <v>28</v>
      </c>
      <c r="H318" s="43">
        <v>40</v>
      </c>
      <c r="I318" s="43">
        <v>10</v>
      </c>
      <c r="J318" s="43">
        <v>21449</v>
      </c>
      <c r="K318" s="43">
        <f>SUM(L318:L320)</f>
        <v>6</v>
      </c>
      <c r="L318" s="43">
        <v>2</v>
      </c>
      <c r="M318" s="43"/>
      <c r="N318" s="43">
        <v>4</v>
      </c>
      <c r="O318" s="43">
        <v>3</v>
      </c>
      <c r="P318" s="43">
        <v>7</v>
      </c>
      <c r="Q318" s="43">
        <v>6</v>
      </c>
      <c r="R318" s="43">
        <v>9</v>
      </c>
      <c r="S318" s="43">
        <v>9</v>
      </c>
      <c r="T318" s="43">
        <v>25</v>
      </c>
      <c r="U318" s="43">
        <v>4</v>
      </c>
      <c r="V318" s="41" t="s">
        <v>33</v>
      </c>
      <c r="W318" s="41" t="s">
        <v>34</v>
      </c>
      <c r="X318" s="41">
        <v>1</v>
      </c>
      <c r="Y318" s="41">
        <v>3</v>
      </c>
      <c r="Z318" s="41">
        <v>322</v>
      </c>
      <c r="AA318" s="44">
        <v>34</v>
      </c>
      <c r="AB318" s="44">
        <v>34</v>
      </c>
      <c r="AC318" s="43">
        <v>45</v>
      </c>
      <c r="AD318" s="43">
        <v>30</v>
      </c>
      <c r="AE318" s="43">
        <v>45</v>
      </c>
    </row>
    <row r="319" spans="1:337" x14ac:dyDescent="0.35">
      <c r="A319" s="32" t="s">
        <v>31</v>
      </c>
      <c r="B319" s="32" t="s">
        <v>35</v>
      </c>
      <c r="C319" s="33">
        <v>46205</v>
      </c>
      <c r="D319" s="34">
        <v>13</v>
      </c>
      <c r="E319" s="34">
        <v>24</v>
      </c>
      <c r="F319" s="34">
        <v>25</v>
      </c>
      <c r="G319" s="141"/>
      <c r="H319" s="141"/>
      <c r="I319" s="141"/>
      <c r="J319" s="141"/>
      <c r="K319" s="141"/>
      <c r="L319" s="34">
        <v>2</v>
      </c>
      <c r="M319" s="34">
        <v>5</v>
      </c>
      <c r="N319" s="34">
        <v>4</v>
      </c>
      <c r="O319" s="34">
        <v>4</v>
      </c>
      <c r="P319" s="32">
        <v>7</v>
      </c>
      <c r="Q319" s="32">
        <v>7</v>
      </c>
      <c r="R319" s="32">
        <v>8</v>
      </c>
      <c r="S319" s="32">
        <v>6</v>
      </c>
      <c r="T319" s="143"/>
      <c r="U319" s="143"/>
      <c r="V319" s="32" t="s">
        <v>36</v>
      </c>
      <c r="W319" s="32" t="s">
        <v>37</v>
      </c>
      <c r="X319" s="32">
        <v>1</v>
      </c>
      <c r="Y319" s="143"/>
      <c r="Z319" s="143"/>
      <c r="AA319" s="145"/>
      <c r="AB319" s="145"/>
      <c r="AC319" s="141"/>
      <c r="AD319" s="141"/>
      <c r="AE319" s="141"/>
    </row>
    <row r="320" spans="1:337" ht="15" thickBot="1" x14ac:dyDescent="0.4">
      <c r="A320" s="45" t="s">
        <v>31</v>
      </c>
      <c r="B320" s="45" t="s">
        <v>38</v>
      </c>
      <c r="C320" s="46">
        <v>46205</v>
      </c>
      <c r="D320" s="47"/>
      <c r="E320" s="47"/>
      <c r="F320" s="47"/>
      <c r="G320" s="142"/>
      <c r="H320" s="142"/>
      <c r="I320" s="142"/>
      <c r="J320" s="142"/>
      <c r="K320" s="142"/>
      <c r="L320" s="47">
        <v>2</v>
      </c>
      <c r="M320" s="47"/>
      <c r="N320" s="47"/>
      <c r="O320" s="47"/>
      <c r="P320" s="47"/>
      <c r="Q320" s="47"/>
      <c r="R320" s="47"/>
      <c r="S320" s="47"/>
      <c r="T320" s="144"/>
      <c r="U320" s="144"/>
      <c r="V320" s="45"/>
      <c r="W320" s="45"/>
      <c r="X320" s="47"/>
      <c r="Y320" s="144"/>
      <c r="Z320" s="144"/>
      <c r="AA320" s="146"/>
      <c r="AB320" s="146"/>
      <c r="AC320" s="142"/>
      <c r="AD320" s="142"/>
      <c r="AE320" s="142"/>
    </row>
    <row r="321" spans="1:337" s="53" customFormat="1" ht="15" thickBot="1" x14ac:dyDescent="0.4">
      <c r="A321" s="49"/>
      <c r="B321" s="49"/>
      <c r="C321" s="50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49"/>
      <c r="U321" s="49"/>
      <c r="V321" s="49"/>
      <c r="W321" s="49"/>
      <c r="X321" s="51"/>
      <c r="Y321" s="49"/>
      <c r="Z321" s="49"/>
      <c r="AA321" s="52"/>
      <c r="AB321" s="52"/>
      <c r="AC321" s="51"/>
      <c r="AD321" s="51"/>
      <c r="AE321" s="5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/>
      <c r="KQ321"/>
      <c r="KR321"/>
      <c r="KS321"/>
      <c r="KT321"/>
      <c r="KU321"/>
      <c r="KV321"/>
      <c r="KW321"/>
      <c r="KX321"/>
      <c r="KY321"/>
      <c r="KZ321"/>
      <c r="LA321"/>
      <c r="LB321"/>
      <c r="LC321"/>
      <c r="LD321"/>
      <c r="LE321"/>
      <c r="LF321"/>
      <c r="LG321"/>
      <c r="LH321"/>
      <c r="LI321"/>
      <c r="LJ321"/>
      <c r="LK321"/>
      <c r="LL321"/>
      <c r="LM321"/>
      <c r="LN321"/>
      <c r="LO321"/>
      <c r="LP321"/>
      <c r="LQ321"/>
      <c r="LR321"/>
      <c r="LS321"/>
      <c r="LT321"/>
      <c r="LU321"/>
      <c r="LV321"/>
      <c r="LW321"/>
      <c r="LX321"/>
      <c r="LY321"/>
    </row>
    <row r="322" spans="1:337" x14ac:dyDescent="0.35">
      <c r="A322" s="41" t="s">
        <v>31</v>
      </c>
      <c r="B322" s="41" t="s">
        <v>32</v>
      </c>
      <c r="C322" s="42">
        <v>46206</v>
      </c>
      <c r="D322" s="43">
        <v>0</v>
      </c>
      <c r="E322" s="43">
        <v>20</v>
      </c>
      <c r="F322" s="43">
        <v>20</v>
      </c>
      <c r="G322" s="43">
        <v>28</v>
      </c>
      <c r="H322" s="43">
        <v>40</v>
      </c>
      <c r="I322" s="43">
        <v>10</v>
      </c>
      <c r="J322" s="43">
        <v>21449</v>
      </c>
      <c r="K322" s="43">
        <f>SUM(L322:L324)</f>
        <v>6</v>
      </c>
      <c r="L322" s="43">
        <v>2</v>
      </c>
      <c r="M322" s="43"/>
      <c r="N322" s="43">
        <v>4</v>
      </c>
      <c r="O322" s="43">
        <v>3</v>
      </c>
      <c r="P322" s="43">
        <v>7</v>
      </c>
      <c r="Q322" s="43">
        <v>6</v>
      </c>
      <c r="R322" s="43">
        <v>9</v>
      </c>
      <c r="S322" s="43">
        <v>9</v>
      </c>
      <c r="T322" s="43">
        <v>25</v>
      </c>
      <c r="U322" s="43">
        <v>4</v>
      </c>
      <c r="V322" s="41" t="s">
        <v>33</v>
      </c>
      <c r="W322" s="41" t="s">
        <v>34</v>
      </c>
      <c r="X322" s="41">
        <v>1</v>
      </c>
      <c r="Y322" s="41">
        <v>3</v>
      </c>
      <c r="Z322" s="41">
        <v>322</v>
      </c>
      <c r="AA322" s="44">
        <v>34</v>
      </c>
      <c r="AB322" s="44">
        <v>34</v>
      </c>
      <c r="AC322" s="43">
        <v>45</v>
      </c>
      <c r="AD322" s="43">
        <v>30</v>
      </c>
      <c r="AE322" s="43">
        <v>45</v>
      </c>
    </row>
    <row r="323" spans="1:337" x14ac:dyDescent="0.35">
      <c r="A323" s="32" t="s">
        <v>31</v>
      </c>
      <c r="B323" s="32" t="s">
        <v>35</v>
      </c>
      <c r="C323" s="33">
        <v>46206</v>
      </c>
      <c r="D323" s="34">
        <v>13</v>
      </c>
      <c r="E323" s="34">
        <v>24</v>
      </c>
      <c r="F323" s="34">
        <v>25</v>
      </c>
      <c r="G323" s="141"/>
      <c r="H323" s="141"/>
      <c r="I323" s="141"/>
      <c r="J323" s="141"/>
      <c r="K323" s="141"/>
      <c r="L323" s="34">
        <v>2</v>
      </c>
      <c r="M323" s="34">
        <v>5</v>
      </c>
      <c r="N323" s="34">
        <v>4</v>
      </c>
      <c r="O323" s="34">
        <v>4</v>
      </c>
      <c r="P323" s="32">
        <v>7</v>
      </c>
      <c r="Q323" s="32">
        <v>7</v>
      </c>
      <c r="R323" s="32">
        <v>8</v>
      </c>
      <c r="S323" s="32">
        <v>6</v>
      </c>
      <c r="T323" s="143"/>
      <c r="U323" s="143"/>
      <c r="V323" s="32" t="s">
        <v>36</v>
      </c>
      <c r="W323" s="32" t="s">
        <v>37</v>
      </c>
      <c r="X323" s="32">
        <v>1</v>
      </c>
      <c r="Y323" s="143"/>
      <c r="Z323" s="143"/>
      <c r="AA323" s="145"/>
      <c r="AB323" s="145"/>
      <c r="AC323" s="141"/>
      <c r="AD323" s="141"/>
      <c r="AE323" s="141"/>
    </row>
    <row r="324" spans="1:337" ht="15" thickBot="1" x14ac:dyDescent="0.4">
      <c r="A324" s="45" t="s">
        <v>31</v>
      </c>
      <c r="B324" s="45" t="s">
        <v>38</v>
      </c>
      <c r="C324" s="46">
        <v>46206</v>
      </c>
      <c r="D324" s="47"/>
      <c r="E324" s="47"/>
      <c r="F324" s="47"/>
      <c r="G324" s="142"/>
      <c r="H324" s="142"/>
      <c r="I324" s="142"/>
      <c r="J324" s="142"/>
      <c r="K324" s="142"/>
      <c r="L324" s="47">
        <v>2</v>
      </c>
      <c r="M324" s="47"/>
      <c r="N324" s="47"/>
      <c r="O324" s="47"/>
      <c r="P324" s="47"/>
      <c r="Q324" s="47"/>
      <c r="R324" s="47"/>
      <c r="S324" s="47"/>
      <c r="T324" s="144"/>
      <c r="U324" s="144"/>
      <c r="V324" s="45"/>
      <c r="W324" s="45"/>
      <c r="X324" s="47"/>
      <c r="Y324" s="144"/>
      <c r="Z324" s="144"/>
      <c r="AA324" s="146"/>
      <c r="AB324" s="146"/>
      <c r="AC324" s="142"/>
      <c r="AD324" s="142"/>
      <c r="AE324" s="142"/>
    </row>
    <row r="325" spans="1:337" s="53" customFormat="1" ht="15" thickBot="1" x14ac:dyDescent="0.4">
      <c r="A325" s="49"/>
      <c r="B325" s="49"/>
      <c r="C325" s="50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49"/>
      <c r="U325" s="49"/>
      <c r="V325" s="49"/>
      <c r="W325" s="49"/>
      <c r="X325" s="51"/>
      <c r="Y325" s="49"/>
      <c r="Z325" s="49"/>
      <c r="AA325" s="52"/>
      <c r="AB325" s="52"/>
      <c r="AC325" s="51"/>
      <c r="AD325" s="51"/>
      <c r="AE325" s="51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  <c r="LK325"/>
      <c r="LL325"/>
      <c r="LM325"/>
      <c r="LN325"/>
      <c r="LO325"/>
      <c r="LP325"/>
      <c r="LQ325"/>
      <c r="LR325"/>
      <c r="LS325"/>
      <c r="LT325"/>
      <c r="LU325"/>
      <c r="LV325"/>
      <c r="LW325"/>
      <c r="LX325"/>
      <c r="LY325"/>
    </row>
    <row r="326" spans="1:337" x14ac:dyDescent="0.35">
      <c r="A326" s="41" t="s">
        <v>31</v>
      </c>
      <c r="B326" s="41" t="s">
        <v>32</v>
      </c>
      <c r="C326" s="42">
        <v>46209</v>
      </c>
      <c r="D326" s="43">
        <v>0</v>
      </c>
      <c r="E326" s="43">
        <v>20</v>
      </c>
      <c r="F326" s="43">
        <v>20</v>
      </c>
      <c r="G326" s="43">
        <v>28</v>
      </c>
      <c r="H326" s="43">
        <v>40</v>
      </c>
      <c r="I326" s="43">
        <v>10</v>
      </c>
      <c r="J326" s="43">
        <v>21449</v>
      </c>
      <c r="K326" s="43">
        <f>SUM(L326:L328)</f>
        <v>6</v>
      </c>
      <c r="L326" s="43">
        <v>2</v>
      </c>
      <c r="M326" s="43"/>
      <c r="N326" s="43">
        <v>4</v>
      </c>
      <c r="O326" s="43">
        <v>3</v>
      </c>
      <c r="P326" s="43">
        <v>7</v>
      </c>
      <c r="Q326" s="43">
        <v>6</v>
      </c>
      <c r="R326" s="43">
        <v>9</v>
      </c>
      <c r="S326" s="43">
        <v>9</v>
      </c>
      <c r="T326" s="43">
        <v>25</v>
      </c>
      <c r="U326" s="43">
        <v>4</v>
      </c>
      <c r="V326" s="41" t="s">
        <v>33</v>
      </c>
      <c r="W326" s="41" t="s">
        <v>34</v>
      </c>
      <c r="X326" s="41">
        <v>1</v>
      </c>
      <c r="Y326" s="41">
        <v>3</v>
      </c>
      <c r="Z326" s="41">
        <v>322</v>
      </c>
      <c r="AA326" s="44">
        <v>34</v>
      </c>
      <c r="AB326" s="44">
        <v>34</v>
      </c>
      <c r="AC326" s="43">
        <v>45</v>
      </c>
      <c r="AD326" s="43">
        <v>30</v>
      </c>
      <c r="AE326" s="43">
        <v>45</v>
      </c>
    </row>
    <row r="327" spans="1:337" x14ac:dyDescent="0.35">
      <c r="A327" s="32" t="s">
        <v>31</v>
      </c>
      <c r="B327" s="32" t="s">
        <v>35</v>
      </c>
      <c r="C327" s="33">
        <v>46209</v>
      </c>
      <c r="D327" s="34">
        <v>13</v>
      </c>
      <c r="E327" s="34">
        <v>24</v>
      </c>
      <c r="F327" s="34">
        <v>25</v>
      </c>
      <c r="G327" s="141"/>
      <c r="H327" s="141"/>
      <c r="I327" s="141"/>
      <c r="J327" s="141"/>
      <c r="K327" s="141"/>
      <c r="L327" s="34">
        <v>2</v>
      </c>
      <c r="M327" s="34">
        <v>5</v>
      </c>
      <c r="N327" s="34">
        <v>4</v>
      </c>
      <c r="O327" s="34">
        <v>4</v>
      </c>
      <c r="P327" s="32">
        <v>7</v>
      </c>
      <c r="Q327" s="32">
        <v>7</v>
      </c>
      <c r="R327" s="32">
        <v>8</v>
      </c>
      <c r="S327" s="32">
        <v>6</v>
      </c>
      <c r="T327" s="143"/>
      <c r="U327" s="143"/>
      <c r="V327" s="32" t="s">
        <v>36</v>
      </c>
      <c r="W327" s="32" t="s">
        <v>37</v>
      </c>
      <c r="X327" s="32">
        <v>1</v>
      </c>
      <c r="Y327" s="143"/>
      <c r="Z327" s="143"/>
      <c r="AA327" s="145"/>
      <c r="AB327" s="145"/>
      <c r="AC327" s="141"/>
      <c r="AD327" s="141"/>
      <c r="AE327" s="141"/>
    </row>
    <row r="328" spans="1:337" ht="15" thickBot="1" x14ac:dyDescent="0.4">
      <c r="A328" s="45" t="s">
        <v>31</v>
      </c>
      <c r="B328" s="45" t="s">
        <v>38</v>
      </c>
      <c r="C328" s="46">
        <v>46209</v>
      </c>
      <c r="D328" s="47"/>
      <c r="E328" s="47"/>
      <c r="F328" s="47"/>
      <c r="G328" s="142"/>
      <c r="H328" s="142"/>
      <c r="I328" s="142"/>
      <c r="J328" s="142"/>
      <c r="K328" s="142"/>
      <c r="L328" s="47">
        <v>2</v>
      </c>
      <c r="M328" s="47"/>
      <c r="N328" s="47"/>
      <c r="O328" s="47"/>
      <c r="P328" s="47"/>
      <c r="Q328" s="47"/>
      <c r="R328" s="47"/>
      <c r="S328" s="47"/>
      <c r="T328" s="144"/>
      <c r="U328" s="144"/>
      <c r="V328" s="45"/>
      <c r="W328" s="45"/>
      <c r="X328" s="47"/>
      <c r="Y328" s="144"/>
      <c r="Z328" s="144"/>
      <c r="AA328" s="146"/>
      <c r="AB328" s="146"/>
      <c r="AC328" s="142"/>
      <c r="AD328" s="142"/>
      <c r="AE328" s="142"/>
    </row>
    <row r="329" spans="1:337" s="53" customFormat="1" ht="15" thickBot="1" x14ac:dyDescent="0.4">
      <c r="A329" s="49"/>
      <c r="B329" s="49"/>
      <c r="C329" s="50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49"/>
      <c r="U329" s="49"/>
      <c r="V329" s="49"/>
      <c r="W329" s="49"/>
      <c r="X329" s="51"/>
      <c r="Y329" s="49"/>
      <c r="Z329" s="49"/>
      <c r="AA329" s="52"/>
      <c r="AB329" s="52"/>
      <c r="AC329" s="51"/>
      <c r="AD329" s="51"/>
      <c r="AE329" s="51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/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  <c r="LK329"/>
      <c r="LL329"/>
      <c r="LM329"/>
      <c r="LN329"/>
      <c r="LO329"/>
      <c r="LP329"/>
      <c r="LQ329"/>
      <c r="LR329"/>
      <c r="LS329"/>
      <c r="LT329"/>
      <c r="LU329"/>
      <c r="LV329"/>
      <c r="LW329"/>
      <c r="LX329"/>
      <c r="LY329"/>
    </row>
    <row r="330" spans="1:337" x14ac:dyDescent="0.35">
      <c r="A330" s="41" t="s">
        <v>31</v>
      </c>
      <c r="B330" s="41" t="s">
        <v>32</v>
      </c>
      <c r="C330" s="42">
        <v>46210</v>
      </c>
      <c r="D330" s="43">
        <v>0</v>
      </c>
      <c r="E330" s="43">
        <v>20</v>
      </c>
      <c r="F330" s="43">
        <v>20</v>
      </c>
      <c r="G330" s="43">
        <v>28</v>
      </c>
      <c r="H330" s="43">
        <v>40</v>
      </c>
      <c r="I330" s="43">
        <v>10</v>
      </c>
      <c r="J330" s="43">
        <v>21449</v>
      </c>
      <c r="K330" s="43">
        <f>SUM(L330:L332)</f>
        <v>6</v>
      </c>
      <c r="L330" s="43">
        <v>2</v>
      </c>
      <c r="M330" s="43"/>
      <c r="N330" s="43">
        <v>4</v>
      </c>
      <c r="O330" s="43">
        <v>3</v>
      </c>
      <c r="P330" s="43">
        <v>7</v>
      </c>
      <c r="Q330" s="43">
        <v>6</v>
      </c>
      <c r="R330" s="43">
        <v>9</v>
      </c>
      <c r="S330" s="43">
        <v>9</v>
      </c>
      <c r="T330" s="43">
        <v>25</v>
      </c>
      <c r="U330" s="43">
        <v>4</v>
      </c>
      <c r="V330" s="41" t="s">
        <v>33</v>
      </c>
      <c r="W330" s="41" t="s">
        <v>34</v>
      </c>
      <c r="X330" s="41">
        <v>1</v>
      </c>
      <c r="Y330" s="41">
        <v>3</v>
      </c>
      <c r="Z330" s="41">
        <v>322</v>
      </c>
      <c r="AA330" s="44">
        <v>34</v>
      </c>
      <c r="AB330" s="44">
        <v>34</v>
      </c>
      <c r="AC330" s="43">
        <v>45</v>
      </c>
      <c r="AD330" s="43">
        <v>30</v>
      </c>
      <c r="AE330" s="43">
        <v>45</v>
      </c>
    </row>
    <row r="331" spans="1:337" x14ac:dyDescent="0.35">
      <c r="A331" s="32" t="s">
        <v>31</v>
      </c>
      <c r="B331" s="32" t="s">
        <v>35</v>
      </c>
      <c r="C331" s="33">
        <v>46210</v>
      </c>
      <c r="D331" s="34">
        <v>13</v>
      </c>
      <c r="E331" s="34">
        <v>24</v>
      </c>
      <c r="F331" s="34">
        <v>25</v>
      </c>
      <c r="G331" s="141"/>
      <c r="H331" s="141"/>
      <c r="I331" s="141"/>
      <c r="J331" s="141"/>
      <c r="K331" s="141"/>
      <c r="L331" s="34">
        <v>2</v>
      </c>
      <c r="M331" s="34">
        <v>5</v>
      </c>
      <c r="N331" s="34">
        <v>4</v>
      </c>
      <c r="O331" s="34">
        <v>4</v>
      </c>
      <c r="P331" s="32">
        <v>7</v>
      </c>
      <c r="Q331" s="32">
        <v>7</v>
      </c>
      <c r="R331" s="32">
        <v>8</v>
      </c>
      <c r="S331" s="32">
        <v>6</v>
      </c>
      <c r="T331" s="143"/>
      <c r="U331" s="143"/>
      <c r="V331" s="32" t="s">
        <v>36</v>
      </c>
      <c r="W331" s="32" t="s">
        <v>37</v>
      </c>
      <c r="X331" s="32">
        <v>1</v>
      </c>
      <c r="Y331" s="143"/>
      <c r="Z331" s="143"/>
      <c r="AA331" s="145"/>
      <c r="AB331" s="145"/>
      <c r="AC331" s="141"/>
      <c r="AD331" s="141"/>
      <c r="AE331" s="141"/>
    </row>
    <row r="332" spans="1:337" ht="15" thickBot="1" x14ac:dyDescent="0.4">
      <c r="A332" s="45" t="s">
        <v>31</v>
      </c>
      <c r="B332" s="45" t="s">
        <v>38</v>
      </c>
      <c r="C332" s="46">
        <v>46210</v>
      </c>
      <c r="D332" s="47"/>
      <c r="E332" s="47"/>
      <c r="F332" s="47"/>
      <c r="G332" s="142"/>
      <c r="H332" s="142"/>
      <c r="I332" s="142"/>
      <c r="J332" s="142"/>
      <c r="K332" s="142"/>
      <c r="L332" s="47">
        <v>2</v>
      </c>
      <c r="M332" s="47"/>
      <c r="N332" s="47"/>
      <c r="O332" s="47"/>
      <c r="P332" s="47"/>
      <c r="Q332" s="47"/>
      <c r="R332" s="47"/>
      <c r="S332" s="47"/>
      <c r="T332" s="144"/>
      <c r="U332" s="144"/>
      <c r="V332" s="45"/>
      <c r="W332" s="45"/>
      <c r="X332" s="47"/>
      <c r="Y332" s="144"/>
      <c r="Z332" s="144"/>
      <c r="AA332" s="146"/>
      <c r="AB332" s="146"/>
      <c r="AC332" s="142"/>
      <c r="AD332" s="142"/>
      <c r="AE332" s="142"/>
    </row>
    <row r="333" spans="1:337" s="53" customFormat="1" ht="15" thickBot="1" x14ac:dyDescent="0.4">
      <c r="A333" s="49"/>
      <c r="B333" s="49"/>
      <c r="C333" s="50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49"/>
      <c r="U333" s="49"/>
      <c r="V333" s="49"/>
      <c r="W333" s="49"/>
      <c r="X333" s="51"/>
      <c r="Y333" s="49"/>
      <c r="Z333" s="49"/>
      <c r="AA333" s="52"/>
      <c r="AB333" s="52"/>
      <c r="AC333" s="51"/>
      <c r="AD333" s="51"/>
      <c r="AE333" s="51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  <c r="LK333"/>
      <c r="LL333"/>
      <c r="LM333"/>
      <c r="LN333"/>
      <c r="LO333"/>
      <c r="LP333"/>
      <c r="LQ333"/>
      <c r="LR333"/>
      <c r="LS333"/>
      <c r="LT333"/>
      <c r="LU333"/>
      <c r="LV333"/>
      <c r="LW333"/>
      <c r="LX333"/>
      <c r="LY333"/>
    </row>
    <row r="334" spans="1:337" x14ac:dyDescent="0.35">
      <c r="A334" s="41" t="s">
        <v>31</v>
      </c>
      <c r="B334" s="41" t="s">
        <v>32</v>
      </c>
      <c r="C334" s="42">
        <v>46211</v>
      </c>
      <c r="D334" s="43">
        <v>0</v>
      </c>
      <c r="E334" s="43">
        <v>20</v>
      </c>
      <c r="F334" s="43">
        <v>20</v>
      </c>
      <c r="G334" s="43">
        <v>28</v>
      </c>
      <c r="H334" s="43">
        <v>40</v>
      </c>
      <c r="I334" s="43">
        <v>10</v>
      </c>
      <c r="J334" s="43">
        <v>21449</v>
      </c>
      <c r="K334" s="43">
        <f>SUM(L334:L336)</f>
        <v>6</v>
      </c>
      <c r="L334" s="43">
        <v>2</v>
      </c>
      <c r="M334" s="43"/>
      <c r="N334" s="43">
        <v>4</v>
      </c>
      <c r="O334" s="43">
        <v>3</v>
      </c>
      <c r="P334" s="43">
        <v>7</v>
      </c>
      <c r="Q334" s="43">
        <v>6</v>
      </c>
      <c r="R334" s="43">
        <v>9</v>
      </c>
      <c r="S334" s="43">
        <v>9</v>
      </c>
      <c r="T334" s="43">
        <v>25</v>
      </c>
      <c r="U334" s="43">
        <v>4</v>
      </c>
      <c r="V334" s="41" t="s">
        <v>33</v>
      </c>
      <c r="W334" s="41" t="s">
        <v>34</v>
      </c>
      <c r="X334" s="41">
        <v>1</v>
      </c>
      <c r="Y334" s="41">
        <v>3</v>
      </c>
      <c r="Z334" s="41">
        <v>322</v>
      </c>
      <c r="AA334" s="44">
        <v>34</v>
      </c>
      <c r="AB334" s="44">
        <v>34</v>
      </c>
      <c r="AC334" s="43">
        <v>45</v>
      </c>
      <c r="AD334" s="43">
        <v>30</v>
      </c>
      <c r="AE334" s="43">
        <v>45</v>
      </c>
    </row>
    <row r="335" spans="1:337" x14ac:dyDescent="0.35">
      <c r="A335" s="32" t="s">
        <v>31</v>
      </c>
      <c r="B335" s="32" t="s">
        <v>35</v>
      </c>
      <c r="C335" s="33">
        <v>46211</v>
      </c>
      <c r="D335" s="34">
        <v>13</v>
      </c>
      <c r="E335" s="34">
        <v>24</v>
      </c>
      <c r="F335" s="34">
        <v>25</v>
      </c>
      <c r="G335" s="141"/>
      <c r="H335" s="141"/>
      <c r="I335" s="141"/>
      <c r="J335" s="141"/>
      <c r="K335" s="141"/>
      <c r="L335" s="34">
        <v>2</v>
      </c>
      <c r="M335" s="34">
        <v>5</v>
      </c>
      <c r="N335" s="34">
        <v>4</v>
      </c>
      <c r="O335" s="34">
        <v>4</v>
      </c>
      <c r="P335" s="32">
        <v>7</v>
      </c>
      <c r="Q335" s="32">
        <v>7</v>
      </c>
      <c r="R335" s="32">
        <v>8</v>
      </c>
      <c r="S335" s="32">
        <v>6</v>
      </c>
      <c r="T335" s="143"/>
      <c r="U335" s="143"/>
      <c r="V335" s="32" t="s">
        <v>36</v>
      </c>
      <c r="W335" s="32" t="s">
        <v>37</v>
      </c>
      <c r="X335" s="32">
        <v>1</v>
      </c>
      <c r="Y335" s="143"/>
      <c r="Z335" s="143"/>
      <c r="AA335" s="145"/>
      <c r="AB335" s="145"/>
      <c r="AC335" s="141"/>
      <c r="AD335" s="141"/>
      <c r="AE335" s="141"/>
    </row>
    <row r="336" spans="1:337" ht="15" thickBot="1" x14ac:dyDescent="0.4">
      <c r="A336" s="45" t="s">
        <v>31</v>
      </c>
      <c r="B336" s="45" t="s">
        <v>38</v>
      </c>
      <c r="C336" s="46">
        <v>46211</v>
      </c>
      <c r="D336" s="47"/>
      <c r="E336" s="47"/>
      <c r="F336" s="47"/>
      <c r="G336" s="142"/>
      <c r="H336" s="142"/>
      <c r="I336" s="142"/>
      <c r="J336" s="142"/>
      <c r="K336" s="142"/>
      <c r="L336" s="47">
        <v>2</v>
      </c>
      <c r="M336" s="47"/>
      <c r="N336" s="47"/>
      <c r="O336" s="47"/>
      <c r="P336" s="47"/>
      <c r="Q336" s="47"/>
      <c r="R336" s="47"/>
      <c r="S336" s="47"/>
      <c r="T336" s="144"/>
      <c r="U336" s="144"/>
      <c r="V336" s="45"/>
      <c r="W336" s="45"/>
      <c r="X336" s="47"/>
      <c r="Y336" s="144"/>
      <c r="Z336" s="144"/>
      <c r="AA336" s="146"/>
      <c r="AB336" s="146"/>
      <c r="AC336" s="142"/>
      <c r="AD336" s="142"/>
      <c r="AE336" s="142"/>
    </row>
    <row r="337" spans="1:337" s="53" customFormat="1" ht="15" thickBot="1" x14ac:dyDescent="0.4">
      <c r="A337" s="49"/>
      <c r="B337" s="49"/>
      <c r="C337" s="50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49"/>
      <c r="U337" s="49"/>
      <c r="V337" s="49"/>
      <c r="W337" s="49"/>
      <c r="X337" s="51"/>
      <c r="Y337" s="49"/>
      <c r="Z337" s="49"/>
      <c r="AA337" s="52"/>
      <c r="AB337" s="52"/>
      <c r="AC337" s="51"/>
      <c r="AD337" s="51"/>
      <c r="AE337" s="51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  <c r="KN337"/>
      <c r="KO337"/>
      <c r="KP337"/>
      <c r="KQ337"/>
      <c r="KR337"/>
      <c r="KS337"/>
      <c r="KT337"/>
      <c r="KU337"/>
      <c r="KV337"/>
      <c r="KW337"/>
      <c r="KX337"/>
      <c r="KY337"/>
      <c r="KZ337"/>
      <c r="LA337"/>
      <c r="LB337"/>
      <c r="LC337"/>
      <c r="LD337"/>
      <c r="LE337"/>
      <c r="LF337"/>
      <c r="LG337"/>
      <c r="LH337"/>
      <c r="LI337"/>
      <c r="LJ337"/>
      <c r="LK337"/>
      <c r="LL337"/>
      <c r="LM337"/>
      <c r="LN337"/>
      <c r="LO337"/>
      <c r="LP337"/>
      <c r="LQ337"/>
      <c r="LR337"/>
      <c r="LS337"/>
      <c r="LT337"/>
      <c r="LU337"/>
      <c r="LV337"/>
      <c r="LW337"/>
      <c r="LX337"/>
      <c r="LY337"/>
    </row>
    <row r="338" spans="1:337" x14ac:dyDescent="0.35">
      <c r="A338" s="41" t="s">
        <v>31</v>
      </c>
      <c r="B338" s="41" t="s">
        <v>32</v>
      </c>
      <c r="C338" s="42">
        <v>46212</v>
      </c>
      <c r="D338" s="43">
        <v>0</v>
      </c>
      <c r="E338" s="43">
        <v>20</v>
      </c>
      <c r="F338" s="43">
        <v>20</v>
      </c>
      <c r="G338" s="43">
        <v>28</v>
      </c>
      <c r="H338" s="43">
        <v>40</v>
      </c>
      <c r="I338" s="43">
        <v>10</v>
      </c>
      <c r="J338" s="43">
        <v>21449</v>
      </c>
      <c r="K338" s="43">
        <f>SUM(L338:L340)</f>
        <v>6</v>
      </c>
      <c r="L338" s="43">
        <v>2</v>
      </c>
      <c r="M338" s="43"/>
      <c r="N338" s="43">
        <v>4</v>
      </c>
      <c r="O338" s="43">
        <v>3</v>
      </c>
      <c r="P338" s="43">
        <v>7</v>
      </c>
      <c r="Q338" s="43">
        <v>6</v>
      </c>
      <c r="R338" s="43">
        <v>9</v>
      </c>
      <c r="S338" s="43">
        <v>9</v>
      </c>
      <c r="T338" s="43">
        <v>20</v>
      </c>
      <c r="U338" s="43">
        <v>3</v>
      </c>
      <c r="V338" s="41" t="s">
        <v>33</v>
      </c>
      <c r="W338" s="41" t="s">
        <v>34</v>
      </c>
      <c r="X338" s="41">
        <v>1</v>
      </c>
      <c r="Y338" s="41">
        <v>3</v>
      </c>
      <c r="Z338" s="41">
        <v>322</v>
      </c>
      <c r="AA338" s="44">
        <v>34</v>
      </c>
      <c r="AB338" s="44">
        <v>34</v>
      </c>
      <c r="AC338" s="43">
        <v>45</v>
      </c>
      <c r="AD338" s="43">
        <v>30</v>
      </c>
      <c r="AE338" s="43">
        <v>45</v>
      </c>
    </row>
    <row r="339" spans="1:337" x14ac:dyDescent="0.35">
      <c r="A339" s="32" t="s">
        <v>31</v>
      </c>
      <c r="B339" s="32" t="s">
        <v>35</v>
      </c>
      <c r="C339" s="33">
        <v>46212</v>
      </c>
      <c r="D339" s="34">
        <v>13</v>
      </c>
      <c r="E339" s="34">
        <v>24</v>
      </c>
      <c r="F339" s="34">
        <v>25</v>
      </c>
      <c r="G339" s="141"/>
      <c r="H339" s="141"/>
      <c r="I339" s="141"/>
      <c r="J339" s="141"/>
      <c r="K339" s="141"/>
      <c r="L339" s="34">
        <v>2</v>
      </c>
      <c r="M339" s="34">
        <v>5</v>
      </c>
      <c r="N339" s="34">
        <v>4</v>
      </c>
      <c r="O339" s="34">
        <v>4</v>
      </c>
      <c r="P339" s="32">
        <v>7</v>
      </c>
      <c r="Q339" s="32">
        <v>7</v>
      </c>
      <c r="R339" s="32">
        <v>8</v>
      </c>
      <c r="S339" s="32">
        <v>6</v>
      </c>
      <c r="T339" s="143"/>
      <c r="U339" s="143"/>
      <c r="V339" s="32" t="s">
        <v>36</v>
      </c>
      <c r="W339" s="32" t="s">
        <v>37</v>
      </c>
      <c r="X339" s="32">
        <v>1</v>
      </c>
      <c r="Y339" s="143"/>
      <c r="Z339" s="143"/>
      <c r="AA339" s="145"/>
      <c r="AB339" s="145"/>
      <c r="AC339" s="141"/>
      <c r="AD339" s="141"/>
      <c r="AE339" s="141"/>
    </row>
    <row r="340" spans="1:337" ht="15" thickBot="1" x14ac:dyDescent="0.4">
      <c r="A340" s="45" t="s">
        <v>31</v>
      </c>
      <c r="B340" s="45" t="s">
        <v>38</v>
      </c>
      <c r="C340" s="46">
        <v>46212</v>
      </c>
      <c r="D340" s="47"/>
      <c r="E340" s="47"/>
      <c r="F340" s="47"/>
      <c r="G340" s="142"/>
      <c r="H340" s="142"/>
      <c r="I340" s="142"/>
      <c r="J340" s="142"/>
      <c r="K340" s="142"/>
      <c r="L340" s="47">
        <v>2</v>
      </c>
      <c r="M340" s="47"/>
      <c r="N340" s="47"/>
      <c r="O340" s="47"/>
      <c r="P340" s="47"/>
      <c r="Q340" s="47"/>
      <c r="R340" s="47"/>
      <c r="S340" s="47"/>
      <c r="T340" s="144"/>
      <c r="U340" s="144"/>
      <c r="V340" s="45"/>
      <c r="W340" s="45"/>
      <c r="X340" s="47"/>
      <c r="Y340" s="144"/>
      <c r="Z340" s="144"/>
      <c r="AA340" s="146"/>
      <c r="AB340" s="146"/>
      <c r="AC340" s="142"/>
      <c r="AD340" s="142"/>
      <c r="AE340" s="142"/>
    </row>
    <row r="341" spans="1:337" s="53" customFormat="1" ht="15" thickBot="1" x14ac:dyDescent="0.4">
      <c r="A341" s="49"/>
      <c r="B341" s="49"/>
      <c r="C341" s="50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49"/>
      <c r="U341" s="49"/>
      <c r="V341" s="49"/>
      <c r="W341" s="49"/>
      <c r="X341" s="51"/>
      <c r="Y341" s="49"/>
      <c r="Z341" s="49"/>
      <c r="AA341" s="52"/>
      <c r="AB341" s="52"/>
      <c r="AC341" s="51"/>
      <c r="AD341" s="51"/>
      <c r="AE341" s="5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/>
      <c r="KO341"/>
      <c r="KP341"/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  <c r="LK341"/>
      <c r="LL341"/>
      <c r="LM341"/>
      <c r="LN341"/>
      <c r="LO341"/>
      <c r="LP341"/>
      <c r="LQ341"/>
      <c r="LR341"/>
      <c r="LS341"/>
      <c r="LT341"/>
      <c r="LU341"/>
      <c r="LV341"/>
      <c r="LW341"/>
      <c r="LX341"/>
      <c r="LY341"/>
    </row>
    <row r="342" spans="1:337" x14ac:dyDescent="0.35">
      <c r="A342" s="41" t="s">
        <v>31</v>
      </c>
      <c r="B342" s="41" t="s">
        <v>32</v>
      </c>
      <c r="C342" s="42">
        <v>46213</v>
      </c>
      <c r="D342" s="43">
        <v>0</v>
      </c>
      <c r="E342" s="43">
        <v>20</v>
      </c>
      <c r="F342" s="43">
        <v>20</v>
      </c>
      <c r="G342" s="43">
        <v>28</v>
      </c>
      <c r="H342" s="43">
        <v>40</v>
      </c>
      <c r="I342" s="43">
        <v>10</v>
      </c>
      <c r="J342" s="43">
        <v>21449</v>
      </c>
      <c r="K342" s="43">
        <f>SUM(L342:L344)</f>
        <v>6</v>
      </c>
      <c r="L342" s="43">
        <v>2</v>
      </c>
      <c r="M342" s="43"/>
      <c r="N342" s="43">
        <v>4</v>
      </c>
      <c r="O342" s="43">
        <v>3</v>
      </c>
      <c r="P342" s="43">
        <v>7</v>
      </c>
      <c r="Q342" s="43">
        <v>6</v>
      </c>
      <c r="R342" s="43">
        <v>9</v>
      </c>
      <c r="S342" s="43">
        <v>9</v>
      </c>
      <c r="T342" s="43">
        <v>25</v>
      </c>
      <c r="U342" s="43">
        <v>4</v>
      </c>
      <c r="V342" s="41" t="s">
        <v>33</v>
      </c>
      <c r="W342" s="41" t="s">
        <v>34</v>
      </c>
      <c r="X342" s="41">
        <v>1</v>
      </c>
      <c r="Y342" s="41">
        <v>3</v>
      </c>
      <c r="Z342" s="41">
        <v>322</v>
      </c>
      <c r="AA342" s="44">
        <v>34</v>
      </c>
      <c r="AB342" s="44">
        <v>34</v>
      </c>
      <c r="AC342" s="43">
        <v>45</v>
      </c>
      <c r="AD342" s="43">
        <v>30</v>
      </c>
      <c r="AE342" s="43">
        <v>45</v>
      </c>
    </row>
    <row r="343" spans="1:337" x14ac:dyDescent="0.35">
      <c r="A343" s="32" t="s">
        <v>31</v>
      </c>
      <c r="B343" s="32" t="s">
        <v>35</v>
      </c>
      <c r="C343" s="33">
        <v>46213</v>
      </c>
      <c r="D343" s="34">
        <v>13</v>
      </c>
      <c r="E343" s="34">
        <v>24</v>
      </c>
      <c r="F343" s="34">
        <v>25</v>
      </c>
      <c r="G343" s="141"/>
      <c r="H343" s="141"/>
      <c r="I343" s="141"/>
      <c r="J343" s="141"/>
      <c r="K343" s="141"/>
      <c r="L343" s="34">
        <v>2</v>
      </c>
      <c r="M343" s="34">
        <v>5</v>
      </c>
      <c r="N343" s="34">
        <v>4</v>
      </c>
      <c r="O343" s="34">
        <v>4</v>
      </c>
      <c r="P343" s="32">
        <v>7</v>
      </c>
      <c r="Q343" s="32">
        <v>7</v>
      </c>
      <c r="R343" s="32">
        <v>8</v>
      </c>
      <c r="S343" s="32">
        <v>6</v>
      </c>
      <c r="T343" s="143"/>
      <c r="U343" s="143"/>
      <c r="V343" s="32" t="s">
        <v>36</v>
      </c>
      <c r="W343" s="32" t="s">
        <v>37</v>
      </c>
      <c r="X343" s="32">
        <v>1</v>
      </c>
      <c r="Y343" s="143"/>
      <c r="Z343" s="143"/>
      <c r="AA343" s="145"/>
      <c r="AB343" s="145"/>
      <c r="AC343" s="141"/>
      <c r="AD343" s="141"/>
      <c r="AE343" s="141"/>
    </row>
    <row r="344" spans="1:337" ht="15" thickBot="1" x14ac:dyDescent="0.4">
      <c r="A344" s="45" t="s">
        <v>31</v>
      </c>
      <c r="B344" s="45" t="s">
        <v>38</v>
      </c>
      <c r="C344" s="46">
        <v>46213</v>
      </c>
      <c r="D344" s="47"/>
      <c r="E344" s="47"/>
      <c r="F344" s="47"/>
      <c r="G344" s="142"/>
      <c r="H344" s="142"/>
      <c r="I344" s="142"/>
      <c r="J344" s="142"/>
      <c r="K344" s="142"/>
      <c r="L344" s="47">
        <v>2</v>
      </c>
      <c r="M344" s="47"/>
      <c r="N344" s="47"/>
      <c r="O344" s="47"/>
      <c r="P344" s="47"/>
      <c r="Q344" s="47"/>
      <c r="R344" s="47"/>
      <c r="S344" s="47"/>
      <c r="T344" s="144"/>
      <c r="U344" s="144"/>
      <c r="V344" s="45"/>
      <c r="W344" s="45"/>
      <c r="X344" s="47"/>
      <c r="Y344" s="144"/>
      <c r="Z344" s="144"/>
      <c r="AA344" s="146"/>
      <c r="AB344" s="146"/>
      <c r="AC344" s="142"/>
      <c r="AD344" s="142"/>
      <c r="AE344" s="142"/>
    </row>
    <row r="345" spans="1:337" s="53" customFormat="1" ht="15" thickBot="1" x14ac:dyDescent="0.4">
      <c r="A345" s="49"/>
      <c r="B345" s="49"/>
      <c r="C345" s="50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49"/>
      <c r="U345" s="49"/>
      <c r="V345" s="49"/>
      <c r="W345" s="49"/>
      <c r="X345" s="51"/>
      <c r="Y345" s="49"/>
      <c r="Z345" s="49"/>
      <c r="AA345" s="52"/>
      <c r="AB345" s="52"/>
      <c r="AC345" s="51"/>
      <c r="AD345" s="51"/>
      <c r="AE345" s="51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  <c r="KN345"/>
      <c r="KO345"/>
      <c r="KP345"/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/>
      <c r="LH345"/>
      <c r="LI345"/>
      <c r="LJ345"/>
      <c r="LK345"/>
      <c r="LL345"/>
      <c r="LM345"/>
      <c r="LN345"/>
      <c r="LO345"/>
      <c r="LP345"/>
      <c r="LQ345"/>
      <c r="LR345"/>
      <c r="LS345"/>
      <c r="LT345"/>
      <c r="LU345"/>
      <c r="LV345"/>
      <c r="LW345"/>
      <c r="LX345"/>
      <c r="LY345"/>
    </row>
    <row r="346" spans="1:337" x14ac:dyDescent="0.35">
      <c r="A346" s="41" t="s">
        <v>31</v>
      </c>
      <c r="B346" s="41" t="s">
        <v>32</v>
      </c>
      <c r="C346" s="42">
        <v>46216</v>
      </c>
      <c r="D346" s="43">
        <v>0</v>
      </c>
      <c r="E346" s="43">
        <v>20</v>
      </c>
      <c r="F346" s="43">
        <v>20</v>
      </c>
      <c r="G346" s="43">
        <v>28</v>
      </c>
      <c r="H346" s="43">
        <v>40</v>
      </c>
      <c r="I346" s="43">
        <v>10</v>
      </c>
      <c r="J346" s="43">
        <v>21449</v>
      </c>
      <c r="K346" s="43">
        <f>SUM(L346:L348)</f>
        <v>6</v>
      </c>
      <c r="L346" s="43">
        <v>2</v>
      </c>
      <c r="M346" s="43"/>
      <c r="N346" s="43">
        <v>4</v>
      </c>
      <c r="O346" s="43">
        <v>3</v>
      </c>
      <c r="P346" s="43">
        <v>7</v>
      </c>
      <c r="Q346" s="43">
        <v>6</v>
      </c>
      <c r="R346" s="43">
        <v>9</v>
      </c>
      <c r="S346" s="43">
        <v>9</v>
      </c>
      <c r="T346" s="43">
        <v>25</v>
      </c>
      <c r="U346" s="43">
        <v>4</v>
      </c>
      <c r="V346" s="41" t="s">
        <v>33</v>
      </c>
      <c r="W346" s="41" t="s">
        <v>34</v>
      </c>
      <c r="X346" s="41">
        <v>1</v>
      </c>
      <c r="Y346" s="41">
        <v>3</v>
      </c>
      <c r="Z346" s="41">
        <v>322</v>
      </c>
      <c r="AA346" s="44">
        <v>34</v>
      </c>
      <c r="AB346" s="44">
        <v>34</v>
      </c>
      <c r="AC346" s="43">
        <v>45</v>
      </c>
      <c r="AD346" s="43">
        <v>30</v>
      </c>
      <c r="AE346" s="43">
        <v>45</v>
      </c>
    </row>
    <row r="347" spans="1:337" x14ac:dyDescent="0.35">
      <c r="A347" s="32" t="s">
        <v>31</v>
      </c>
      <c r="B347" s="32" t="s">
        <v>35</v>
      </c>
      <c r="C347" s="33">
        <v>46216</v>
      </c>
      <c r="D347" s="34">
        <v>13</v>
      </c>
      <c r="E347" s="34">
        <v>24</v>
      </c>
      <c r="F347" s="34">
        <v>25</v>
      </c>
      <c r="G347" s="141"/>
      <c r="H347" s="141"/>
      <c r="I347" s="141"/>
      <c r="J347" s="141"/>
      <c r="K347" s="141"/>
      <c r="L347" s="34">
        <v>2</v>
      </c>
      <c r="M347" s="34">
        <v>5</v>
      </c>
      <c r="N347" s="34">
        <v>4</v>
      </c>
      <c r="O347" s="34">
        <v>4</v>
      </c>
      <c r="P347" s="32">
        <v>7</v>
      </c>
      <c r="Q347" s="32">
        <v>7</v>
      </c>
      <c r="R347" s="32">
        <v>8</v>
      </c>
      <c r="S347" s="32">
        <v>6</v>
      </c>
      <c r="T347" s="143"/>
      <c r="U347" s="143"/>
      <c r="V347" s="32" t="s">
        <v>36</v>
      </c>
      <c r="W347" s="32" t="s">
        <v>37</v>
      </c>
      <c r="X347" s="32">
        <v>1</v>
      </c>
      <c r="Y347" s="143"/>
      <c r="Z347" s="143"/>
      <c r="AA347" s="145"/>
      <c r="AB347" s="145"/>
      <c r="AC347" s="141"/>
      <c r="AD347" s="141"/>
      <c r="AE347" s="141"/>
    </row>
    <row r="348" spans="1:337" ht="15" thickBot="1" x14ac:dyDescent="0.4">
      <c r="A348" s="45" t="s">
        <v>31</v>
      </c>
      <c r="B348" s="45" t="s">
        <v>38</v>
      </c>
      <c r="C348" s="46">
        <v>46216</v>
      </c>
      <c r="D348" s="47"/>
      <c r="E348" s="47"/>
      <c r="F348" s="47"/>
      <c r="G348" s="142"/>
      <c r="H348" s="142"/>
      <c r="I348" s="142"/>
      <c r="J348" s="142"/>
      <c r="K348" s="142"/>
      <c r="L348" s="47">
        <v>2</v>
      </c>
      <c r="M348" s="47"/>
      <c r="N348" s="47"/>
      <c r="O348" s="47"/>
      <c r="P348" s="47"/>
      <c r="Q348" s="47"/>
      <c r="R348" s="47"/>
      <c r="S348" s="47"/>
      <c r="T348" s="144"/>
      <c r="U348" s="144"/>
      <c r="V348" s="45"/>
      <c r="W348" s="45"/>
      <c r="X348" s="47"/>
      <c r="Y348" s="144"/>
      <c r="Z348" s="144"/>
      <c r="AA348" s="146"/>
      <c r="AB348" s="146"/>
      <c r="AC348" s="142"/>
      <c r="AD348" s="142"/>
      <c r="AE348" s="142"/>
    </row>
    <row r="349" spans="1:337" s="53" customFormat="1" ht="15" thickBot="1" x14ac:dyDescent="0.4">
      <c r="A349" s="49"/>
      <c r="B349" s="49"/>
      <c r="C349" s="50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49"/>
      <c r="U349" s="49"/>
      <c r="V349" s="49"/>
      <c r="W349" s="49"/>
      <c r="X349" s="51"/>
      <c r="Y349" s="49"/>
      <c r="Z349" s="49"/>
      <c r="AA349" s="52"/>
      <c r="AB349" s="52"/>
      <c r="AC349" s="51"/>
      <c r="AD349" s="51"/>
      <c r="AE349" s="51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/>
      <c r="KO349"/>
      <c r="KP349"/>
      <c r="KQ349"/>
      <c r="KR349"/>
      <c r="KS349"/>
      <c r="KT349"/>
      <c r="KU349"/>
      <c r="KV349"/>
      <c r="KW349"/>
      <c r="KX349"/>
      <c r="KY349"/>
      <c r="KZ349"/>
      <c r="LA349"/>
      <c r="LB349"/>
      <c r="LC349"/>
      <c r="LD349"/>
      <c r="LE349"/>
      <c r="LF349"/>
      <c r="LG349"/>
      <c r="LH349"/>
      <c r="LI349"/>
      <c r="LJ349"/>
      <c r="LK349"/>
      <c r="LL349"/>
      <c r="LM349"/>
      <c r="LN349"/>
      <c r="LO349"/>
      <c r="LP349"/>
      <c r="LQ349"/>
      <c r="LR349"/>
      <c r="LS349"/>
      <c r="LT349"/>
      <c r="LU349"/>
      <c r="LV349"/>
      <c r="LW349"/>
      <c r="LX349"/>
      <c r="LY349"/>
    </row>
    <row r="350" spans="1:337" x14ac:dyDescent="0.35">
      <c r="A350" s="41" t="s">
        <v>31</v>
      </c>
      <c r="B350" s="41" t="s">
        <v>32</v>
      </c>
      <c r="C350" s="42">
        <v>46217</v>
      </c>
      <c r="D350" s="43">
        <v>0</v>
      </c>
      <c r="E350" s="43">
        <v>20</v>
      </c>
      <c r="F350" s="43">
        <v>20</v>
      </c>
      <c r="G350" s="43">
        <v>28</v>
      </c>
      <c r="H350" s="43">
        <v>40</v>
      </c>
      <c r="I350" s="43">
        <v>10</v>
      </c>
      <c r="J350" s="43">
        <v>21449</v>
      </c>
      <c r="K350" s="43">
        <f>SUM(L350:L352)</f>
        <v>6</v>
      </c>
      <c r="L350" s="43">
        <v>2</v>
      </c>
      <c r="M350" s="43"/>
      <c r="N350" s="43">
        <v>4</v>
      </c>
      <c r="O350" s="43">
        <v>3</v>
      </c>
      <c r="P350" s="43">
        <v>7</v>
      </c>
      <c r="Q350" s="43">
        <v>6</v>
      </c>
      <c r="R350" s="43">
        <v>9</v>
      </c>
      <c r="S350" s="43">
        <v>9</v>
      </c>
      <c r="T350" s="43">
        <v>25</v>
      </c>
      <c r="U350" s="43">
        <v>4</v>
      </c>
      <c r="V350" s="41" t="s">
        <v>33</v>
      </c>
      <c r="W350" s="41" t="s">
        <v>34</v>
      </c>
      <c r="X350" s="41">
        <v>1</v>
      </c>
      <c r="Y350" s="41">
        <v>3</v>
      </c>
      <c r="Z350" s="41">
        <v>322</v>
      </c>
      <c r="AA350" s="44">
        <v>34</v>
      </c>
      <c r="AB350" s="44">
        <v>34</v>
      </c>
      <c r="AC350" s="43">
        <v>45</v>
      </c>
      <c r="AD350" s="43">
        <v>30</v>
      </c>
      <c r="AE350" s="43">
        <v>45</v>
      </c>
    </row>
    <row r="351" spans="1:337" x14ac:dyDescent="0.35">
      <c r="A351" s="32" t="s">
        <v>31</v>
      </c>
      <c r="B351" s="32" t="s">
        <v>35</v>
      </c>
      <c r="C351" s="33">
        <v>46217</v>
      </c>
      <c r="D351" s="34">
        <v>13</v>
      </c>
      <c r="E351" s="34">
        <v>24</v>
      </c>
      <c r="F351" s="34">
        <v>25</v>
      </c>
      <c r="G351" s="141"/>
      <c r="H351" s="141"/>
      <c r="I351" s="141"/>
      <c r="J351" s="141"/>
      <c r="K351" s="141"/>
      <c r="L351" s="34">
        <v>2</v>
      </c>
      <c r="M351" s="34">
        <v>5</v>
      </c>
      <c r="N351" s="34">
        <v>4</v>
      </c>
      <c r="O351" s="34">
        <v>4</v>
      </c>
      <c r="P351" s="32">
        <v>7</v>
      </c>
      <c r="Q351" s="32">
        <v>7</v>
      </c>
      <c r="R351" s="32">
        <v>8</v>
      </c>
      <c r="S351" s="32">
        <v>6</v>
      </c>
      <c r="T351" s="143"/>
      <c r="U351" s="143"/>
      <c r="V351" s="32" t="s">
        <v>36</v>
      </c>
      <c r="W351" s="32" t="s">
        <v>37</v>
      </c>
      <c r="X351" s="32">
        <v>1</v>
      </c>
      <c r="Y351" s="143"/>
      <c r="Z351" s="143"/>
      <c r="AA351" s="145"/>
      <c r="AB351" s="145"/>
      <c r="AC351" s="141"/>
      <c r="AD351" s="141"/>
      <c r="AE351" s="141"/>
    </row>
    <row r="352" spans="1:337" ht="15" thickBot="1" x14ac:dyDescent="0.4">
      <c r="A352" s="45" t="s">
        <v>31</v>
      </c>
      <c r="B352" s="45" t="s">
        <v>38</v>
      </c>
      <c r="C352" s="46">
        <v>46217</v>
      </c>
      <c r="D352" s="47"/>
      <c r="E352" s="47"/>
      <c r="F352" s="47"/>
      <c r="G352" s="142"/>
      <c r="H352" s="142"/>
      <c r="I352" s="142"/>
      <c r="J352" s="142"/>
      <c r="K352" s="142"/>
      <c r="L352" s="47">
        <v>2</v>
      </c>
      <c r="M352" s="47"/>
      <c r="N352" s="47"/>
      <c r="O352" s="47"/>
      <c r="P352" s="47"/>
      <c r="Q352" s="47"/>
      <c r="R352" s="47"/>
      <c r="S352" s="47"/>
      <c r="T352" s="144"/>
      <c r="U352" s="144"/>
      <c r="V352" s="45"/>
      <c r="W352" s="45"/>
      <c r="X352" s="47"/>
      <c r="Y352" s="144"/>
      <c r="Z352" s="144"/>
      <c r="AA352" s="146"/>
      <c r="AB352" s="146"/>
      <c r="AC352" s="142"/>
      <c r="AD352" s="142"/>
      <c r="AE352" s="142"/>
    </row>
    <row r="353" spans="1:337" s="53" customFormat="1" ht="15" thickBot="1" x14ac:dyDescent="0.4">
      <c r="A353" s="49"/>
      <c r="B353" s="49"/>
      <c r="C353" s="50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49"/>
      <c r="U353" s="49"/>
      <c r="V353" s="49"/>
      <c r="W353" s="49"/>
      <c r="X353" s="51"/>
      <c r="Y353" s="49"/>
      <c r="Z353" s="49"/>
      <c r="AA353" s="52"/>
      <c r="AB353" s="52"/>
      <c r="AC353" s="51"/>
      <c r="AD353" s="51"/>
      <c r="AE353" s="51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  <c r="KN353"/>
      <c r="KO353"/>
      <c r="KP353"/>
      <c r="KQ353"/>
      <c r="KR353"/>
      <c r="KS353"/>
      <c r="KT353"/>
      <c r="KU353"/>
      <c r="KV353"/>
      <c r="KW353"/>
      <c r="KX353"/>
      <c r="KY353"/>
      <c r="KZ353"/>
      <c r="LA353"/>
      <c r="LB353"/>
      <c r="LC353"/>
      <c r="LD353"/>
      <c r="LE353"/>
      <c r="LF353"/>
      <c r="LG353"/>
      <c r="LH353"/>
      <c r="LI353"/>
      <c r="LJ353"/>
      <c r="LK353"/>
      <c r="LL353"/>
      <c r="LM353"/>
      <c r="LN353"/>
      <c r="LO353"/>
      <c r="LP353"/>
      <c r="LQ353"/>
      <c r="LR353"/>
      <c r="LS353"/>
      <c r="LT353"/>
      <c r="LU353"/>
      <c r="LV353"/>
      <c r="LW353"/>
      <c r="LX353"/>
      <c r="LY353"/>
    </row>
    <row r="354" spans="1:337" x14ac:dyDescent="0.35">
      <c r="A354" s="41" t="s">
        <v>31</v>
      </c>
      <c r="B354" s="41" t="s">
        <v>32</v>
      </c>
      <c r="C354" s="42">
        <v>46218</v>
      </c>
      <c r="D354" s="43">
        <v>0</v>
      </c>
      <c r="E354" s="43">
        <v>20</v>
      </c>
      <c r="F354" s="43">
        <v>20</v>
      </c>
      <c r="G354" s="43">
        <v>28</v>
      </c>
      <c r="H354" s="43">
        <v>40</v>
      </c>
      <c r="I354" s="43">
        <v>10</v>
      </c>
      <c r="J354" s="43">
        <v>21449</v>
      </c>
      <c r="K354" s="43">
        <f>SUM(L354:L356)</f>
        <v>6</v>
      </c>
      <c r="L354" s="43">
        <v>2</v>
      </c>
      <c r="M354" s="43"/>
      <c r="N354" s="43">
        <v>4</v>
      </c>
      <c r="O354" s="43">
        <v>3</v>
      </c>
      <c r="P354" s="43">
        <v>7</v>
      </c>
      <c r="Q354" s="43">
        <v>6</v>
      </c>
      <c r="R354" s="43">
        <v>9</v>
      </c>
      <c r="S354" s="43">
        <v>9</v>
      </c>
      <c r="T354" s="43">
        <v>25</v>
      </c>
      <c r="U354" s="43">
        <v>4</v>
      </c>
      <c r="V354" s="41" t="s">
        <v>33</v>
      </c>
      <c r="W354" s="41" t="s">
        <v>34</v>
      </c>
      <c r="X354" s="41">
        <v>1</v>
      </c>
      <c r="Y354" s="41">
        <v>3</v>
      </c>
      <c r="Z354" s="41">
        <v>322</v>
      </c>
      <c r="AA354" s="44">
        <v>34</v>
      </c>
      <c r="AB354" s="44">
        <v>34</v>
      </c>
      <c r="AC354" s="43">
        <v>45</v>
      </c>
      <c r="AD354" s="43">
        <v>30</v>
      </c>
      <c r="AE354" s="43">
        <v>45</v>
      </c>
    </row>
    <row r="355" spans="1:337" x14ac:dyDescent="0.35">
      <c r="A355" s="32" t="s">
        <v>31</v>
      </c>
      <c r="B355" s="32" t="s">
        <v>35</v>
      </c>
      <c r="C355" s="33">
        <v>46218</v>
      </c>
      <c r="D355" s="34">
        <v>13</v>
      </c>
      <c r="E355" s="34">
        <v>24</v>
      </c>
      <c r="F355" s="34">
        <v>25</v>
      </c>
      <c r="G355" s="141"/>
      <c r="H355" s="141"/>
      <c r="I355" s="141"/>
      <c r="J355" s="141"/>
      <c r="K355" s="141"/>
      <c r="L355" s="34">
        <v>2</v>
      </c>
      <c r="M355" s="34">
        <v>5</v>
      </c>
      <c r="N355" s="34">
        <v>4</v>
      </c>
      <c r="O355" s="34">
        <v>4</v>
      </c>
      <c r="P355" s="32">
        <v>7</v>
      </c>
      <c r="Q355" s="32">
        <v>7</v>
      </c>
      <c r="R355" s="32">
        <v>8</v>
      </c>
      <c r="S355" s="32">
        <v>6</v>
      </c>
      <c r="T355" s="143"/>
      <c r="U355" s="143"/>
      <c r="V355" s="32" t="s">
        <v>36</v>
      </c>
      <c r="W355" s="32" t="s">
        <v>37</v>
      </c>
      <c r="X355" s="32">
        <v>1</v>
      </c>
      <c r="Y355" s="143"/>
      <c r="Z355" s="143"/>
      <c r="AA355" s="145"/>
      <c r="AB355" s="145"/>
      <c r="AC355" s="141"/>
      <c r="AD355" s="141"/>
      <c r="AE355" s="141"/>
    </row>
    <row r="356" spans="1:337" ht="15" thickBot="1" x14ac:dyDescent="0.4">
      <c r="A356" s="45" t="s">
        <v>31</v>
      </c>
      <c r="B356" s="45" t="s">
        <v>38</v>
      </c>
      <c r="C356" s="46">
        <v>46218</v>
      </c>
      <c r="D356" s="47"/>
      <c r="E356" s="47"/>
      <c r="F356" s="47"/>
      <c r="G356" s="142"/>
      <c r="H356" s="142"/>
      <c r="I356" s="142"/>
      <c r="J356" s="142"/>
      <c r="K356" s="142"/>
      <c r="L356" s="47">
        <v>2</v>
      </c>
      <c r="M356" s="47"/>
      <c r="N356" s="47"/>
      <c r="O356" s="47"/>
      <c r="P356" s="47"/>
      <c r="Q356" s="47"/>
      <c r="R356" s="47"/>
      <c r="S356" s="47"/>
      <c r="T356" s="144"/>
      <c r="U356" s="144"/>
      <c r="V356" s="45"/>
      <c r="W356" s="45"/>
      <c r="X356" s="47"/>
      <c r="Y356" s="144"/>
      <c r="Z356" s="144"/>
      <c r="AA356" s="146"/>
      <c r="AB356" s="146"/>
      <c r="AC356" s="142"/>
      <c r="AD356" s="142"/>
      <c r="AE356" s="142"/>
    </row>
    <row r="357" spans="1:337" s="53" customFormat="1" ht="15" thickBot="1" x14ac:dyDescent="0.4">
      <c r="A357" s="49"/>
      <c r="B357" s="49"/>
      <c r="C357" s="50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49"/>
      <c r="U357" s="49"/>
      <c r="V357" s="49"/>
      <c r="W357" s="49"/>
      <c r="X357" s="51"/>
      <c r="Y357" s="49"/>
      <c r="Z357" s="49"/>
      <c r="AA357" s="52"/>
      <c r="AB357" s="52"/>
      <c r="AC357" s="51"/>
      <c r="AD357" s="51"/>
      <c r="AE357" s="51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/>
      <c r="KO357"/>
      <c r="KP357"/>
      <c r="KQ357"/>
      <c r="KR357"/>
      <c r="KS357"/>
      <c r="KT357"/>
      <c r="KU357"/>
      <c r="KV357"/>
      <c r="KW357"/>
      <c r="KX357"/>
      <c r="KY357"/>
      <c r="KZ357"/>
      <c r="LA357"/>
      <c r="LB357"/>
      <c r="LC357"/>
      <c r="LD357"/>
      <c r="LE357"/>
      <c r="LF357"/>
      <c r="LG357"/>
      <c r="LH357"/>
      <c r="LI357"/>
      <c r="LJ357"/>
      <c r="LK357"/>
      <c r="LL357"/>
      <c r="LM357"/>
      <c r="LN357"/>
      <c r="LO357"/>
      <c r="LP357"/>
      <c r="LQ357"/>
      <c r="LR357"/>
      <c r="LS357"/>
      <c r="LT357"/>
      <c r="LU357"/>
      <c r="LV357"/>
      <c r="LW357"/>
      <c r="LX357"/>
      <c r="LY357"/>
    </row>
    <row r="358" spans="1:337" x14ac:dyDescent="0.35">
      <c r="A358" s="41" t="s">
        <v>31</v>
      </c>
      <c r="B358" s="41" t="s">
        <v>32</v>
      </c>
      <c r="C358" s="42">
        <v>46219</v>
      </c>
      <c r="D358" s="43">
        <v>0</v>
      </c>
      <c r="E358" s="43">
        <v>20</v>
      </c>
      <c r="F358" s="43">
        <v>20</v>
      </c>
      <c r="G358" s="43">
        <v>28</v>
      </c>
      <c r="H358" s="43">
        <v>40</v>
      </c>
      <c r="I358" s="43">
        <v>10</v>
      </c>
      <c r="J358" s="43">
        <v>21449</v>
      </c>
      <c r="K358" s="43">
        <f>SUM(L358:L360)</f>
        <v>6</v>
      </c>
      <c r="L358" s="43">
        <v>2</v>
      </c>
      <c r="M358" s="43"/>
      <c r="N358" s="43">
        <v>4</v>
      </c>
      <c r="O358" s="43">
        <v>3</v>
      </c>
      <c r="P358" s="43">
        <v>7</v>
      </c>
      <c r="Q358" s="43">
        <v>6</v>
      </c>
      <c r="R358" s="43">
        <v>9</v>
      </c>
      <c r="S358" s="43">
        <v>9</v>
      </c>
      <c r="T358" s="43">
        <v>25</v>
      </c>
      <c r="U358" s="43">
        <v>4</v>
      </c>
      <c r="V358" s="41" t="s">
        <v>33</v>
      </c>
      <c r="W358" s="41" t="s">
        <v>34</v>
      </c>
      <c r="X358" s="41">
        <v>1</v>
      </c>
      <c r="Y358" s="41">
        <v>3</v>
      </c>
      <c r="Z358" s="41">
        <v>322</v>
      </c>
      <c r="AA358" s="44">
        <v>34</v>
      </c>
      <c r="AB358" s="44">
        <v>34</v>
      </c>
      <c r="AC358" s="43">
        <v>45</v>
      </c>
      <c r="AD358" s="43">
        <v>30</v>
      </c>
      <c r="AE358" s="43">
        <v>45</v>
      </c>
    </row>
    <row r="359" spans="1:337" x14ac:dyDescent="0.35">
      <c r="A359" s="32" t="s">
        <v>31</v>
      </c>
      <c r="B359" s="32" t="s">
        <v>35</v>
      </c>
      <c r="C359" s="33">
        <v>46219</v>
      </c>
      <c r="D359" s="34">
        <v>13</v>
      </c>
      <c r="E359" s="34">
        <v>24</v>
      </c>
      <c r="F359" s="34">
        <v>25</v>
      </c>
      <c r="G359" s="141"/>
      <c r="H359" s="141"/>
      <c r="I359" s="141"/>
      <c r="J359" s="141"/>
      <c r="K359" s="141"/>
      <c r="L359" s="34">
        <v>2</v>
      </c>
      <c r="M359" s="34">
        <v>5</v>
      </c>
      <c r="N359" s="34">
        <v>4</v>
      </c>
      <c r="O359" s="34">
        <v>4</v>
      </c>
      <c r="P359" s="32">
        <v>7</v>
      </c>
      <c r="Q359" s="32">
        <v>7</v>
      </c>
      <c r="R359" s="32">
        <v>8</v>
      </c>
      <c r="S359" s="32">
        <v>6</v>
      </c>
      <c r="T359" s="143"/>
      <c r="U359" s="143"/>
      <c r="V359" s="32" t="s">
        <v>36</v>
      </c>
      <c r="W359" s="32" t="s">
        <v>37</v>
      </c>
      <c r="X359" s="32">
        <v>1</v>
      </c>
      <c r="Y359" s="143"/>
      <c r="Z359" s="143"/>
      <c r="AA359" s="145"/>
      <c r="AB359" s="145"/>
      <c r="AC359" s="141"/>
      <c r="AD359" s="141"/>
      <c r="AE359" s="141"/>
    </row>
    <row r="360" spans="1:337" ht="15" thickBot="1" x14ac:dyDescent="0.4">
      <c r="A360" s="45" t="s">
        <v>31</v>
      </c>
      <c r="B360" s="45" t="s">
        <v>38</v>
      </c>
      <c r="C360" s="46">
        <v>46219</v>
      </c>
      <c r="D360" s="47"/>
      <c r="E360" s="47"/>
      <c r="F360" s="47"/>
      <c r="G360" s="142"/>
      <c r="H360" s="142"/>
      <c r="I360" s="142"/>
      <c r="J360" s="142"/>
      <c r="K360" s="142"/>
      <c r="L360" s="47">
        <v>2</v>
      </c>
      <c r="M360" s="47"/>
      <c r="N360" s="47"/>
      <c r="O360" s="47"/>
      <c r="P360" s="47"/>
      <c r="Q360" s="47"/>
      <c r="R360" s="47"/>
      <c r="S360" s="47"/>
      <c r="T360" s="144"/>
      <c r="U360" s="144"/>
      <c r="V360" s="45"/>
      <c r="W360" s="45"/>
      <c r="X360" s="47"/>
      <c r="Y360" s="144"/>
      <c r="Z360" s="144"/>
      <c r="AA360" s="146"/>
      <c r="AB360" s="146"/>
      <c r="AC360" s="142"/>
      <c r="AD360" s="142"/>
      <c r="AE360" s="142"/>
    </row>
    <row r="361" spans="1:337" s="53" customFormat="1" ht="15" thickBot="1" x14ac:dyDescent="0.4">
      <c r="A361" s="49"/>
      <c r="B361" s="49"/>
      <c r="C361" s="50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49"/>
      <c r="U361" s="49"/>
      <c r="V361" s="49"/>
      <c r="W361" s="49"/>
      <c r="X361" s="51"/>
      <c r="Y361" s="49"/>
      <c r="Z361" s="49"/>
      <c r="AA361" s="52"/>
      <c r="AB361" s="52"/>
      <c r="AC361" s="51"/>
      <c r="AD361" s="51"/>
      <c r="AE361" s="5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/>
      <c r="KO361"/>
      <c r="KP361"/>
      <c r="KQ361"/>
      <c r="KR361"/>
      <c r="KS361"/>
      <c r="KT361"/>
      <c r="KU361"/>
      <c r="KV361"/>
      <c r="KW361"/>
      <c r="KX361"/>
      <c r="KY361"/>
      <c r="KZ361"/>
      <c r="LA361"/>
      <c r="LB361"/>
      <c r="LC361"/>
      <c r="LD361"/>
      <c r="LE361"/>
      <c r="LF361"/>
      <c r="LG361"/>
      <c r="LH361"/>
      <c r="LI361"/>
      <c r="LJ361"/>
      <c r="LK361"/>
      <c r="LL361"/>
      <c r="LM361"/>
      <c r="LN361"/>
      <c r="LO361"/>
      <c r="LP361"/>
      <c r="LQ361"/>
      <c r="LR361"/>
      <c r="LS361"/>
      <c r="LT361"/>
      <c r="LU361"/>
      <c r="LV361"/>
      <c r="LW361"/>
      <c r="LX361"/>
      <c r="LY361"/>
    </row>
    <row r="362" spans="1:337" x14ac:dyDescent="0.35">
      <c r="A362" s="41" t="s">
        <v>31</v>
      </c>
      <c r="B362" s="41" t="s">
        <v>32</v>
      </c>
      <c r="C362" s="42">
        <v>46220</v>
      </c>
      <c r="D362" s="43">
        <v>0</v>
      </c>
      <c r="E362" s="43">
        <v>20</v>
      </c>
      <c r="F362" s="43">
        <v>20</v>
      </c>
      <c r="G362" s="43">
        <v>28</v>
      </c>
      <c r="H362" s="43">
        <v>40</v>
      </c>
      <c r="I362" s="43">
        <v>10</v>
      </c>
      <c r="J362" s="43">
        <v>21449</v>
      </c>
      <c r="K362" s="43">
        <f>SUM(L362:L364)</f>
        <v>6</v>
      </c>
      <c r="L362" s="43">
        <v>2</v>
      </c>
      <c r="M362" s="43"/>
      <c r="N362" s="43">
        <v>4</v>
      </c>
      <c r="O362" s="43">
        <v>3</v>
      </c>
      <c r="P362" s="43">
        <v>7</v>
      </c>
      <c r="Q362" s="43">
        <v>6</v>
      </c>
      <c r="R362" s="43">
        <v>9</v>
      </c>
      <c r="S362" s="43">
        <v>9</v>
      </c>
      <c r="T362" s="43">
        <v>20</v>
      </c>
      <c r="U362" s="43">
        <v>3</v>
      </c>
      <c r="V362" s="41" t="s">
        <v>33</v>
      </c>
      <c r="W362" s="41" t="s">
        <v>34</v>
      </c>
      <c r="X362" s="41">
        <v>1</v>
      </c>
      <c r="Y362" s="41">
        <v>3</v>
      </c>
      <c r="Z362" s="41">
        <v>322</v>
      </c>
      <c r="AA362" s="44">
        <v>34</v>
      </c>
      <c r="AB362" s="44">
        <v>34</v>
      </c>
      <c r="AC362" s="43">
        <v>45</v>
      </c>
      <c r="AD362" s="43">
        <v>30</v>
      </c>
      <c r="AE362" s="43">
        <v>45</v>
      </c>
    </row>
    <row r="363" spans="1:337" x14ac:dyDescent="0.35">
      <c r="A363" s="32" t="s">
        <v>31</v>
      </c>
      <c r="B363" s="32" t="s">
        <v>35</v>
      </c>
      <c r="C363" s="33">
        <v>46220</v>
      </c>
      <c r="D363" s="34">
        <v>13</v>
      </c>
      <c r="E363" s="34">
        <v>24</v>
      </c>
      <c r="F363" s="34">
        <v>25</v>
      </c>
      <c r="G363" s="141"/>
      <c r="H363" s="141"/>
      <c r="I363" s="141"/>
      <c r="J363" s="141"/>
      <c r="K363" s="141"/>
      <c r="L363" s="34">
        <v>2</v>
      </c>
      <c r="M363" s="34">
        <v>5</v>
      </c>
      <c r="N363" s="34">
        <v>4</v>
      </c>
      <c r="O363" s="34">
        <v>4</v>
      </c>
      <c r="P363" s="32">
        <v>7</v>
      </c>
      <c r="Q363" s="32">
        <v>7</v>
      </c>
      <c r="R363" s="32">
        <v>8</v>
      </c>
      <c r="S363" s="32">
        <v>6</v>
      </c>
      <c r="T363" s="143"/>
      <c r="U363" s="143"/>
      <c r="V363" s="32" t="s">
        <v>36</v>
      </c>
      <c r="W363" s="32" t="s">
        <v>37</v>
      </c>
      <c r="X363" s="32">
        <v>1</v>
      </c>
      <c r="Y363" s="143"/>
      <c r="Z363" s="143"/>
      <c r="AA363" s="145"/>
      <c r="AB363" s="145"/>
      <c r="AC363" s="141"/>
      <c r="AD363" s="141"/>
      <c r="AE363" s="141"/>
    </row>
    <row r="364" spans="1:337" ht="15" thickBot="1" x14ac:dyDescent="0.4">
      <c r="A364" s="45" t="s">
        <v>31</v>
      </c>
      <c r="B364" s="45" t="s">
        <v>38</v>
      </c>
      <c r="C364" s="46">
        <v>46220</v>
      </c>
      <c r="D364" s="47"/>
      <c r="E364" s="47"/>
      <c r="F364" s="47"/>
      <c r="G364" s="142"/>
      <c r="H364" s="142"/>
      <c r="I364" s="142"/>
      <c r="J364" s="142"/>
      <c r="K364" s="142"/>
      <c r="L364" s="47">
        <v>2</v>
      </c>
      <c r="M364" s="47"/>
      <c r="N364" s="47"/>
      <c r="O364" s="47"/>
      <c r="P364" s="47"/>
      <c r="Q364" s="47"/>
      <c r="R364" s="47"/>
      <c r="S364" s="47"/>
      <c r="T364" s="144"/>
      <c r="U364" s="144"/>
      <c r="V364" s="45"/>
      <c r="W364" s="45"/>
      <c r="X364" s="47"/>
      <c r="Y364" s="144"/>
      <c r="Z364" s="144"/>
      <c r="AA364" s="146"/>
      <c r="AB364" s="146"/>
      <c r="AC364" s="142"/>
      <c r="AD364" s="142"/>
      <c r="AE364" s="142"/>
    </row>
    <row r="365" spans="1:337" s="53" customFormat="1" ht="15" thickBot="1" x14ac:dyDescent="0.4">
      <c r="A365" s="49"/>
      <c r="B365" s="49"/>
      <c r="C365" s="50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49"/>
      <c r="U365" s="49"/>
      <c r="V365" s="49"/>
      <c r="W365" s="49"/>
      <c r="X365" s="51"/>
      <c r="Y365" s="49"/>
      <c r="Z365" s="49"/>
      <c r="AA365" s="52"/>
      <c r="AB365" s="52"/>
      <c r="AC365" s="51"/>
      <c r="AD365" s="51"/>
      <c r="AE365" s="51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/>
      <c r="KN365"/>
      <c r="KO365"/>
      <c r="KP365"/>
      <c r="KQ365"/>
      <c r="KR365"/>
      <c r="KS365"/>
      <c r="KT365"/>
      <c r="KU365"/>
      <c r="KV365"/>
      <c r="KW365"/>
      <c r="KX365"/>
      <c r="KY365"/>
      <c r="KZ365"/>
      <c r="LA365"/>
      <c r="LB365"/>
      <c r="LC365"/>
      <c r="LD365"/>
      <c r="LE365"/>
      <c r="LF365"/>
      <c r="LG365"/>
      <c r="LH365"/>
      <c r="LI365"/>
      <c r="LJ365"/>
      <c r="LK365"/>
      <c r="LL365"/>
      <c r="LM365"/>
      <c r="LN365"/>
      <c r="LO365"/>
      <c r="LP365"/>
      <c r="LQ365"/>
      <c r="LR365"/>
      <c r="LS365"/>
      <c r="LT365"/>
      <c r="LU365"/>
      <c r="LV365"/>
      <c r="LW365"/>
      <c r="LX365"/>
      <c r="LY365"/>
    </row>
    <row r="366" spans="1:337" x14ac:dyDescent="0.35">
      <c r="A366" s="41" t="s">
        <v>31</v>
      </c>
      <c r="B366" s="41" t="s">
        <v>32</v>
      </c>
      <c r="C366" s="42">
        <v>46223</v>
      </c>
      <c r="D366" s="43">
        <v>0</v>
      </c>
      <c r="E366" s="43">
        <v>20</v>
      </c>
      <c r="F366" s="43">
        <v>20</v>
      </c>
      <c r="G366" s="43">
        <v>28</v>
      </c>
      <c r="H366" s="43">
        <v>40</v>
      </c>
      <c r="I366" s="43">
        <v>10</v>
      </c>
      <c r="J366" s="43">
        <v>21449</v>
      </c>
      <c r="K366" s="43">
        <f>SUM(L366:L368)</f>
        <v>6</v>
      </c>
      <c r="L366" s="43">
        <v>2</v>
      </c>
      <c r="M366" s="43"/>
      <c r="N366" s="43">
        <v>4</v>
      </c>
      <c r="O366" s="43">
        <v>3</v>
      </c>
      <c r="P366" s="43">
        <v>7</v>
      </c>
      <c r="Q366" s="43">
        <v>6</v>
      </c>
      <c r="R366" s="43">
        <v>9</v>
      </c>
      <c r="S366" s="43">
        <v>9</v>
      </c>
      <c r="T366" s="43">
        <v>25</v>
      </c>
      <c r="U366" s="43">
        <v>4</v>
      </c>
      <c r="V366" s="41" t="s">
        <v>33</v>
      </c>
      <c r="W366" s="41" t="s">
        <v>34</v>
      </c>
      <c r="X366" s="41">
        <v>1</v>
      </c>
      <c r="Y366" s="41">
        <v>3</v>
      </c>
      <c r="Z366" s="41">
        <v>322</v>
      </c>
      <c r="AA366" s="44">
        <v>34</v>
      </c>
      <c r="AB366" s="44">
        <v>34</v>
      </c>
      <c r="AC366" s="43">
        <v>45</v>
      </c>
      <c r="AD366" s="43">
        <v>30</v>
      </c>
      <c r="AE366" s="43">
        <v>45</v>
      </c>
    </row>
    <row r="367" spans="1:337" x14ac:dyDescent="0.35">
      <c r="A367" s="32" t="s">
        <v>31</v>
      </c>
      <c r="B367" s="32" t="s">
        <v>35</v>
      </c>
      <c r="C367" s="33">
        <v>46223</v>
      </c>
      <c r="D367" s="34">
        <v>13</v>
      </c>
      <c r="E367" s="34">
        <v>24</v>
      </c>
      <c r="F367" s="34">
        <v>25</v>
      </c>
      <c r="G367" s="141"/>
      <c r="H367" s="141"/>
      <c r="I367" s="141"/>
      <c r="J367" s="141"/>
      <c r="K367" s="141"/>
      <c r="L367" s="34">
        <v>2</v>
      </c>
      <c r="M367" s="34">
        <v>5</v>
      </c>
      <c r="N367" s="34">
        <v>4</v>
      </c>
      <c r="O367" s="34">
        <v>4</v>
      </c>
      <c r="P367" s="32">
        <v>7</v>
      </c>
      <c r="Q367" s="32">
        <v>7</v>
      </c>
      <c r="R367" s="32">
        <v>8</v>
      </c>
      <c r="S367" s="32">
        <v>6</v>
      </c>
      <c r="T367" s="143"/>
      <c r="U367" s="143"/>
      <c r="V367" s="32" t="s">
        <v>36</v>
      </c>
      <c r="W367" s="32" t="s">
        <v>37</v>
      </c>
      <c r="X367" s="32">
        <v>1</v>
      </c>
      <c r="Y367" s="143"/>
      <c r="Z367" s="143"/>
      <c r="AA367" s="145"/>
      <c r="AB367" s="145"/>
      <c r="AC367" s="141"/>
      <c r="AD367" s="141"/>
      <c r="AE367" s="141"/>
    </row>
    <row r="368" spans="1:337" ht="15" thickBot="1" x14ac:dyDescent="0.4">
      <c r="A368" s="45" t="s">
        <v>31</v>
      </c>
      <c r="B368" s="45" t="s">
        <v>38</v>
      </c>
      <c r="C368" s="46">
        <v>46223</v>
      </c>
      <c r="D368" s="47"/>
      <c r="E368" s="47"/>
      <c r="F368" s="47"/>
      <c r="G368" s="142"/>
      <c r="H368" s="142"/>
      <c r="I368" s="142"/>
      <c r="J368" s="142"/>
      <c r="K368" s="142"/>
      <c r="L368" s="47">
        <v>2</v>
      </c>
      <c r="M368" s="47"/>
      <c r="N368" s="47"/>
      <c r="O368" s="47"/>
      <c r="P368" s="47"/>
      <c r="Q368" s="47"/>
      <c r="R368" s="47"/>
      <c r="S368" s="47"/>
      <c r="T368" s="144"/>
      <c r="U368" s="144"/>
      <c r="V368" s="45"/>
      <c r="W368" s="45"/>
      <c r="X368" s="47"/>
      <c r="Y368" s="144"/>
      <c r="Z368" s="144"/>
      <c r="AA368" s="146"/>
      <c r="AB368" s="146"/>
      <c r="AC368" s="142"/>
      <c r="AD368" s="142"/>
      <c r="AE368" s="142"/>
    </row>
    <row r="369" spans="1:337" s="53" customFormat="1" ht="15" thickBot="1" x14ac:dyDescent="0.4">
      <c r="A369" s="49"/>
      <c r="B369" s="49"/>
      <c r="C369" s="50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49"/>
      <c r="U369" s="49"/>
      <c r="V369" s="49"/>
      <c r="W369" s="49"/>
      <c r="X369" s="51"/>
      <c r="Y369" s="49"/>
      <c r="Z369" s="49"/>
      <c r="AA369" s="52"/>
      <c r="AB369" s="52"/>
      <c r="AC369" s="51"/>
      <c r="AD369" s="51"/>
      <c r="AE369" s="51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  <c r="KI369"/>
      <c r="KJ369"/>
      <c r="KK369"/>
      <c r="KL369"/>
      <c r="KM369"/>
      <c r="KN369"/>
      <c r="KO369"/>
      <c r="KP369"/>
      <c r="KQ369"/>
      <c r="KR369"/>
      <c r="KS369"/>
      <c r="KT369"/>
      <c r="KU369"/>
      <c r="KV369"/>
      <c r="KW369"/>
      <c r="KX369"/>
      <c r="KY369"/>
      <c r="KZ369"/>
      <c r="LA369"/>
      <c r="LB369"/>
      <c r="LC369"/>
      <c r="LD369"/>
      <c r="LE369"/>
      <c r="LF369"/>
      <c r="LG369"/>
      <c r="LH369"/>
      <c r="LI369"/>
      <c r="LJ369"/>
      <c r="LK369"/>
      <c r="LL369"/>
      <c r="LM369"/>
      <c r="LN369"/>
      <c r="LO369"/>
      <c r="LP369"/>
      <c r="LQ369"/>
      <c r="LR369"/>
      <c r="LS369"/>
      <c r="LT369"/>
      <c r="LU369"/>
      <c r="LV369"/>
      <c r="LW369"/>
      <c r="LX369"/>
      <c r="LY369"/>
    </row>
    <row r="370" spans="1:337" x14ac:dyDescent="0.35">
      <c r="A370" s="41" t="s">
        <v>31</v>
      </c>
      <c r="B370" s="41" t="s">
        <v>32</v>
      </c>
      <c r="C370" s="42">
        <v>46224</v>
      </c>
      <c r="D370" s="43">
        <v>0</v>
      </c>
      <c r="E370" s="43">
        <v>20</v>
      </c>
      <c r="F370" s="43">
        <v>20</v>
      </c>
      <c r="G370" s="43">
        <v>28</v>
      </c>
      <c r="H370" s="43">
        <v>40</v>
      </c>
      <c r="I370" s="43">
        <v>10</v>
      </c>
      <c r="J370" s="43">
        <v>21449</v>
      </c>
      <c r="K370" s="43">
        <f>SUM(L370:L372)</f>
        <v>6</v>
      </c>
      <c r="L370" s="43">
        <v>2</v>
      </c>
      <c r="M370" s="43"/>
      <c r="N370" s="43">
        <v>4</v>
      </c>
      <c r="O370" s="43">
        <v>3</v>
      </c>
      <c r="P370" s="43">
        <v>7</v>
      </c>
      <c r="Q370" s="43">
        <v>6</v>
      </c>
      <c r="R370" s="43">
        <v>9</v>
      </c>
      <c r="S370" s="43">
        <v>9</v>
      </c>
      <c r="T370" s="43">
        <v>25</v>
      </c>
      <c r="U370" s="43">
        <v>4</v>
      </c>
      <c r="V370" s="41" t="s">
        <v>33</v>
      </c>
      <c r="W370" s="41" t="s">
        <v>34</v>
      </c>
      <c r="X370" s="41">
        <v>1</v>
      </c>
      <c r="Y370" s="41">
        <v>3</v>
      </c>
      <c r="Z370" s="41">
        <v>322</v>
      </c>
      <c r="AA370" s="44">
        <v>34</v>
      </c>
      <c r="AB370" s="44">
        <v>34</v>
      </c>
      <c r="AC370" s="43">
        <v>45</v>
      </c>
      <c r="AD370" s="43">
        <v>30</v>
      </c>
      <c r="AE370" s="43">
        <v>45</v>
      </c>
    </row>
    <row r="371" spans="1:337" x14ac:dyDescent="0.35">
      <c r="A371" s="32" t="s">
        <v>31</v>
      </c>
      <c r="B371" s="32" t="s">
        <v>35</v>
      </c>
      <c r="C371" s="33">
        <v>46224</v>
      </c>
      <c r="D371" s="34">
        <v>13</v>
      </c>
      <c r="E371" s="34">
        <v>24</v>
      </c>
      <c r="F371" s="34">
        <v>25</v>
      </c>
      <c r="G371" s="141"/>
      <c r="H371" s="141"/>
      <c r="I371" s="141"/>
      <c r="J371" s="141"/>
      <c r="K371" s="141"/>
      <c r="L371" s="34">
        <v>2</v>
      </c>
      <c r="M371" s="34">
        <v>5</v>
      </c>
      <c r="N371" s="34">
        <v>4</v>
      </c>
      <c r="O371" s="34">
        <v>4</v>
      </c>
      <c r="P371" s="32">
        <v>7</v>
      </c>
      <c r="Q371" s="32">
        <v>7</v>
      </c>
      <c r="R371" s="32">
        <v>8</v>
      </c>
      <c r="S371" s="32">
        <v>6</v>
      </c>
      <c r="T371" s="143"/>
      <c r="U371" s="143"/>
      <c r="V371" s="32" t="s">
        <v>36</v>
      </c>
      <c r="W371" s="32" t="s">
        <v>37</v>
      </c>
      <c r="X371" s="32">
        <v>1</v>
      </c>
      <c r="Y371" s="143"/>
      <c r="Z371" s="143"/>
      <c r="AA371" s="145"/>
      <c r="AB371" s="145"/>
      <c r="AC371" s="141"/>
      <c r="AD371" s="141"/>
      <c r="AE371" s="141"/>
    </row>
    <row r="372" spans="1:337" ht="15" thickBot="1" x14ac:dyDescent="0.4">
      <c r="A372" s="45" t="s">
        <v>31</v>
      </c>
      <c r="B372" s="45" t="s">
        <v>38</v>
      </c>
      <c r="C372" s="46">
        <v>46224</v>
      </c>
      <c r="D372" s="47"/>
      <c r="E372" s="47"/>
      <c r="F372" s="47"/>
      <c r="G372" s="142"/>
      <c r="H372" s="142"/>
      <c r="I372" s="142"/>
      <c r="J372" s="142"/>
      <c r="K372" s="142"/>
      <c r="L372" s="47">
        <v>2</v>
      </c>
      <c r="M372" s="47"/>
      <c r="N372" s="47"/>
      <c r="O372" s="47"/>
      <c r="P372" s="47"/>
      <c r="Q372" s="47"/>
      <c r="R372" s="47"/>
      <c r="S372" s="47"/>
      <c r="T372" s="144"/>
      <c r="U372" s="144"/>
      <c r="V372" s="45"/>
      <c r="W372" s="45"/>
      <c r="X372" s="47"/>
      <c r="Y372" s="144"/>
      <c r="Z372" s="144"/>
      <c r="AA372" s="146"/>
      <c r="AB372" s="146"/>
      <c r="AC372" s="142"/>
      <c r="AD372" s="142"/>
      <c r="AE372" s="142"/>
    </row>
    <row r="373" spans="1:337" s="53" customFormat="1" ht="15" thickBot="1" x14ac:dyDescent="0.4">
      <c r="A373" s="49"/>
      <c r="B373" s="49"/>
      <c r="C373" s="50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49"/>
      <c r="U373" s="49"/>
      <c r="V373" s="49"/>
      <c r="W373" s="49"/>
      <c r="X373" s="51"/>
      <c r="Y373" s="49"/>
      <c r="Z373" s="49"/>
      <c r="AA373" s="52"/>
      <c r="AB373" s="52"/>
      <c r="AC373" s="51"/>
      <c r="AD373" s="51"/>
      <c r="AE373" s="51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  <c r="KI373"/>
      <c r="KJ373"/>
      <c r="KK373"/>
      <c r="KL373"/>
      <c r="KM373"/>
      <c r="KN373"/>
      <c r="KO373"/>
      <c r="KP373"/>
      <c r="KQ373"/>
      <c r="KR373"/>
      <c r="KS373"/>
      <c r="KT373"/>
      <c r="KU373"/>
      <c r="KV373"/>
      <c r="KW373"/>
      <c r="KX373"/>
      <c r="KY373"/>
      <c r="KZ373"/>
      <c r="LA373"/>
      <c r="LB373"/>
      <c r="LC373"/>
      <c r="LD373"/>
      <c r="LE373"/>
      <c r="LF373"/>
      <c r="LG373"/>
      <c r="LH373"/>
      <c r="LI373"/>
      <c r="LJ373"/>
      <c r="LK373"/>
      <c r="LL373"/>
      <c r="LM373"/>
      <c r="LN373"/>
      <c r="LO373"/>
      <c r="LP373"/>
      <c r="LQ373"/>
      <c r="LR373"/>
      <c r="LS373"/>
      <c r="LT373"/>
      <c r="LU373"/>
      <c r="LV373"/>
      <c r="LW373"/>
      <c r="LX373"/>
      <c r="LY373"/>
    </row>
    <row r="374" spans="1:337" x14ac:dyDescent="0.35">
      <c r="A374" s="41" t="s">
        <v>31</v>
      </c>
      <c r="B374" s="41" t="s">
        <v>32</v>
      </c>
      <c r="C374" s="42">
        <v>46225</v>
      </c>
      <c r="D374" s="43">
        <v>0</v>
      </c>
      <c r="E374" s="43">
        <v>20</v>
      </c>
      <c r="F374" s="43">
        <v>20</v>
      </c>
      <c r="G374" s="43">
        <v>28</v>
      </c>
      <c r="H374" s="43">
        <v>40</v>
      </c>
      <c r="I374" s="43">
        <v>10</v>
      </c>
      <c r="J374" s="43">
        <v>21449</v>
      </c>
      <c r="K374" s="43">
        <f>SUM(L374:L376)</f>
        <v>6</v>
      </c>
      <c r="L374" s="43">
        <v>2</v>
      </c>
      <c r="M374" s="43"/>
      <c r="N374" s="43">
        <v>4</v>
      </c>
      <c r="O374" s="43">
        <v>3</v>
      </c>
      <c r="P374" s="43">
        <v>7</v>
      </c>
      <c r="Q374" s="43">
        <v>6</v>
      </c>
      <c r="R374" s="43">
        <v>9</v>
      </c>
      <c r="S374" s="43">
        <v>9</v>
      </c>
      <c r="T374" s="43">
        <v>25</v>
      </c>
      <c r="U374" s="43">
        <v>4</v>
      </c>
      <c r="V374" s="41" t="s">
        <v>33</v>
      </c>
      <c r="W374" s="41" t="s">
        <v>34</v>
      </c>
      <c r="X374" s="41">
        <v>1</v>
      </c>
      <c r="Y374" s="41">
        <v>3</v>
      </c>
      <c r="Z374" s="41">
        <v>322</v>
      </c>
      <c r="AA374" s="44">
        <v>34</v>
      </c>
      <c r="AB374" s="44">
        <v>34</v>
      </c>
      <c r="AC374" s="43">
        <v>45</v>
      </c>
      <c r="AD374" s="43">
        <v>30</v>
      </c>
      <c r="AE374" s="43">
        <v>45</v>
      </c>
    </row>
    <row r="375" spans="1:337" x14ac:dyDescent="0.35">
      <c r="A375" s="32" t="s">
        <v>31</v>
      </c>
      <c r="B375" s="32" t="s">
        <v>35</v>
      </c>
      <c r="C375" s="33">
        <v>46225</v>
      </c>
      <c r="D375" s="34">
        <v>13</v>
      </c>
      <c r="E375" s="34">
        <v>24</v>
      </c>
      <c r="F375" s="34">
        <v>25</v>
      </c>
      <c r="G375" s="141"/>
      <c r="H375" s="141"/>
      <c r="I375" s="141"/>
      <c r="J375" s="141"/>
      <c r="K375" s="141"/>
      <c r="L375" s="34">
        <v>2</v>
      </c>
      <c r="M375" s="34">
        <v>5</v>
      </c>
      <c r="N375" s="34">
        <v>4</v>
      </c>
      <c r="O375" s="34">
        <v>4</v>
      </c>
      <c r="P375" s="32">
        <v>7</v>
      </c>
      <c r="Q375" s="32">
        <v>7</v>
      </c>
      <c r="R375" s="32">
        <v>8</v>
      </c>
      <c r="S375" s="32">
        <v>6</v>
      </c>
      <c r="T375" s="143"/>
      <c r="U375" s="143"/>
      <c r="V375" s="32" t="s">
        <v>36</v>
      </c>
      <c r="W375" s="32" t="s">
        <v>37</v>
      </c>
      <c r="X375" s="32">
        <v>1</v>
      </c>
      <c r="Y375" s="143"/>
      <c r="Z375" s="143"/>
      <c r="AA375" s="145"/>
      <c r="AB375" s="145"/>
      <c r="AC375" s="141"/>
      <c r="AD375" s="141"/>
      <c r="AE375" s="141"/>
    </row>
    <row r="376" spans="1:337" ht="15" thickBot="1" x14ac:dyDescent="0.4">
      <c r="A376" s="45" t="s">
        <v>31</v>
      </c>
      <c r="B376" s="45" t="s">
        <v>38</v>
      </c>
      <c r="C376" s="46">
        <v>46225</v>
      </c>
      <c r="D376" s="47"/>
      <c r="E376" s="47"/>
      <c r="F376" s="47"/>
      <c r="G376" s="142"/>
      <c r="H376" s="142"/>
      <c r="I376" s="142"/>
      <c r="J376" s="142"/>
      <c r="K376" s="142"/>
      <c r="L376" s="47">
        <v>2</v>
      </c>
      <c r="M376" s="47"/>
      <c r="N376" s="47"/>
      <c r="O376" s="47"/>
      <c r="P376" s="47"/>
      <c r="Q376" s="47"/>
      <c r="R376" s="47"/>
      <c r="S376" s="47"/>
      <c r="T376" s="144"/>
      <c r="U376" s="144"/>
      <c r="V376" s="45"/>
      <c r="W376" s="45"/>
      <c r="X376" s="47"/>
      <c r="Y376" s="144"/>
      <c r="Z376" s="144"/>
      <c r="AA376" s="146"/>
      <c r="AB376" s="146"/>
      <c r="AC376" s="142"/>
      <c r="AD376" s="142"/>
      <c r="AE376" s="142"/>
    </row>
    <row r="377" spans="1:337" s="53" customFormat="1" ht="15" thickBot="1" x14ac:dyDescent="0.4">
      <c r="A377" s="49"/>
      <c r="B377" s="49"/>
      <c r="C377" s="50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49"/>
      <c r="U377" s="49"/>
      <c r="V377" s="49"/>
      <c r="W377" s="49"/>
      <c r="X377" s="51"/>
      <c r="Y377" s="49"/>
      <c r="Z377" s="49"/>
      <c r="AA377" s="52"/>
      <c r="AB377" s="52"/>
      <c r="AC377" s="51"/>
      <c r="AD377" s="51"/>
      <c r="AE377" s="51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  <c r="KI377"/>
      <c r="KJ377"/>
      <c r="KK377"/>
      <c r="KL377"/>
      <c r="KM377"/>
      <c r="KN377"/>
      <c r="KO377"/>
      <c r="KP377"/>
      <c r="KQ377"/>
      <c r="KR377"/>
      <c r="KS377"/>
      <c r="KT377"/>
      <c r="KU377"/>
      <c r="KV377"/>
      <c r="KW377"/>
      <c r="KX377"/>
      <c r="KY377"/>
      <c r="KZ377"/>
      <c r="LA377"/>
      <c r="LB377"/>
      <c r="LC377"/>
      <c r="LD377"/>
      <c r="LE377"/>
      <c r="LF377"/>
      <c r="LG377"/>
      <c r="LH377"/>
      <c r="LI377"/>
      <c r="LJ377"/>
      <c r="LK377"/>
      <c r="LL377"/>
      <c r="LM377"/>
      <c r="LN377"/>
      <c r="LO377"/>
      <c r="LP377"/>
      <c r="LQ377"/>
      <c r="LR377"/>
      <c r="LS377"/>
      <c r="LT377"/>
      <c r="LU377"/>
      <c r="LV377"/>
      <c r="LW377"/>
      <c r="LX377"/>
      <c r="LY377"/>
    </row>
    <row r="378" spans="1:337" x14ac:dyDescent="0.35">
      <c r="A378" s="41" t="s">
        <v>31</v>
      </c>
      <c r="B378" s="41" t="s">
        <v>32</v>
      </c>
      <c r="C378" s="42">
        <v>46226</v>
      </c>
      <c r="D378" s="43">
        <v>0</v>
      </c>
      <c r="E378" s="43">
        <v>20</v>
      </c>
      <c r="F378" s="43">
        <v>20</v>
      </c>
      <c r="G378" s="43">
        <v>28</v>
      </c>
      <c r="H378" s="43">
        <v>40</v>
      </c>
      <c r="I378" s="43">
        <v>10</v>
      </c>
      <c r="J378" s="43">
        <v>21449</v>
      </c>
      <c r="K378" s="43">
        <f>SUM(L378:L380)</f>
        <v>6</v>
      </c>
      <c r="L378" s="43">
        <v>2</v>
      </c>
      <c r="M378" s="43"/>
      <c r="N378" s="43">
        <v>4</v>
      </c>
      <c r="O378" s="43">
        <v>3</v>
      </c>
      <c r="P378" s="43">
        <v>7</v>
      </c>
      <c r="Q378" s="43">
        <v>6</v>
      </c>
      <c r="R378" s="43">
        <v>9</v>
      </c>
      <c r="S378" s="43">
        <v>9</v>
      </c>
      <c r="T378" s="43">
        <v>25</v>
      </c>
      <c r="U378" s="43">
        <v>4</v>
      </c>
      <c r="V378" s="41" t="s">
        <v>33</v>
      </c>
      <c r="W378" s="41" t="s">
        <v>34</v>
      </c>
      <c r="X378" s="41">
        <v>1</v>
      </c>
      <c r="Y378" s="41">
        <v>3</v>
      </c>
      <c r="Z378" s="41">
        <v>322</v>
      </c>
      <c r="AA378" s="44">
        <v>34</v>
      </c>
      <c r="AB378" s="44">
        <v>34</v>
      </c>
      <c r="AC378" s="43">
        <v>45</v>
      </c>
      <c r="AD378" s="43">
        <v>30</v>
      </c>
      <c r="AE378" s="43">
        <v>45</v>
      </c>
    </row>
    <row r="379" spans="1:337" x14ac:dyDescent="0.35">
      <c r="A379" s="32" t="s">
        <v>31</v>
      </c>
      <c r="B379" s="32" t="s">
        <v>35</v>
      </c>
      <c r="C379" s="33">
        <v>46226</v>
      </c>
      <c r="D379" s="34">
        <v>13</v>
      </c>
      <c r="E379" s="34">
        <v>24</v>
      </c>
      <c r="F379" s="34">
        <v>25</v>
      </c>
      <c r="G379" s="141"/>
      <c r="H379" s="141"/>
      <c r="I379" s="141"/>
      <c r="J379" s="141"/>
      <c r="K379" s="141"/>
      <c r="L379" s="34">
        <v>2</v>
      </c>
      <c r="M379" s="34">
        <v>5</v>
      </c>
      <c r="N379" s="34">
        <v>4</v>
      </c>
      <c r="O379" s="34">
        <v>4</v>
      </c>
      <c r="P379" s="32">
        <v>7</v>
      </c>
      <c r="Q379" s="32">
        <v>7</v>
      </c>
      <c r="R379" s="32">
        <v>8</v>
      </c>
      <c r="S379" s="32">
        <v>6</v>
      </c>
      <c r="T379" s="143"/>
      <c r="U379" s="143"/>
      <c r="V379" s="32" t="s">
        <v>36</v>
      </c>
      <c r="W379" s="32" t="s">
        <v>37</v>
      </c>
      <c r="X379" s="32">
        <v>1</v>
      </c>
      <c r="Y379" s="143"/>
      <c r="Z379" s="143"/>
      <c r="AA379" s="145"/>
      <c r="AB379" s="145"/>
      <c r="AC379" s="141"/>
      <c r="AD379" s="141"/>
      <c r="AE379" s="141"/>
    </row>
    <row r="380" spans="1:337" ht="15" thickBot="1" x14ac:dyDescent="0.4">
      <c r="A380" s="45" t="s">
        <v>31</v>
      </c>
      <c r="B380" s="45" t="s">
        <v>38</v>
      </c>
      <c r="C380" s="46">
        <v>46226</v>
      </c>
      <c r="D380" s="47"/>
      <c r="E380" s="47"/>
      <c r="F380" s="47"/>
      <c r="G380" s="142"/>
      <c r="H380" s="142"/>
      <c r="I380" s="142"/>
      <c r="J380" s="142"/>
      <c r="K380" s="142"/>
      <c r="L380" s="47">
        <v>2</v>
      </c>
      <c r="M380" s="47"/>
      <c r="N380" s="47"/>
      <c r="O380" s="47"/>
      <c r="P380" s="47"/>
      <c r="Q380" s="47"/>
      <c r="R380" s="47"/>
      <c r="S380" s="47"/>
      <c r="T380" s="144"/>
      <c r="U380" s="144"/>
      <c r="V380" s="45"/>
      <c r="W380" s="45"/>
      <c r="X380" s="47"/>
      <c r="Y380" s="144"/>
      <c r="Z380" s="144"/>
      <c r="AA380" s="146"/>
      <c r="AB380" s="146"/>
      <c r="AC380" s="142"/>
      <c r="AD380" s="142"/>
      <c r="AE380" s="142"/>
    </row>
    <row r="381" spans="1:337" s="53" customFormat="1" ht="15" thickBot="1" x14ac:dyDescent="0.4">
      <c r="A381" s="49"/>
      <c r="B381" s="49"/>
      <c r="C381" s="50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49"/>
      <c r="U381" s="49"/>
      <c r="V381" s="49"/>
      <c r="W381" s="49"/>
      <c r="X381" s="51"/>
      <c r="Y381" s="49"/>
      <c r="Z381" s="49"/>
      <c r="AA381" s="52"/>
      <c r="AB381" s="52"/>
      <c r="AC381" s="51"/>
      <c r="AD381" s="51"/>
      <c r="AE381" s="5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  <c r="KI381"/>
      <c r="KJ381"/>
      <c r="KK381"/>
      <c r="KL381"/>
      <c r="KM381"/>
      <c r="KN381"/>
      <c r="KO381"/>
      <c r="KP381"/>
      <c r="KQ381"/>
      <c r="KR381"/>
      <c r="KS381"/>
      <c r="KT381"/>
      <c r="KU381"/>
      <c r="KV381"/>
      <c r="KW381"/>
      <c r="KX381"/>
      <c r="KY381"/>
      <c r="KZ381"/>
      <c r="LA381"/>
      <c r="LB381"/>
      <c r="LC381"/>
      <c r="LD381"/>
      <c r="LE381"/>
      <c r="LF381"/>
      <c r="LG381"/>
      <c r="LH381"/>
      <c r="LI381"/>
      <c r="LJ381"/>
      <c r="LK381"/>
      <c r="LL381"/>
      <c r="LM381"/>
      <c r="LN381"/>
      <c r="LO381"/>
      <c r="LP381"/>
      <c r="LQ381"/>
      <c r="LR381"/>
      <c r="LS381"/>
      <c r="LT381"/>
      <c r="LU381"/>
      <c r="LV381"/>
      <c r="LW381"/>
      <c r="LX381"/>
      <c r="LY381"/>
    </row>
    <row r="382" spans="1:337" x14ac:dyDescent="0.35">
      <c r="A382" s="41" t="s">
        <v>31</v>
      </c>
      <c r="B382" s="41" t="s">
        <v>32</v>
      </c>
      <c r="C382" s="42">
        <v>46227</v>
      </c>
      <c r="D382" s="43">
        <v>0</v>
      </c>
      <c r="E382" s="43">
        <v>20</v>
      </c>
      <c r="F382" s="43">
        <v>20</v>
      </c>
      <c r="G382" s="43">
        <v>28</v>
      </c>
      <c r="H382" s="43">
        <v>40</v>
      </c>
      <c r="I382" s="43">
        <v>10</v>
      </c>
      <c r="J382" s="43">
        <v>21449</v>
      </c>
      <c r="K382" s="43">
        <f>SUM(L382:L384)</f>
        <v>6</v>
      </c>
      <c r="L382" s="43">
        <v>2</v>
      </c>
      <c r="M382" s="43"/>
      <c r="N382" s="43">
        <v>4</v>
      </c>
      <c r="O382" s="43">
        <v>3</v>
      </c>
      <c r="P382" s="43">
        <v>7</v>
      </c>
      <c r="Q382" s="43">
        <v>6</v>
      </c>
      <c r="R382" s="43">
        <v>9</v>
      </c>
      <c r="S382" s="43">
        <v>9</v>
      </c>
      <c r="T382" s="43">
        <v>25</v>
      </c>
      <c r="U382" s="43">
        <v>4</v>
      </c>
      <c r="V382" s="41" t="s">
        <v>33</v>
      </c>
      <c r="W382" s="41" t="s">
        <v>34</v>
      </c>
      <c r="X382" s="41">
        <v>1</v>
      </c>
      <c r="Y382" s="41">
        <v>3</v>
      </c>
      <c r="Z382" s="41">
        <v>322</v>
      </c>
      <c r="AA382" s="44">
        <v>34</v>
      </c>
      <c r="AB382" s="44">
        <v>34</v>
      </c>
      <c r="AC382" s="43">
        <v>45</v>
      </c>
      <c r="AD382" s="43">
        <v>30</v>
      </c>
      <c r="AE382" s="43">
        <v>45</v>
      </c>
    </row>
    <row r="383" spans="1:337" x14ac:dyDescent="0.35">
      <c r="A383" s="32" t="s">
        <v>31</v>
      </c>
      <c r="B383" s="32" t="s">
        <v>35</v>
      </c>
      <c r="C383" s="33">
        <v>46227</v>
      </c>
      <c r="D383" s="34">
        <v>13</v>
      </c>
      <c r="E383" s="34">
        <v>24</v>
      </c>
      <c r="F383" s="34">
        <v>25</v>
      </c>
      <c r="G383" s="141"/>
      <c r="H383" s="141"/>
      <c r="I383" s="141"/>
      <c r="J383" s="141"/>
      <c r="K383" s="141"/>
      <c r="L383" s="34">
        <v>2</v>
      </c>
      <c r="M383" s="34">
        <v>5</v>
      </c>
      <c r="N383" s="34">
        <v>4</v>
      </c>
      <c r="O383" s="34">
        <v>4</v>
      </c>
      <c r="P383" s="32">
        <v>7</v>
      </c>
      <c r="Q383" s="32">
        <v>7</v>
      </c>
      <c r="R383" s="32">
        <v>8</v>
      </c>
      <c r="S383" s="32">
        <v>6</v>
      </c>
      <c r="T383" s="143"/>
      <c r="U383" s="143"/>
      <c r="V383" s="32" t="s">
        <v>36</v>
      </c>
      <c r="W383" s="32" t="s">
        <v>37</v>
      </c>
      <c r="X383" s="32">
        <v>1</v>
      </c>
      <c r="Y383" s="143"/>
      <c r="Z383" s="143"/>
      <c r="AA383" s="145"/>
      <c r="AB383" s="145"/>
      <c r="AC383" s="141"/>
      <c r="AD383" s="141"/>
      <c r="AE383" s="141"/>
    </row>
    <row r="384" spans="1:337" ht="15" thickBot="1" x14ac:dyDescent="0.4">
      <c r="A384" s="45" t="s">
        <v>31</v>
      </c>
      <c r="B384" s="45" t="s">
        <v>38</v>
      </c>
      <c r="C384" s="46">
        <v>46227</v>
      </c>
      <c r="D384" s="47"/>
      <c r="E384" s="47"/>
      <c r="F384" s="47"/>
      <c r="G384" s="142"/>
      <c r="H384" s="142"/>
      <c r="I384" s="142"/>
      <c r="J384" s="142"/>
      <c r="K384" s="142"/>
      <c r="L384" s="47">
        <v>2</v>
      </c>
      <c r="M384" s="47"/>
      <c r="N384" s="47"/>
      <c r="O384" s="47"/>
      <c r="P384" s="47"/>
      <c r="Q384" s="47"/>
      <c r="R384" s="47"/>
      <c r="S384" s="47"/>
      <c r="T384" s="144"/>
      <c r="U384" s="144"/>
      <c r="V384" s="45"/>
      <c r="W384" s="45"/>
      <c r="X384" s="47"/>
      <c r="Y384" s="144"/>
      <c r="Z384" s="144"/>
      <c r="AA384" s="146"/>
      <c r="AB384" s="146"/>
      <c r="AC384" s="142"/>
      <c r="AD384" s="142"/>
      <c r="AE384" s="142"/>
    </row>
    <row r="385" spans="1:337" s="53" customFormat="1" ht="15" thickBot="1" x14ac:dyDescent="0.4">
      <c r="A385" s="49"/>
      <c r="B385" s="49"/>
      <c r="C385" s="50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49"/>
      <c r="U385" s="49"/>
      <c r="V385" s="49"/>
      <c r="W385" s="49"/>
      <c r="X385" s="51"/>
      <c r="Y385" s="49"/>
      <c r="Z385" s="49"/>
      <c r="AA385" s="52"/>
      <c r="AB385" s="52"/>
      <c r="AC385" s="51"/>
      <c r="AD385" s="51"/>
      <c r="AE385" s="51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  <c r="KI385"/>
      <c r="KJ385"/>
      <c r="KK385"/>
      <c r="KL385"/>
      <c r="KM385"/>
      <c r="KN385"/>
      <c r="KO385"/>
      <c r="KP385"/>
      <c r="KQ385"/>
      <c r="KR385"/>
      <c r="KS385"/>
      <c r="KT385"/>
      <c r="KU385"/>
      <c r="KV385"/>
      <c r="KW385"/>
      <c r="KX385"/>
      <c r="KY385"/>
      <c r="KZ385"/>
      <c r="LA385"/>
      <c r="LB385"/>
      <c r="LC385"/>
      <c r="LD385"/>
      <c r="LE385"/>
      <c r="LF385"/>
      <c r="LG385"/>
      <c r="LH385"/>
      <c r="LI385"/>
      <c r="LJ385"/>
      <c r="LK385"/>
      <c r="LL385"/>
      <c r="LM385"/>
      <c r="LN385"/>
      <c r="LO385"/>
      <c r="LP385"/>
      <c r="LQ385"/>
      <c r="LR385"/>
      <c r="LS385"/>
      <c r="LT385"/>
      <c r="LU385"/>
      <c r="LV385"/>
      <c r="LW385"/>
      <c r="LX385"/>
      <c r="LY385"/>
    </row>
    <row r="386" spans="1:337" x14ac:dyDescent="0.35">
      <c r="A386" s="41" t="s">
        <v>31</v>
      </c>
      <c r="B386" s="41" t="s">
        <v>32</v>
      </c>
      <c r="C386" s="42">
        <v>46230</v>
      </c>
      <c r="D386" s="43">
        <v>0</v>
      </c>
      <c r="E386" s="43">
        <v>20</v>
      </c>
      <c r="F386" s="43">
        <v>20</v>
      </c>
      <c r="G386" s="43">
        <v>28</v>
      </c>
      <c r="H386" s="43">
        <v>40</v>
      </c>
      <c r="I386" s="43">
        <v>10</v>
      </c>
      <c r="J386" s="43">
        <v>21449</v>
      </c>
      <c r="K386" s="43">
        <f>SUM(L386:L388)</f>
        <v>6</v>
      </c>
      <c r="L386" s="43">
        <v>2</v>
      </c>
      <c r="M386" s="43"/>
      <c r="N386" s="43">
        <v>4</v>
      </c>
      <c r="O386" s="43">
        <v>3</v>
      </c>
      <c r="P386" s="43">
        <v>7</v>
      </c>
      <c r="Q386" s="43">
        <v>6</v>
      </c>
      <c r="R386" s="43">
        <v>9</v>
      </c>
      <c r="S386" s="43">
        <v>9</v>
      </c>
      <c r="T386" s="43">
        <v>20</v>
      </c>
      <c r="U386" s="43">
        <v>3</v>
      </c>
      <c r="V386" s="41" t="s">
        <v>33</v>
      </c>
      <c r="W386" s="41" t="s">
        <v>34</v>
      </c>
      <c r="X386" s="41">
        <v>1</v>
      </c>
      <c r="Y386" s="41">
        <v>3</v>
      </c>
      <c r="Z386" s="41">
        <v>322</v>
      </c>
      <c r="AA386" s="44">
        <v>34</v>
      </c>
      <c r="AB386" s="44">
        <v>34</v>
      </c>
      <c r="AC386" s="43">
        <v>45</v>
      </c>
      <c r="AD386" s="43">
        <v>30</v>
      </c>
      <c r="AE386" s="43">
        <v>45</v>
      </c>
    </row>
    <row r="387" spans="1:337" x14ac:dyDescent="0.35">
      <c r="A387" s="32" t="s">
        <v>31</v>
      </c>
      <c r="B387" s="32" t="s">
        <v>35</v>
      </c>
      <c r="C387" s="33">
        <v>46230</v>
      </c>
      <c r="D387" s="34">
        <v>13</v>
      </c>
      <c r="E387" s="34">
        <v>24</v>
      </c>
      <c r="F387" s="34">
        <v>25</v>
      </c>
      <c r="G387" s="141"/>
      <c r="H387" s="141"/>
      <c r="I387" s="141"/>
      <c r="J387" s="141"/>
      <c r="K387" s="141"/>
      <c r="L387" s="34">
        <v>2</v>
      </c>
      <c r="M387" s="34">
        <v>5</v>
      </c>
      <c r="N387" s="34">
        <v>4</v>
      </c>
      <c r="O387" s="34">
        <v>4</v>
      </c>
      <c r="P387" s="32">
        <v>7</v>
      </c>
      <c r="Q387" s="32">
        <v>7</v>
      </c>
      <c r="R387" s="32">
        <v>8</v>
      </c>
      <c r="S387" s="32">
        <v>6</v>
      </c>
      <c r="T387" s="143"/>
      <c r="U387" s="143"/>
      <c r="V387" s="32" t="s">
        <v>36</v>
      </c>
      <c r="W387" s="32" t="s">
        <v>37</v>
      </c>
      <c r="X387" s="32">
        <v>1</v>
      </c>
      <c r="Y387" s="143"/>
      <c r="Z387" s="143"/>
      <c r="AA387" s="145"/>
      <c r="AB387" s="145"/>
      <c r="AC387" s="141"/>
      <c r="AD387" s="141"/>
      <c r="AE387" s="141"/>
    </row>
    <row r="388" spans="1:337" ht="15" thickBot="1" x14ac:dyDescent="0.4">
      <c r="A388" s="45" t="s">
        <v>31</v>
      </c>
      <c r="B388" s="45" t="s">
        <v>38</v>
      </c>
      <c r="C388" s="46">
        <v>46230</v>
      </c>
      <c r="D388" s="47"/>
      <c r="E388" s="47"/>
      <c r="F388" s="47"/>
      <c r="G388" s="142"/>
      <c r="H388" s="142"/>
      <c r="I388" s="142"/>
      <c r="J388" s="142"/>
      <c r="K388" s="142"/>
      <c r="L388" s="47">
        <v>2</v>
      </c>
      <c r="M388" s="47"/>
      <c r="N388" s="47"/>
      <c r="O388" s="47"/>
      <c r="P388" s="47"/>
      <c r="Q388" s="47"/>
      <c r="R388" s="47"/>
      <c r="S388" s="47"/>
      <c r="T388" s="144"/>
      <c r="U388" s="144"/>
      <c r="V388" s="45"/>
      <c r="W388" s="45"/>
      <c r="X388" s="47"/>
      <c r="Y388" s="144"/>
      <c r="Z388" s="144"/>
      <c r="AA388" s="146"/>
      <c r="AB388" s="146"/>
      <c r="AC388" s="142"/>
      <c r="AD388" s="142"/>
      <c r="AE388" s="142"/>
    </row>
    <row r="389" spans="1:337" s="53" customFormat="1" ht="15" thickBot="1" x14ac:dyDescent="0.4">
      <c r="A389" s="49"/>
      <c r="B389" s="49"/>
      <c r="C389" s="50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49"/>
      <c r="U389" s="49"/>
      <c r="V389" s="49"/>
      <c r="W389" s="49"/>
      <c r="X389" s="51"/>
      <c r="Y389" s="49"/>
      <c r="Z389" s="49"/>
      <c r="AA389" s="52"/>
      <c r="AB389" s="52"/>
      <c r="AC389" s="51"/>
      <c r="AD389" s="51"/>
      <c r="AE389" s="51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  <c r="KI389"/>
      <c r="KJ389"/>
      <c r="KK389"/>
      <c r="KL389"/>
      <c r="KM389"/>
      <c r="KN389"/>
      <c r="KO389"/>
      <c r="KP389"/>
      <c r="KQ389"/>
      <c r="KR389"/>
      <c r="KS389"/>
      <c r="KT389"/>
      <c r="KU389"/>
      <c r="KV389"/>
      <c r="KW389"/>
      <c r="KX389"/>
      <c r="KY389"/>
      <c r="KZ389"/>
      <c r="LA389"/>
      <c r="LB389"/>
      <c r="LC389"/>
      <c r="LD389"/>
      <c r="LE389"/>
      <c r="LF389"/>
      <c r="LG389"/>
      <c r="LH389"/>
      <c r="LI389"/>
      <c r="LJ389"/>
      <c r="LK389"/>
      <c r="LL389"/>
      <c r="LM389"/>
      <c r="LN389"/>
      <c r="LO389"/>
      <c r="LP389"/>
      <c r="LQ389"/>
      <c r="LR389"/>
      <c r="LS389"/>
      <c r="LT389"/>
      <c r="LU389"/>
      <c r="LV389"/>
      <c r="LW389"/>
      <c r="LX389"/>
      <c r="LY389"/>
    </row>
    <row r="390" spans="1:337" x14ac:dyDescent="0.35">
      <c r="A390" s="41" t="s">
        <v>31</v>
      </c>
      <c r="B390" s="41" t="s">
        <v>32</v>
      </c>
      <c r="C390" s="42">
        <v>46231</v>
      </c>
      <c r="D390" s="43">
        <v>0</v>
      </c>
      <c r="E390" s="43">
        <v>20</v>
      </c>
      <c r="F390" s="43">
        <v>20</v>
      </c>
      <c r="G390" s="43">
        <v>28</v>
      </c>
      <c r="H390" s="43">
        <v>40</v>
      </c>
      <c r="I390" s="43">
        <v>10</v>
      </c>
      <c r="J390" s="43">
        <v>21449</v>
      </c>
      <c r="K390" s="43">
        <f>SUM(L390:L392)</f>
        <v>6</v>
      </c>
      <c r="L390" s="43">
        <v>2</v>
      </c>
      <c r="M390" s="43"/>
      <c r="N390" s="43">
        <v>4</v>
      </c>
      <c r="O390" s="43">
        <v>3</v>
      </c>
      <c r="P390" s="43">
        <v>7</v>
      </c>
      <c r="Q390" s="43">
        <v>6</v>
      </c>
      <c r="R390" s="43">
        <v>9</v>
      </c>
      <c r="S390" s="43">
        <v>9</v>
      </c>
      <c r="T390" s="43">
        <v>25</v>
      </c>
      <c r="U390" s="43">
        <v>4</v>
      </c>
      <c r="V390" s="41" t="s">
        <v>33</v>
      </c>
      <c r="W390" s="41" t="s">
        <v>34</v>
      </c>
      <c r="X390" s="41">
        <v>1</v>
      </c>
      <c r="Y390" s="41">
        <v>3</v>
      </c>
      <c r="Z390" s="41">
        <v>322</v>
      </c>
      <c r="AA390" s="44">
        <v>34</v>
      </c>
      <c r="AB390" s="44">
        <v>34</v>
      </c>
      <c r="AC390" s="43">
        <v>45</v>
      </c>
      <c r="AD390" s="43">
        <v>30</v>
      </c>
      <c r="AE390" s="43">
        <v>45</v>
      </c>
    </row>
    <row r="391" spans="1:337" x14ac:dyDescent="0.35">
      <c r="A391" s="32" t="s">
        <v>31</v>
      </c>
      <c r="B391" s="32" t="s">
        <v>35</v>
      </c>
      <c r="C391" s="33">
        <v>46231</v>
      </c>
      <c r="D391" s="34">
        <v>13</v>
      </c>
      <c r="E391" s="34">
        <v>24</v>
      </c>
      <c r="F391" s="34">
        <v>25</v>
      </c>
      <c r="G391" s="141"/>
      <c r="H391" s="141"/>
      <c r="I391" s="141"/>
      <c r="J391" s="141"/>
      <c r="K391" s="141"/>
      <c r="L391" s="34">
        <v>2</v>
      </c>
      <c r="M391" s="34">
        <v>5</v>
      </c>
      <c r="N391" s="34">
        <v>4</v>
      </c>
      <c r="O391" s="34">
        <v>4</v>
      </c>
      <c r="P391" s="32">
        <v>7</v>
      </c>
      <c r="Q391" s="32">
        <v>7</v>
      </c>
      <c r="R391" s="32">
        <v>8</v>
      </c>
      <c r="S391" s="32">
        <v>6</v>
      </c>
      <c r="T391" s="143"/>
      <c r="U391" s="143"/>
      <c r="V391" s="32" t="s">
        <v>36</v>
      </c>
      <c r="W391" s="32" t="s">
        <v>37</v>
      </c>
      <c r="X391" s="32">
        <v>1</v>
      </c>
      <c r="Y391" s="143"/>
      <c r="Z391" s="143"/>
      <c r="AA391" s="145"/>
      <c r="AB391" s="145"/>
      <c r="AC391" s="141"/>
      <c r="AD391" s="141"/>
      <c r="AE391" s="141"/>
    </row>
    <row r="392" spans="1:337" ht="15" thickBot="1" x14ac:dyDescent="0.4">
      <c r="A392" s="45" t="s">
        <v>31</v>
      </c>
      <c r="B392" s="45" t="s">
        <v>38</v>
      </c>
      <c r="C392" s="46">
        <v>46231</v>
      </c>
      <c r="D392" s="47"/>
      <c r="E392" s="47"/>
      <c r="F392" s="47"/>
      <c r="G392" s="142"/>
      <c r="H392" s="142"/>
      <c r="I392" s="142"/>
      <c r="J392" s="142"/>
      <c r="K392" s="142"/>
      <c r="L392" s="47">
        <v>2</v>
      </c>
      <c r="M392" s="47"/>
      <c r="N392" s="47"/>
      <c r="O392" s="47"/>
      <c r="P392" s="47"/>
      <c r="Q392" s="47"/>
      <c r="R392" s="47"/>
      <c r="S392" s="47"/>
      <c r="T392" s="144"/>
      <c r="U392" s="144"/>
      <c r="V392" s="45"/>
      <c r="W392" s="45"/>
      <c r="X392" s="47"/>
      <c r="Y392" s="144"/>
      <c r="Z392" s="144"/>
      <c r="AA392" s="146"/>
      <c r="AB392" s="146"/>
      <c r="AC392" s="142"/>
      <c r="AD392" s="142"/>
      <c r="AE392" s="142"/>
    </row>
    <row r="393" spans="1:337" s="53" customFormat="1" ht="15" thickBot="1" x14ac:dyDescent="0.4">
      <c r="A393" s="49"/>
      <c r="B393" s="49"/>
      <c r="C393" s="50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49"/>
      <c r="U393" s="49"/>
      <c r="V393" s="49"/>
      <c r="W393" s="49"/>
      <c r="X393" s="51"/>
      <c r="Y393" s="49"/>
      <c r="Z393" s="49"/>
      <c r="AA393" s="52"/>
      <c r="AB393" s="52"/>
      <c r="AC393" s="51"/>
      <c r="AD393" s="51"/>
      <c r="AE393" s="51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  <c r="KI393"/>
      <c r="KJ393"/>
      <c r="KK393"/>
      <c r="KL393"/>
      <c r="KM393"/>
      <c r="KN393"/>
      <c r="KO393"/>
      <c r="KP393"/>
      <c r="KQ393"/>
      <c r="KR393"/>
      <c r="KS393"/>
      <c r="KT393"/>
      <c r="KU393"/>
      <c r="KV393"/>
      <c r="KW393"/>
      <c r="KX393"/>
      <c r="KY393"/>
      <c r="KZ393"/>
      <c r="LA393"/>
      <c r="LB393"/>
      <c r="LC393"/>
      <c r="LD393"/>
      <c r="LE393"/>
      <c r="LF393"/>
      <c r="LG393"/>
      <c r="LH393"/>
      <c r="LI393"/>
      <c r="LJ393"/>
      <c r="LK393"/>
      <c r="LL393"/>
      <c r="LM393"/>
      <c r="LN393"/>
      <c r="LO393"/>
      <c r="LP393"/>
      <c r="LQ393"/>
      <c r="LR393"/>
      <c r="LS393"/>
      <c r="LT393"/>
      <c r="LU393"/>
      <c r="LV393"/>
      <c r="LW393"/>
      <c r="LX393"/>
      <c r="LY393"/>
    </row>
    <row r="394" spans="1:337" x14ac:dyDescent="0.35">
      <c r="A394" s="41" t="s">
        <v>31</v>
      </c>
      <c r="B394" s="41" t="s">
        <v>32</v>
      </c>
      <c r="C394" s="42">
        <v>46232</v>
      </c>
      <c r="D394" s="43">
        <v>0</v>
      </c>
      <c r="E394" s="43">
        <v>20</v>
      </c>
      <c r="F394" s="43">
        <v>20</v>
      </c>
      <c r="G394" s="43">
        <v>28</v>
      </c>
      <c r="H394" s="43">
        <v>40</v>
      </c>
      <c r="I394" s="43">
        <v>10</v>
      </c>
      <c r="J394" s="43">
        <v>21449</v>
      </c>
      <c r="K394" s="43">
        <f>SUM(L394:L396)</f>
        <v>6</v>
      </c>
      <c r="L394" s="43">
        <v>2</v>
      </c>
      <c r="M394" s="43"/>
      <c r="N394" s="43">
        <v>4</v>
      </c>
      <c r="O394" s="43">
        <v>3</v>
      </c>
      <c r="P394" s="43">
        <v>7</v>
      </c>
      <c r="Q394" s="43">
        <v>6</v>
      </c>
      <c r="R394" s="43">
        <v>9</v>
      </c>
      <c r="S394" s="43">
        <v>9</v>
      </c>
      <c r="T394" s="43">
        <v>25</v>
      </c>
      <c r="U394" s="43">
        <v>4</v>
      </c>
      <c r="V394" s="41" t="s">
        <v>33</v>
      </c>
      <c r="W394" s="41" t="s">
        <v>34</v>
      </c>
      <c r="X394" s="41">
        <v>1</v>
      </c>
      <c r="Y394" s="41">
        <v>3</v>
      </c>
      <c r="Z394" s="41">
        <v>322</v>
      </c>
      <c r="AA394" s="44">
        <v>34</v>
      </c>
      <c r="AB394" s="44">
        <v>34</v>
      </c>
      <c r="AC394" s="43">
        <v>45</v>
      </c>
      <c r="AD394" s="43">
        <v>30</v>
      </c>
      <c r="AE394" s="43">
        <v>45</v>
      </c>
    </row>
    <row r="395" spans="1:337" x14ac:dyDescent="0.35">
      <c r="A395" s="32" t="s">
        <v>31</v>
      </c>
      <c r="B395" s="32" t="s">
        <v>35</v>
      </c>
      <c r="C395" s="33">
        <v>46232</v>
      </c>
      <c r="D395" s="34">
        <v>13</v>
      </c>
      <c r="E395" s="34">
        <v>24</v>
      </c>
      <c r="F395" s="34">
        <v>25</v>
      </c>
      <c r="G395" s="141"/>
      <c r="H395" s="141"/>
      <c r="I395" s="141"/>
      <c r="J395" s="141"/>
      <c r="K395" s="141"/>
      <c r="L395" s="34">
        <v>2</v>
      </c>
      <c r="M395" s="34">
        <v>5</v>
      </c>
      <c r="N395" s="34">
        <v>4</v>
      </c>
      <c r="O395" s="34">
        <v>4</v>
      </c>
      <c r="P395" s="32">
        <v>7</v>
      </c>
      <c r="Q395" s="32">
        <v>7</v>
      </c>
      <c r="R395" s="32">
        <v>8</v>
      </c>
      <c r="S395" s="32">
        <v>6</v>
      </c>
      <c r="T395" s="143"/>
      <c r="U395" s="143"/>
      <c r="V395" s="32" t="s">
        <v>36</v>
      </c>
      <c r="W395" s="32" t="s">
        <v>37</v>
      </c>
      <c r="X395" s="32">
        <v>1</v>
      </c>
      <c r="Y395" s="143"/>
      <c r="Z395" s="143"/>
      <c r="AA395" s="145"/>
      <c r="AB395" s="145"/>
      <c r="AC395" s="141"/>
      <c r="AD395" s="141"/>
      <c r="AE395" s="141"/>
    </row>
    <row r="396" spans="1:337" ht="15" thickBot="1" x14ac:dyDescent="0.4">
      <c r="A396" s="45" t="s">
        <v>31</v>
      </c>
      <c r="B396" s="45" t="s">
        <v>38</v>
      </c>
      <c r="C396" s="46">
        <v>46232</v>
      </c>
      <c r="D396" s="47"/>
      <c r="E396" s="47"/>
      <c r="F396" s="47"/>
      <c r="G396" s="142"/>
      <c r="H396" s="142"/>
      <c r="I396" s="142"/>
      <c r="J396" s="142"/>
      <c r="K396" s="142"/>
      <c r="L396" s="47">
        <v>2</v>
      </c>
      <c r="M396" s="47"/>
      <c r="N396" s="47"/>
      <c r="O396" s="47"/>
      <c r="P396" s="47"/>
      <c r="Q396" s="47"/>
      <c r="R396" s="47"/>
      <c r="S396" s="47"/>
      <c r="T396" s="144"/>
      <c r="U396" s="144"/>
      <c r="V396" s="45"/>
      <c r="W396" s="45"/>
      <c r="X396" s="47"/>
      <c r="Y396" s="144"/>
      <c r="Z396" s="144"/>
      <c r="AA396" s="146"/>
      <c r="AB396" s="146"/>
      <c r="AC396" s="142"/>
      <c r="AD396" s="142"/>
      <c r="AE396" s="142"/>
    </row>
    <row r="397" spans="1:337" s="53" customFormat="1" ht="15" thickBot="1" x14ac:dyDescent="0.4">
      <c r="A397" s="49"/>
      <c r="B397" s="49"/>
      <c r="C397" s="50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49"/>
      <c r="U397" s="49"/>
      <c r="V397" s="49"/>
      <c r="W397" s="49"/>
      <c r="X397" s="51"/>
      <c r="Y397" s="49"/>
      <c r="Z397" s="49"/>
      <c r="AA397" s="52"/>
      <c r="AB397" s="52"/>
      <c r="AC397" s="51"/>
      <c r="AD397" s="51"/>
      <c r="AE397" s="51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  <c r="KI397"/>
      <c r="KJ397"/>
      <c r="KK397"/>
      <c r="KL397"/>
      <c r="KM397"/>
      <c r="KN397"/>
      <c r="KO397"/>
      <c r="KP397"/>
      <c r="KQ397"/>
      <c r="KR397"/>
      <c r="KS397"/>
      <c r="KT397"/>
      <c r="KU397"/>
      <c r="KV397"/>
      <c r="KW397"/>
      <c r="KX397"/>
      <c r="KY397"/>
      <c r="KZ397"/>
      <c r="LA397"/>
      <c r="LB397"/>
      <c r="LC397"/>
      <c r="LD397"/>
      <c r="LE397"/>
      <c r="LF397"/>
      <c r="LG397"/>
      <c r="LH397"/>
      <c r="LI397"/>
      <c r="LJ397"/>
      <c r="LK397"/>
      <c r="LL397"/>
      <c r="LM397"/>
      <c r="LN397"/>
      <c r="LO397"/>
      <c r="LP397"/>
      <c r="LQ397"/>
      <c r="LR397"/>
      <c r="LS397"/>
      <c r="LT397"/>
      <c r="LU397"/>
      <c r="LV397"/>
      <c r="LW397"/>
      <c r="LX397"/>
      <c r="LY397"/>
    </row>
    <row r="398" spans="1:337" x14ac:dyDescent="0.35">
      <c r="A398" s="41" t="s">
        <v>31</v>
      </c>
      <c r="B398" s="41" t="s">
        <v>32</v>
      </c>
      <c r="C398" s="42">
        <v>46233</v>
      </c>
      <c r="D398" s="43">
        <v>0</v>
      </c>
      <c r="E398" s="43">
        <v>20</v>
      </c>
      <c r="F398" s="43">
        <v>20</v>
      </c>
      <c r="G398" s="43">
        <v>28</v>
      </c>
      <c r="H398" s="43">
        <v>40</v>
      </c>
      <c r="I398" s="43">
        <v>10</v>
      </c>
      <c r="J398" s="43">
        <v>21449</v>
      </c>
      <c r="K398" s="43">
        <f>SUM(L398:L400)</f>
        <v>6</v>
      </c>
      <c r="L398" s="43">
        <v>2</v>
      </c>
      <c r="M398" s="43"/>
      <c r="N398" s="43">
        <v>4</v>
      </c>
      <c r="O398" s="43">
        <v>3</v>
      </c>
      <c r="P398" s="43">
        <v>7</v>
      </c>
      <c r="Q398" s="43">
        <v>6</v>
      </c>
      <c r="R398" s="43">
        <v>9</v>
      </c>
      <c r="S398" s="43">
        <v>9</v>
      </c>
      <c r="T398" s="43">
        <v>25</v>
      </c>
      <c r="U398" s="43">
        <v>4</v>
      </c>
      <c r="V398" s="41" t="s">
        <v>33</v>
      </c>
      <c r="W398" s="41" t="s">
        <v>34</v>
      </c>
      <c r="X398" s="41">
        <v>1</v>
      </c>
      <c r="Y398" s="41">
        <v>3</v>
      </c>
      <c r="Z398" s="41">
        <v>322</v>
      </c>
      <c r="AA398" s="44">
        <v>34</v>
      </c>
      <c r="AB398" s="44">
        <v>34</v>
      </c>
      <c r="AC398" s="43">
        <v>45</v>
      </c>
      <c r="AD398" s="43">
        <v>30</v>
      </c>
      <c r="AE398" s="43">
        <v>45</v>
      </c>
    </row>
    <row r="399" spans="1:337" x14ac:dyDescent="0.35">
      <c r="A399" s="32" t="s">
        <v>31</v>
      </c>
      <c r="B399" s="32" t="s">
        <v>35</v>
      </c>
      <c r="C399" s="33">
        <v>46233</v>
      </c>
      <c r="D399" s="34">
        <v>13</v>
      </c>
      <c r="E399" s="34">
        <v>24</v>
      </c>
      <c r="F399" s="34">
        <v>25</v>
      </c>
      <c r="G399" s="141"/>
      <c r="H399" s="141"/>
      <c r="I399" s="141"/>
      <c r="J399" s="141"/>
      <c r="K399" s="141"/>
      <c r="L399" s="34">
        <v>2</v>
      </c>
      <c r="M399" s="34">
        <v>5</v>
      </c>
      <c r="N399" s="34">
        <v>4</v>
      </c>
      <c r="O399" s="34">
        <v>4</v>
      </c>
      <c r="P399" s="32">
        <v>7</v>
      </c>
      <c r="Q399" s="32">
        <v>7</v>
      </c>
      <c r="R399" s="32">
        <v>8</v>
      </c>
      <c r="S399" s="32">
        <v>6</v>
      </c>
      <c r="T399" s="143"/>
      <c r="U399" s="143"/>
      <c r="V399" s="32" t="s">
        <v>36</v>
      </c>
      <c r="W399" s="32" t="s">
        <v>37</v>
      </c>
      <c r="X399" s="32">
        <v>1</v>
      </c>
      <c r="Y399" s="143"/>
      <c r="Z399" s="143"/>
      <c r="AA399" s="145"/>
      <c r="AB399" s="145"/>
      <c r="AC399" s="141"/>
      <c r="AD399" s="141"/>
      <c r="AE399" s="141"/>
    </row>
    <row r="400" spans="1:337" ht="15" thickBot="1" x14ac:dyDescent="0.4">
      <c r="A400" s="45" t="s">
        <v>31</v>
      </c>
      <c r="B400" s="45" t="s">
        <v>38</v>
      </c>
      <c r="C400" s="46">
        <v>46233</v>
      </c>
      <c r="D400" s="47"/>
      <c r="E400" s="47"/>
      <c r="F400" s="47"/>
      <c r="G400" s="142"/>
      <c r="H400" s="142"/>
      <c r="I400" s="142"/>
      <c r="J400" s="142"/>
      <c r="K400" s="142"/>
      <c r="L400" s="47">
        <v>2</v>
      </c>
      <c r="M400" s="47"/>
      <c r="N400" s="47"/>
      <c r="O400" s="47"/>
      <c r="P400" s="47"/>
      <c r="Q400" s="47"/>
      <c r="R400" s="47"/>
      <c r="S400" s="47"/>
      <c r="T400" s="144"/>
      <c r="U400" s="144"/>
      <c r="V400" s="45"/>
      <c r="W400" s="45"/>
      <c r="X400" s="47"/>
      <c r="Y400" s="144"/>
      <c r="Z400" s="144"/>
      <c r="AA400" s="146"/>
      <c r="AB400" s="146"/>
      <c r="AC400" s="142"/>
      <c r="AD400" s="142"/>
      <c r="AE400" s="142"/>
    </row>
    <row r="401" spans="1:337" s="53" customFormat="1" ht="15" thickBot="1" x14ac:dyDescent="0.4">
      <c r="A401" s="49"/>
      <c r="B401" s="49"/>
      <c r="C401" s="50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49"/>
      <c r="U401" s="49"/>
      <c r="V401" s="49"/>
      <c r="W401" s="49"/>
      <c r="X401" s="51"/>
      <c r="Y401" s="49"/>
      <c r="Z401" s="49"/>
      <c r="AA401" s="52"/>
      <c r="AB401" s="52"/>
      <c r="AC401" s="51"/>
      <c r="AD401" s="51"/>
      <c r="AE401" s="5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  <c r="KI401"/>
      <c r="KJ401"/>
      <c r="KK401"/>
      <c r="KL401"/>
      <c r="KM401"/>
      <c r="KN401"/>
      <c r="KO401"/>
      <c r="KP401"/>
      <c r="KQ401"/>
      <c r="KR401"/>
      <c r="KS401"/>
      <c r="KT401"/>
      <c r="KU401"/>
      <c r="KV401"/>
      <c r="KW401"/>
      <c r="KX401"/>
      <c r="KY401"/>
      <c r="KZ401"/>
      <c r="LA401"/>
      <c r="LB401"/>
      <c r="LC401"/>
      <c r="LD401"/>
      <c r="LE401"/>
      <c r="LF401"/>
      <c r="LG401"/>
      <c r="LH401"/>
      <c r="LI401"/>
      <c r="LJ401"/>
      <c r="LK401"/>
      <c r="LL401"/>
      <c r="LM401"/>
      <c r="LN401"/>
      <c r="LO401"/>
      <c r="LP401"/>
      <c r="LQ401"/>
      <c r="LR401"/>
      <c r="LS401"/>
      <c r="LT401"/>
      <c r="LU401"/>
      <c r="LV401"/>
      <c r="LW401"/>
      <c r="LX401"/>
      <c r="LY401"/>
    </row>
    <row r="402" spans="1:337" x14ac:dyDescent="0.35">
      <c r="A402" s="41" t="s">
        <v>31</v>
      </c>
      <c r="B402" s="41" t="s">
        <v>32</v>
      </c>
      <c r="C402" s="42">
        <v>46234</v>
      </c>
      <c r="D402" s="43">
        <v>0</v>
      </c>
      <c r="E402" s="43">
        <v>20</v>
      </c>
      <c r="F402" s="43">
        <v>20</v>
      </c>
      <c r="G402" s="43">
        <v>28</v>
      </c>
      <c r="H402" s="43">
        <v>40</v>
      </c>
      <c r="I402" s="43">
        <v>10</v>
      </c>
      <c r="J402" s="43">
        <v>21449</v>
      </c>
      <c r="K402" s="43">
        <f>SUM(L402:L404)</f>
        <v>6</v>
      </c>
      <c r="L402" s="43">
        <v>2</v>
      </c>
      <c r="M402" s="43"/>
      <c r="N402" s="43">
        <v>4</v>
      </c>
      <c r="O402" s="43">
        <v>3</v>
      </c>
      <c r="P402" s="43">
        <v>7</v>
      </c>
      <c r="Q402" s="43">
        <v>6</v>
      </c>
      <c r="R402" s="43">
        <v>9</v>
      </c>
      <c r="S402" s="43">
        <v>9</v>
      </c>
      <c r="T402" s="43">
        <v>25</v>
      </c>
      <c r="U402" s="43">
        <v>4</v>
      </c>
      <c r="V402" s="41" t="s">
        <v>33</v>
      </c>
      <c r="W402" s="41" t="s">
        <v>34</v>
      </c>
      <c r="X402" s="41">
        <v>1</v>
      </c>
      <c r="Y402" s="41">
        <v>3</v>
      </c>
      <c r="Z402" s="41">
        <v>322</v>
      </c>
      <c r="AA402" s="44">
        <v>34</v>
      </c>
      <c r="AB402" s="44">
        <v>34</v>
      </c>
      <c r="AC402" s="43">
        <v>45</v>
      </c>
      <c r="AD402" s="43">
        <v>30</v>
      </c>
      <c r="AE402" s="43">
        <v>45</v>
      </c>
    </row>
    <row r="403" spans="1:337" x14ac:dyDescent="0.35">
      <c r="A403" s="32" t="s">
        <v>31</v>
      </c>
      <c r="B403" s="32" t="s">
        <v>35</v>
      </c>
      <c r="C403" s="33">
        <v>46234</v>
      </c>
      <c r="D403" s="34">
        <v>13</v>
      </c>
      <c r="E403" s="34">
        <v>24</v>
      </c>
      <c r="F403" s="34">
        <v>25</v>
      </c>
      <c r="G403" s="141"/>
      <c r="H403" s="141"/>
      <c r="I403" s="141"/>
      <c r="J403" s="141"/>
      <c r="K403" s="141"/>
      <c r="L403" s="34">
        <v>2</v>
      </c>
      <c r="M403" s="34">
        <v>5</v>
      </c>
      <c r="N403" s="34">
        <v>4</v>
      </c>
      <c r="O403" s="34">
        <v>4</v>
      </c>
      <c r="P403" s="32">
        <v>7</v>
      </c>
      <c r="Q403" s="32">
        <v>7</v>
      </c>
      <c r="R403" s="32">
        <v>8</v>
      </c>
      <c r="S403" s="32">
        <v>6</v>
      </c>
      <c r="T403" s="143"/>
      <c r="U403" s="143"/>
      <c r="V403" s="32" t="s">
        <v>36</v>
      </c>
      <c r="W403" s="32" t="s">
        <v>37</v>
      </c>
      <c r="X403" s="32">
        <v>1</v>
      </c>
      <c r="Y403" s="143"/>
      <c r="Z403" s="143"/>
      <c r="AA403" s="145"/>
      <c r="AB403" s="145"/>
      <c r="AC403" s="141"/>
      <c r="AD403" s="141"/>
      <c r="AE403" s="141"/>
    </row>
    <row r="404" spans="1:337" ht="15" thickBot="1" x14ac:dyDescent="0.4">
      <c r="A404" s="45" t="s">
        <v>31</v>
      </c>
      <c r="B404" s="45" t="s">
        <v>38</v>
      </c>
      <c r="C404" s="46">
        <v>46234</v>
      </c>
      <c r="D404" s="47"/>
      <c r="E404" s="47"/>
      <c r="F404" s="47"/>
      <c r="G404" s="142"/>
      <c r="H404" s="142"/>
      <c r="I404" s="142"/>
      <c r="J404" s="142"/>
      <c r="K404" s="142"/>
      <c r="L404" s="47">
        <v>2</v>
      </c>
      <c r="M404" s="47"/>
      <c r="N404" s="47"/>
      <c r="O404" s="47"/>
      <c r="P404" s="47"/>
      <c r="Q404" s="47"/>
      <c r="R404" s="47"/>
      <c r="S404" s="47"/>
      <c r="T404" s="144"/>
      <c r="U404" s="144"/>
      <c r="V404" s="45"/>
      <c r="W404" s="45"/>
      <c r="X404" s="47"/>
      <c r="Y404" s="144"/>
      <c r="Z404" s="144"/>
      <c r="AA404" s="146"/>
      <c r="AB404" s="146"/>
      <c r="AC404" s="142"/>
      <c r="AD404" s="142"/>
      <c r="AE404" s="142"/>
    </row>
    <row r="405" spans="1:337" s="53" customFormat="1" ht="15" thickBot="1" x14ac:dyDescent="0.4">
      <c r="A405" s="49"/>
      <c r="B405" s="49"/>
      <c r="C405" s="50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49"/>
      <c r="U405" s="49"/>
      <c r="V405" s="49"/>
      <c r="W405" s="49"/>
      <c r="X405" s="51"/>
      <c r="Y405" s="49"/>
      <c r="Z405" s="49"/>
      <c r="AA405" s="52"/>
      <c r="AB405" s="52"/>
      <c r="AC405" s="51"/>
      <c r="AD405" s="51"/>
      <c r="AE405" s="51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  <c r="KI405"/>
      <c r="KJ405"/>
      <c r="KK405"/>
      <c r="KL405"/>
      <c r="KM405"/>
      <c r="KN405"/>
      <c r="KO405"/>
      <c r="KP405"/>
      <c r="KQ405"/>
      <c r="KR405"/>
      <c r="KS405"/>
      <c r="KT405"/>
      <c r="KU405"/>
      <c r="KV405"/>
      <c r="KW405"/>
      <c r="KX405"/>
      <c r="KY405"/>
      <c r="KZ405"/>
      <c r="LA405"/>
      <c r="LB405"/>
      <c r="LC405"/>
      <c r="LD405"/>
      <c r="LE405"/>
      <c r="LF405"/>
      <c r="LG405"/>
      <c r="LH405"/>
      <c r="LI405"/>
      <c r="LJ405"/>
      <c r="LK405"/>
      <c r="LL405"/>
      <c r="LM405"/>
      <c r="LN405"/>
      <c r="LO405"/>
      <c r="LP405"/>
      <c r="LQ405"/>
      <c r="LR405"/>
      <c r="LS405"/>
      <c r="LT405"/>
      <c r="LU405"/>
      <c r="LV405"/>
      <c r="LW405"/>
      <c r="LX405"/>
      <c r="LY405"/>
    </row>
    <row r="406" spans="1:337" x14ac:dyDescent="0.35">
      <c r="A406" s="41" t="s">
        <v>31</v>
      </c>
      <c r="B406" s="41" t="s">
        <v>32</v>
      </c>
      <c r="C406" s="42">
        <v>46237</v>
      </c>
      <c r="D406" s="43">
        <v>0</v>
      </c>
      <c r="E406" s="43">
        <v>20</v>
      </c>
      <c r="F406" s="43">
        <v>20</v>
      </c>
      <c r="G406" s="43">
        <v>28</v>
      </c>
      <c r="H406" s="43">
        <v>40</v>
      </c>
      <c r="I406" s="43">
        <v>10</v>
      </c>
      <c r="J406" s="43">
        <v>21449</v>
      </c>
      <c r="K406" s="43">
        <f>SUM(L406:L408)</f>
        <v>6</v>
      </c>
      <c r="L406" s="43">
        <v>2</v>
      </c>
      <c r="M406" s="43"/>
      <c r="N406" s="43">
        <v>4</v>
      </c>
      <c r="O406" s="43">
        <v>3</v>
      </c>
      <c r="P406" s="43">
        <v>7</v>
      </c>
      <c r="Q406" s="43">
        <v>6</v>
      </c>
      <c r="R406" s="43">
        <v>9</v>
      </c>
      <c r="S406" s="43">
        <v>9</v>
      </c>
      <c r="T406" s="43">
        <v>25</v>
      </c>
      <c r="U406" s="43">
        <v>4</v>
      </c>
      <c r="V406" s="41" t="s">
        <v>33</v>
      </c>
      <c r="W406" s="41" t="s">
        <v>34</v>
      </c>
      <c r="X406" s="41">
        <v>1</v>
      </c>
      <c r="Y406" s="41">
        <v>3</v>
      </c>
      <c r="Z406" s="41">
        <v>322</v>
      </c>
      <c r="AA406" s="44">
        <v>34</v>
      </c>
      <c r="AB406" s="44">
        <v>34</v>
      </c>
      <c r="AC406" s="43">
        <v>45</v>
      </c>
      <c r="AD406" s="43">
        <v>30</v>
      </c>
      <c r="AE406" s="43">
        <v>45</v>
      </c>
    </row>
    <row r="407" spans="1:337" x14ac:dyDescent="0.35">
      <c r="A407" s="32" t="s">
        <v>31</v>
      </c>
      <c r="B407" s="32" t="s">
        <v>35</v>
      </c>
      <c r="C407" s="33">
        <v>46237</v>
      </c>
      <c r="D407" s="34">
        <v>13</v>
      </c>
      <c r="E407" s="34">
        <v>24</v>
      </c>
      <c r="F407" s="34">
        <v>25</v>
      </c>
      <c r="G407" s="141"/>
      <c r="H407" s="141"/>
      <c r="I407" s="141"/>
      <c r="J407" s="141"/>
      <c r="K407" s="141"/>
      <c r="L407" s="34">
        <v>2</v>
      </c>
      <c r="M407" s="34">
        <v>5</v>
      </c>
      <c r="N407" s="34">
        <v>4</v>
      </c>
      <c r="O407" s="34">
        <v>4</v>
      </c>
      <c r="P407" s="32">
        <v>7</v>
      </c>
      <c r="Q407" s="32">
        <v>7</v>
      </c>
      <c r="R407" s="32">
        <v>8</v>
      </c>
      <c r="S407" s="32">
        <v>6</v>
      </c>
      <c r="T407" s="143"/>
      <c r="U407" s="143"/>
      <c r="V407" s="32" t="s">
        <v>36</v>
      </c>
      <c r="W407" s="32" t="s">
        <v>37</v>
      </c>
      <c r="X407" s="32">
        <v>1</v>
      </c>
      <c r="Y407" s="143"/>
      <c r="Z407" s="143"/>
      <c r="AA407" s="145"/>
      <c r="AB407" s="145"/>
      <c r="AC407" s="141"/>
      <c r="AD407" s="141"/>
      <c r="AE407" s="141"/>
    </row>
    <row r="408" spans="1:337" ht="15" thickBot="1" x14ac:dyDescent="0.4">
      <c r="A408" s="45" t="s">
        <v>31</v>
      </c>
      <c r="B408" s="45" t="s">
        <v>38</v>
      </c>
      <c r="C408" s="46">
        <v>46237</v>
      </c>
      <c r="D408" s="47"/>
      <c r="E408" s="47"/>
      <c r="F408" s="47"/>
      <c r="G408" s="142"/>
      <c r="H408" s="142"/>
      <c r="I408" s="142"/>
      <c r="J408" s="142"/>
      <c r="K408" s="142"/>
      <c r="L408" s="47">
        <v>2</v>
      </c>
      <c r="M408" s="47"/>
      <c r="N408" s="47"/>
      <c r="O408" s="47"/>
      <c r="P408" s="47"/>
      <c r="Q408" s="47"/>
      <c r="R408" s="47"/>
      <c r="S408" s="47"/>
      <c r="T408" s="144"/>
      <c r="U408" s="144"/>
      <c r="V408" s="45"/>
      <c r="W408" s="45"/>
      <c r="X408" s="47"/>
      <c r="Y408" s="144"/>
      <c r="Z408" s="144"/>
      <c r="AA408" s="146"/>
      <c r="AB408" s="146"/>
      <c r="AC408" s="142"/>
      <c r="AD408" s="142"/>
      <c r="AE408" s="142"/>
    </row>
    <row r="409" spans="1:337" s="53" customFormat="1" ht="15" thickBot="1" x14ac:dyDescent="0.4">
      <c r="A409" s="49"/>
      <c r="B409" s="49"/>
      <c r="C409" s="50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49"/>
      <c r="U409" s="49"/>
      <c r="V409" s="49"/>
      <c r="W409" s="49"/>
      <c r="X409" s="51"/>
      <c r="Y409" s="49"/>
      <c r="Z409" s="49"/>
      <c r="AA409" s="52"/>
      <c r="AB409" s="52"/>
      <c r="AC409" s="51"/>
      <c r="AD409" s="51"/>
      <c r="AE409" s="51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  <c r="KI409"/>
      <c r="KJ409"/>
      <c r="KK409"/>
      <c r="KL409"/>
      <c r="KM409"/>
      <c r="KN409"/>
      <c r="KO409"/>
      <c r="KP409"/>
      <c r="KQ409"/>
      <c r="KR409"/>
      <c r="KS409"/>
      <c r="KT409"/>
      <c r="KU409"/>
      <c r="KV409"/>
      <c r="KW409"/>
      <c r="KX409"/>
      <c r="KY409"/>
      <c r="KZ409"/>
      <c r="LA409"/>
      <c r="LB409"/>
      <c r="LC409"/>
      <c r="LD409"/>
      <c r="LE409"/>
      <c r="LF409"/>
      <c r="LG409"/>
      <c r="LH409"/>
      <c r="LI409"/>
      <c r="LJ409"/>
      <c r="LK409"/>
      <c r="LL409"/>
      <c r="LM409"/>
      <c r="LN409"/>
      <c r="LO409"/>
      <c r="LP409"/>
      <c r="LQ409"/>
      <c r="LR409"/>
      <c r="LS409"/>
      <c r="LT409"/>
      <c r="LU409"/>
      <c r="LV409"/>
      <c r="LW409"/>
      <c r="LX409"/>
      <c r="LY409"/>
    </row>
    <row r="410" spans="1:337" x14ac:dyDescent="0.35">
      <c r="A410" s="41" t="s">
        <v>31</v>
      </c>
      <c r="B410" s="41" t="s">
        <v>32</v>
      </c>
      <c r="C410" s="42">
        <v>46238</v>
      </c>
      <c r="D410" s="43">
        <v>0</v>
      </c>
      <c r="E410" s="43">
        <v>20</v>
      </c>
      <c r="F410" s="43">
        <v>20</v>
      </c>
      <c r="G410" s="43">
        <v>28</v>
      </c>
      <c r="H410" s="43">
        <v>40</v>
      </c>
      <c r="I410" s="43">
        <v>10</v>
      </c>
      <c r="J410" s="43">
        <v>21449</v>
      </c>
      <c r="K410" s="43">
        <f>SUM(L410:L412)</f>
        <v>6</v>
      </c>
      <c r="L410" s="43">
        <v>2</v>
      </c>
      <c r="M410" s="43"/>
      <c r="N410" s="43">
        <v>4</v>
      </c>
      <c r="O410" s="43">
        <v>3</v>
      </c>
      <c r="P410" s="43">
        <v>7</v>
      </c>
      <c r="Q410" s="43">
        <v>6</v>
      </c>
      <c r="R410" s="43">
        <v>9</v>
      </c>
      <c r="S410" s="43">
        <v>9</v>
      </c>
      <c r="T410" s="43">
        <v>20</v>
      </c>
      <c r="U410" s="43">
        <v>3</v>
      </c>
      <c r="V410" s="41" t="s">
        <v>33</v>
      </c>
      <c r="W410" s="41" t="s">
        <v>34</v>
      </c>
      <c r="X410" s="41">
        <v>1</v>
      </c>
      <c r="Y410" s="41">
        <v>3</v>
      </c>
      <c r="Z410" s="41">
        <v>322</v>
      </c>
      <c r="AA410" s="44">
        <v>34</v>
      </c>
      <c r="AB410" s="44">
        <v>34</v>
      </c>
      <c r="AC410" s="43">
        <v>45</v>
      </c>
      <c r="AD410" s="43">
        <v>30</v>
      </c>
      <c r="AE410" s="43">
        <v>45</v>
      </c>
    </row>
    <row r="411" spans="1:337" x14ac:dyDescent="0.35">
      <c r="A411" s="32" t="s">
        <v>31</v>
      </c>
      <c r="B411" s="32" t="s">
        <v>35</v>
      </c>
      <c r="C411" s="33">
        <v>46238</v>
      </c>
      <c r="D411" s="34">
        <v>13</v>
      </c>
      <c r="E411" s="34">
        <v>24</v>
      </c>
      <c r="F411" s="34">
        <v>25</v>
      </c>
      <c r="G411" s="141"/>
      <c r="H411" s="141"/>
      <c r="I411" s="141"/>
      <c r="J411" s="141"/>
      <c r="K411" s="141"/>
      <c r="L411" s="34">
        <v>2</v>
      </c>
      <c r="M411" s="34">
        <v>5</v>
      </c>
      <c r="N411" s="34">
        <v>4</v>
      </c>
      <c r="O411" s="34">
        <v>4</v>
      </c>
      <c r="P411" s="32">
        <v>7</v>
      </c>
      <c r="Q411" s="32">
        <v>7</v>
      </c>
      <c r="R411" s="32">
        <v>8</v>
      </c>
      <c r="S411" s="32">
        <v>6</v>
      </c>
      <c r="T411" s="143"/>
      <c r="U411" s="143"/>
      <c r="V411" s="32" t="s">
        <v>36</v>
      </c>
      <c r="W411" s="32" t="s">
        <v>37</v>
      </c>
      <c r="X411" s="32">
        <v>1</v>
      </c>
      <c r="Y411" s="143"/>
      <c r="Z411" s="143"/>
      <c r="AA411" s="145"/>
      <c r="AB411" s="145"/>
      <c r="AC411" s="141"/>
      <c r="AD411" s="141"/>
      <c r="AE411" s="141"/>
    </row>
    <row r="412" spans="1:337" ht="15" thickBot="1" x14ac:dyDescent="0.4">
      <c r="A412" s="45" t="s">
        <v>31</v>
      </c>
      <c r="B412" s="45" t="s">
        <v>38</v>
      </c>
      <c r="C412" s="46">
        <v>46238</v>
      </c>
      <c r="D412" s="47"/>
      <c r="E412" s="47"/>
      <c r="F412" s="47"/>
      <c r="G412" s="142"/>
      <c r="H412" s="142"/>
      <c r="I412" s="142"/>
      <c r="J412" s="142"/>
      <c r="K412" s="142"/>
      <c r="L412" s="47">
        <v>2</v>
      </c>
      <c r="M412" s="47"/>
      <c r="N412" s="47"/>
      <c r="O412" s="47"/>
      <c r="P412" s="47"/>
      <c r="Q412" s="47"/>
      <c r="R412" s="47"/>
      <c r="S412" s="47"/>
      <c r="T412" s="144"/>
      <c r="U412" s="144"/>
      <c r="V412" s="45"/>
      <c r="W412" s="45"/>
      <c r="X412" s="47"/>
      <c r="Y412" s="144"/>
      <c r="Z412" s="144"/>
      <c r="AA412" s="146"/>
      <c r="AB412" s="146"/>
      <c r="AC412" s="142"/>
      <c r="AD412" s="142"/>
      <c r="AE412" s="142"/>
    </row>
    <row r="413" spans="1:337" s="53" customFormat="1" ht="15" thickBot="1" x14ac:dyDescent="0.4">
      <c r="A413" s="49"/>
      <c r="B413" s="49"/>
      <c r="C413" s="50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49"/>
      <c r="U413" s="49"/>
      <c r="V413" s="49"/>
      <c r="W413" s="49"/>
      <c r="X413" s="51"/>
      <c r="Y413" s="49"/>
      <c r="Z413" s="49"/>
      <c r="AA413" s="52"/>
      <c r="AB413" s="52"/>
      <c r="AC413" s="51"/>
      <c r="AD413" s="51"/>
      <c r="AE413" s="51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  <c r="KI413"/>
      <c r="KJ413"/>
      <c r="KK413"/>
      <c r="KL413"/>
      <c r="KM413"/>
      <c r="KN413"/>
      <c r="KO413"/>
      <c r="KP413"/>
      <c r="KQ413"/>
      <c r="KR413"/>
      <c r="KS413"/>
      <c r="KT413"/>
      <c r="KU413"/>
      <c r="KV413"/>
      <c r="KW413"/>
      <c r="KX413"/>
      <c r="KY413"/>
      <c r="KZ413"/>
      <c r="LA413"/>
      <c r="LB413"/>
      <c r="LC413"/>
      <c r="LD413"/>
      <c r="LE413"/>
      <c r="LF413"/>
      <c r="LG413"/>
      <c r="LH413"/>
      <c r="LI413"/>
      <c r="LJ413"/>
      <c r="LK413"/>
      <c r="LL413"/>
      <c r="LM413"/>
      <c r="LN413"/>
      <c r="LO413"/>
      <c r="LP413"/>
      <c r="LQ413"/>
      <c r="LR413"/>
      <c r="LS413"/>
      <c r="LT413"/>
      <c r="LU413"/>
      <c r="LV413"/>
      <c r="LW413"/>
      <c r="LX413"/>
      <c r="LY413"/>
    </row>
    <row r="414" spans="1:337" x14ac:dyDescent="0.35">
      <c r="A414" s="41" t="s">
        <v>31</v>
      </c>
      <c r="B414" s="41" t="s">
        <v>32</v>
      </c>
      <c r="C414" s="42">
        <v>46239</v>
      </c>
      <c r="D414" s="43">
        <v>0</v>
      </c>
      <c r="E414" s="43">
        <v>20</v>
      </c>
      <c r="F414" s="43">
        <v>20</v>
      </c>
      <c r="G414" s="43">
        <v>28</v>
      </c>
      <c r="H414" s="43">
        <v>40</v>
      </c>
      <c r="I414" s="43">
        <v>10</v>
      </c>
      <c r="J414" s="43">
        <v>21449</v>
      </c>
      <c r="K414" s="43">
        <f>SUM(L414:L416)</f>
        <v>6</v>
      </c>
      <c r="L414" s="43">
        <v>2</v>
      </c>
      <c r="M414" s="43"/>
      <c r="N414" s="43">
        <v>4</v>
      </c>
      <c r="O414" s="43">
        <v>3</v>
      </c>
      <c r="P414" s="43">
        <v>7</v>
      </c>
      <c r="Q414" s="43">
        <v>6</v>
      </c>
      <c r="R414" s="43">
        <v>9</v>
      </c>
      <c r="S414" s="43">
        <v>9</v>
      </c>
      <c r="T414" s="43">
        <v>25</v>
      </c>
      <c r="U414" s="43">
        <v>4</v>
      </c>
      <c r="V414" s="41" t="s">
        <v>33</v>
      </c>
      <c r="W414" s="41" t="s">
        <v>34</v>
      </c>
      <c r="X414" s="41">
        <v>1</v>
      </c>
      <c r="Y414" s="41">
        <v>3</v>
      </c>
      <c r="Z414" s="41">
        <v>322</v>
      </c>
      <c r="AA414" s="44">
        <v>34</v>
      </c>
      <c r="AB414" s="44">
        <v>34</v>
      </c>
      <c r="AC414" s="43">
        <v>45</v>
      </c>
      <c r="AD414" s="43">
        <v>30</v>
      </c>
      <c r="AE414" s="43">
        <v>45</v>
      </c>
    </row>
    <row r="415" spans="1:337" x14ac:dyDescent="0.35">
      <c r="A415" s="32" t="s">
        <v>31</v>
      </c>
      <c r="B415" s="32" t="s">
        <v>35</v>
      </c>
      <c r="C415" s="33">
        <v>46239</v>
      </c>
      <c r="D415" s="34">
        <v>13</v>
      </c>
      <c r="E415" s="34">
        <v>24</v>
      </c>
      <c r="F415" s="34">
        <v>25</v>
      </c>
      <c r="G415" s="141"/>
      <c r="H415" s="141"/>
      <c r="I415" s="141"/>
      <c r="J415" s="141"/>
      <c r="K415" s="141"/>
      <c r="L415" s="34">
        <v>2</v>
      </c>
      <c r="M415" s="34">
        <v>5</v>
      </c>
      <c r="N415" s="34">
        <v>4</v>
      </c>
      <c r="O415" s="34">
        <v>4</v>
      </c>
      <c r="P415" s="32">
        <v>7</v>
      </c>
      <c r="Q415" s="32">
        <v>7</v>
      </c>
      <c r="R415" s="32">
        <v>8</v>
      </c>
      <c r="S415" s="32">
        <v>6</v>
      </c>
      <c r="T415" s="143"/>
      <c r="U415" s="143"/>
      <c r="V415" s="32" t="s">
        <v>36</v>
      </c>
      <c r="W415" s="32" t="s">
        <v>37</v>
      </c>
      <c r="X415" s="32">
        <v>1</v>
      </c>
      <c r="Y415" s="143"/>
      <c r="Z415" s="143"/>
      <c r="AA415" s="145"/>
      <c r="AB415" s="145"/>
      <c r="AC415" s="141"/>
      <c r="AD415" s="141"/>
      <c r="AE415" s="141"/>
    </row>
    <row r="416" spans="1:337" ht="15" thickBot="1" x14ac:dyDescent="0.4">
      <c r="A416" s="45" t="s">
        <v>31</v>
      </c>
      <c r="B416" s="45" t="s">
        <v>38</v>
      </c>
      <c r="C416" s="46">
        <v>46239</v>
      </c>
      <c r="D416" s="47"/>
      <c r="E416" s="47"/>
      <c r="F416" s="47"/>
      <c r="G416" s="142"/>
      <c r="H416" s="142"/>
      <c r="I416" s="142"/>
      <c r="J416" s="142"/>
      <c r="K416" s="142"/>
      <c r="L416" s="47">
        <v>2</v>
      </c>
      <c r="M416" s="47"/>
      <c r="N416" s="47"/>
      <c r="O416" s="47"/>
      <c r="P416" s="47"/>
      <c r="Q416" s="47"/>
      <c r="R416" s="47"/>
      <c r="S416" s="47"/>
      <c r="T416" s="144"/>
      <c r="U416" s="144"/>
      <c r="V416" s="45"/>
      <c r="W416" s="45"/>
      <c r="X416" s="47"/>
      <c r="Y416" s="144"/>
      <c r="Z416" s="144"/>
      <c r="AA416" s="146"/>
      <c r="AB416" s="146"/>
      <c r="AC416" s="142"/>
      <c r="AD416" s="142"/>
      <c r="AE416" s="142"/>
    </row>
    <row r="417" spans="1:337" s="53" customFormat="1" ht="15" thickBot="1" x14ac:dyDescent="0.4">
      <c r="A417" s="49"/>
      <c r="B417" s="49"/>
      <c r="C417" s="50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49"/>
      <c r="U417" s="49"/>
      <c r="V417" s="49"/>
      <c r="W417" s="49"/>
      <c r="X417" s="51"/>
      <c r="Y417" s="49"/>
      <c r="Z417" s="49"/>
      <c r="AA417" s="52"/>
      <c r="AB417" s="52"/>
      <c r="AC417" s="51"/>
      <c r="AD417" s="51"/>
      <c r="AE417" s="51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  <c r="KI417"/>
      <c r="KJ417"/>
      <c r="KK417"/>
      <c r="KL417"/>
      <c r="KM417"/>
      <c r="KN417"/>
      <c r="KO417"/>
      <c r="KP417"/>
      <c r="KQ417"/>
      <c r="KR417"/>
      <c r="KS417"/>
      <c r="KT417"/>
      <c r="KU417"/>
      <c r="KV417"/>
      <c r="KW417"/>
      <c r="KX417"/>
      <c r="KY417"/>
      <c r="KZ417"/>
      <c r="LA417"/>
      <c r="LB417"/>
      <c r="LC417"/>
      <c r="LD417"/>
      <c r="LE417"/>
      <c r="LF417"/>
      <c r="LG417"/>
      <c r="LH417"/>
      <c r="LI417"/>
      <c r="LJ417"/>
      <c r="LK417"/>
      <c r="LL417"/>
      <c r="LM417"/>
      <c r="LN417"/>
      <c r="LO417"/>
      <c r="LP417"/>
      <c r="LQ417"/>
      <c r="LR417"/>
      <c r="LS417"/>
      <c r="LT417"/>
      <c r="LU417"/>
      <c r="LV417"/>
      <c r="LW417"/>
      <c r="LX417"/>
      <c r="LY417"/>
    </row>
    <row r="418" spans="1:337" x14ac:dyDescent="0.35">
      <c r="A418" s="41" t="s">
        <v>31</v>
      </c>
      <c r="B418" s="41" t="s">
        <v>32</v>
      </c>
      <c r="C418" s="42">
        <v>46240</v>
      </c>
      <c r="D418" s="43">
        <v>0</v>
      </c>
      <c r="E418" s="43">
        <v>20</v>
      </c>
      <c r="F418" s="43">
        <v>20</v>
      </c>
      <c r="G418" s="43">
        <v>28</v>
      </c>
      <c r="H418" s="43">
        <v>40</v>
      </c>
      <c r="I418" s="43">
        <v>10</v>
      </c>
      <c r="J418" s="43">
        <v>21449</v>
      </c>
      <c r="K418" s="43">
        <f>SUM(L418:L420)</f>
        <v>6</v>
      </c>
      <c r="L418" s="43">
        <v>2</v>
      </c>
      <c r="M418" s="43"/>
      <c r="N418" s="43">
        <v>4</v>
      </c>
      <c r="O418" s="43">
        <v>3</v>
      </c>
      <c r="P418" s="43">
        <v>7</v>
      </c>
      <c r="Q418" s="43">
        <v>6</v>
      </c>
      <c r="R418" s="43">
        <v>9</v>
      </c>
      <c r="S418" s="43">
        <v>9</v>
      </c>
      <c r="T418" s="43">
        <v>25</v>
      </c>
      <c r="U418" s="43">
        <v>4</v>
      </c>
      <c r="V418" s="41" t="s">
        <v>33</v>
      </c>
      <c r="W418" s="41" t="s">
        <v>34</v>
      </c>
      <c r="X418" s="41">
        <v>1</v>
      </c>
      <c r="Y418" s="41">
        <v>3</v>
      </c>
      <c r="Z418" s="41">
        <v>322</v>
      </c>
      <c r="AA418" s="44">
        <v>34</v>
      </c>
      <c r="AB418" s="44">
        <v>34</v>
      </c>
      <c r="AC418" s="43">
        <v>45</v>
      </c>
      <c r="AD418" s="43">
        <v>30</v>
      </c>
      <c r="AE418" s="43">
        <v>45</v>
      </c>
    </row>
    <row r="419" spans="1:337" x14ac:dyDescent="0.35">
      <c r="A419" s="32" t="s">
        <v>31</v>
      </c>
      <c r="B419" s="32" t="s">
        <v>35</v>
      </c>
      <c r="C419" s="33">
        <v>46240</v>
      </c>
      <c r="D419" s="34">
        <v>13</v>
      </c>
      <c r="E419" s="34">
        <v>24</v>
      </c>
      <c r="F419" s="34">
        <v>25</v>
      </c>
      <c r="G419" s="141"/>
      <c r="H419" s="141"/>
      <c r="I419" s="141"/>
      <c r="J419" s="141"/>
      <c r="K419" s="141"/>
      <c r="L419" s="34">
        <v>2</v>
      </c>
      <c r="M419" s="34">
        <v>5</v>
      </c>
      <c r="N419" s="34">
        <v>4</v>
      </c>
      <c r="O419" s="34">
        <v>4</v>
      </c>
      <c r="P419" s="32">
        <v>7</v>
      </c>
      <c r="Q419" s="32">
        <v>7</v>
      </c>
      <c r="R419" s="32">
        <v>8</v>
      </c>
      <c r="S419" s="32">
        <v>6</v>
      </c>
      <c r="T419" s="143"/>
      <c r="U419" s="143"/>
      <c r="V419" s="32" t="s">
        <v>36</v>
      </c>
      <c r="W419" s="32" t="s">
        <v>37</v>
      </c>
      <c r="X419" s="32">
        <v>1</v>
      </c>
      <c r="Y419" s="143"/>
      <c r="Z419" s="143"/>
      <c r="AA419" s="145"/>
      <c r="AB419" s="145"/>
      <c r="AC419" s="141"/>
      <c r="AD419" s="141"/>
      <c r="AE419" s="141"/>
    </row>
    <row r="420" spans="1:337" ht="15" thickBot="1" x14ac:dyDescent="0.4">
      <c r="A420" s="45" t="s">
        <v>31</v>
      </c>
      <c r="B420" s="45" t="s">
        <v>38</v>
      </c>
      <c r="C420" s="46">
        <v>46240</v>
      </c>
      <c r="D420" s="47"/>
      <c r="E420" s="47"/>
      <c r="F420" s="47"/>
      <c r="G420" s="142"/>
      <c r="H420" s="142"/>
      <c r="I420" s="142"/>
      <c r="J420" s="142"/>
      <c r="K420" s="142"/>
      <c r="L420" s="47">
        <v>2</v>
      </c>
      <c r="M420" s="47"/>
      <c r="N420" s="47"/>
      <c r="O420" s="47"/>
      <c r="P420" s="47"/>
      <c r="Q420" s="47"/>
      <c r="R420" s="47"/>
      <c r="S420" s="47"/>
      <c r="T420" s="144"/>
      <c r="U420" s="144"/>
      <c r="V420" s="45"/>
      <c r="W420" s="45"/>
      <c r="X420" s="47"/>
      <c r="Y420" s="144"/>
      <c r="Z420" s="144"/>
      <c r="AA420" s="146"/>
      <c r="AB420" s="146"/>
      <c r="AC420" s="142"/>
      <c r="AD420" s="142"/>
      <c r="AE420" s="142"/>
    </row>
    <row r="421" spans="1:337" s="53" customFormat="1" ht="15" thickBot="1" x14ac:dyDescent="0.4">
      <c r="A421" s="49"/>
      <c r="B421" s="49"/>
      <c r="C421" s="50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49"/>
      <c r="U421" s="49"/>
      <c r="V421" s="49"/>
      <c r="W421" s="49"/>
      <c r="X421" s="51"/>
      <c r="Y421" s="49"/>
      <c r="Z421" s="49"/>
      <c r="AA421" s="52"/>
      <c r="AB421" s="52"/>
      <c r="AC421" s="51"/>
      <c r="AD421" s="51"/>
      <c r="AE421" s="5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  <c r="KI421"/>
      <c r="KJ421"/>
      <c r="KK421"/>
      <c r="KL421"/>
      <c r="KM421"/>
      <c r="KN421"/>
      <c r="KO421"/>
      <c r="KP421"/>
      <c r="KQ421"/>
      <c r="KR421"/>
      <c r="KS421"/>
      <c r="KT421"/>
      <c r="KU421"/>
      <c r="KV421"/>
      <c r="KW421"/>
      <c r="KX421"/>
      <c r="KY421"/>
      <c r="KZ421"/>
      <c r="LA421"/>
      <c r="LB421"/>
      <c r="LC421"/>
      <c r="LD421"/>
      <c r="LE421"/>
      <c r="LF421"/>
      <c r="LG421"/>
      <c r="LH421"/>
      <c r="LI421"/>
      <c r="LJ421"/>
      <c r="LK421"/>
      <c r="LL421"/>
      <c r="LM421"/>
      <c r="LN421"/>
      <c r="LO421"/>
      <c r="LP421"/>
      <c r="LQ421"/>
      <c r="LR421"/>
      <c r="LS421"/>
      <c r="LT421"/>
      <c r="LU421"/>
      <c r="LV421"/>
      <c r="LW421"/>
      <c r="LX421"/>
      <c r="LY421"/>
    </row>
    <row r="422" spans="1:337" x14ac:dyDescent="0.35">
      <c r="A422" s="41" t="s">
        <v>31</v>
      </c>
      <c r="B422" s="41" t="s">
        <v>32</v>
      </c>
      <c r="C422" s="42">
        <v>46241</v>
      </c>
      <c r="D422" s="43">
        <v>0</v>
      </c>
      <c r="E422" s="43">
        <v>20</v>
      </c>
      <c r="F422" s="43">
        <v>20</v>
      </c>
      <c r="G422" s="43">
        <v>28</v>
      </c>
      <c r="H422" s="43">
        <v>40</v>
      </c>
      <c r="I422" s="43">
        <v>10</v>
      </c>
      <c r="J422" s="43">
        <v>21449</v>
      </c>
      <c r="K422" s="43">
        <f>SUM(L422:L424)</f>
        <v>6</v>
      </c>
      <c r="L422" s="43">
        <v>2</v>
      </c>
      <c r="M422" s="43"/>
      <c r="N422" s="43">
        <v>4</v>
      </c>
      <c r="O422" s="43">
        <v>3</v>
      </c>
      <c r="P422" s="43">
        <v>7</v>
      </c>
      <c r="Q422" s="43">
        <v>6</v>
      </c>
      <c r="R422" s="43">
        <v>9</v>
      </c>
      <c r="S422" s="43">
        <v>9</v>
      </c>
      <c r="T422" s="43">
        <v>25</v>
      </c>
      <c r="U422" s="43">
        <v>4</v>
      </c>
      <c r="V422" s="41" t="s">
        <v>33</v>
      </c>
      <c r="W422" s="41" t="s">
        <v>34</v>
      </c>
      <c r="X422" s="41">
        <v>1</v>
      </c>
      <c r="Y422" s="41">
        <v>3</v>
      </c>
      <c r="Z422" s="41">
        <v>322</v>
      </c>
      <c r="AA422" s="44">
        <v>34</v>
      </c>
      <c r="AB422" s="44">
        <v>34</v>
      </c>
      <c r="AC422" s="43">
        <v>45</v>
      </c>
      <c r="AD422" s="43">
        <v>30</v>
      </c>
      <c r="AE422" s="43">
        <v>45</v>
      </c>
    </row>
    <row r="423" spans="1:337" x14ac:dyDescent="0.35">
      <c r="A423" s="32" t="s">
        <v>31</v>
      </c>
      <c r="B423" s="32" t="s">
        <v>35</v>
      </c>
      <c r="C423" s="33">
        <v>46241</v>
      </c>
      <c r="D423" s="34">
        <v>13</v>
      </c>
      <c r="E423" s="34">
        <v>24</v>
      </c>
      <c r="F423" s="34">
        <v>25</v>
      </c>
      <c r="G423" s="141"/>
      <c r="H423" s="141"/>
      <c r="I423" s="141"/>
      <c r="J423" s="141"/>
      <c r="K423" s="141"/>
      <c r="L423" s="34">
        <v>2</v>
      </c>
      <c r="M423" s="34">
        <v>5</v>
      </c>
      <c r="N423" s="34">
        <v>4</v>
      </c>
      <c r="O423" s="34">
        <v>4</v>
      </c>
      <c r="P423" s="32">
        <v>7</v>
      </c>
      <c r="Q423" s="32">
        <v>7</v>
      </c>
      <c r="R423" s="32">
        <v>8</v>
      </c>
      <c r="S423" s="32">
        <v>6</v>
      </c>
      <c r="T423" s="143"/>
      <c r="U423" s="143"/>
      <c r="V423" s="32" t="s">
        <v>36</v>
      </c>
      <c r="W423" s="32" t="s">
        <v>37</v>
      </c>
      <c r="X423" s="32">
        <v>1</v>
      </c>
      <c r="Y423" s="143"/>
      <c r="Z423" s="143"/>
      <c r="AA423" s="145"/>
      <c r="AB423" s="145"/>
      <c r="AC423" s="141"/>
      <c r="AD423" s="141"/>
      <c r="AE423" s="141"/>
    </row>
    <row r="424" spans="1:337" ht="15" thickBot="1" x14ac:dyDescent="0.4">
      <c r="A424" s="45" t="s">
        <v>31</v>
      </c>
      <c r="B424" s="45" t="s">
        <v>38</v>
      </c>
      <c r="C424" s="46">
        <v>46241</v>
      </c>
      <c r="D424" s="47"/>
      <c r="E424" s="47"/>
      <c r="F424" s="47"/>
      <c r="G424" s="142"/>
      <c r="H424" s="142"/>
      <c r="I424" s="142"/>
      <c r="J424" s="142"/>
      <c r="K424" s="142"/>
      <c r="L424" s="47">
        <v>2</v>
      </c>
      <c r="M424" s="47"/>
      <c r="N424" s="47"/>
      <c r="O424" s="47"/>
      <c r="P424" s="47"/>
      <c r="Q424" s="47"/>
      <c r="R424" s="47"/>
      <c r="S424" s="47"/>
      <c r="T424" s="144"/>
      <c r="U424" s="144"/>
      <c r="V424" s="45"/>
      <c r="W424" s="45"/>
      <c r="X424" s="47"/>
      <c r="Y424" s="144"/>
      <c r="Z424" s="144"/>
      <c r="AA424" s="146"/>
      <c r="AB424" s="146"/>
      <c r="AC424" s="142"/>
      <c r="AD424" s="142"/>
      <c r="AE424" s="142"/>
    </row>
    <row r="425" spans="1:337" s="53" customFormat="1" ht="15" thickBot="1" x14ac:dyDescent="0.4">
      <c r="A425" s="49"/>
      <c r="B425" s="49"/>
      <c r="C425" s="50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49"/>
      <c r="U425" s="49"/>
      <c r="V425" s="49"/>
      <c r="W425" s="49"/>
      <c r="X425" s="51"/>
      <c r="Y425" s="49"/>
      <c r="Z425" s="49"/>
      <c r="AA425" s="52"/>
      <c r="AB425" s="52"/>
      <c r="AC425" s="51"/>
      <c r="AD425" s="51"/>
      <c r="AE425" s="51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  <c r="KI425"/>
      <c r="KJ425"/>
      <c r="KK425"/>
      <c r="KL425"/>
      <c r="KM425"/>
      <c r="KN425"/>
      <c r="KO425"/>
      <c r="KP425"/>
      <c r="KQ425"/>
      <c r="KR425"/>
      <c r="KS425"/>
      <c r="KT425"/>
      <c r="KU425"/>
      <c r="KV425"/>
      <c r="KW425"/>
      <c r="KX425"/>
      <c r="KY425"/>
      <c r="KZ425"/>
      <c r="LA425"/>
      <c r="LB425"/>
      <c r="LC425"/>
      <c r="LD425"/>
      <c r="LE425"/>
      <c r="LF425"/>
      <c r="LG425"/>
      <c r="LH425"/>
      <c r="LI425"/>
      <c r="LJ425"/>
      <c r="LK425"/>
      <c r="LL425"/>
      <c r="LM425"/>
      <c r="LN425"/>
      <c r="LO425"/>
      <c r="LP425"/>
      <c r="LQ425"/>
      <c r="LR425"/>
      <c r="LS425"/>
      <c r="LT425"/>
      <c r="LU425"/>
      <c r="LV425"/>
      <c r="LW425"/>
      <c r="LX425"/>
      <c r="LY425"/>
    </row>
    <row r="426" spans="1:337" x14ac:dyDescent="0.35">
      <c r="A426" s="41" t="s">
        <v>31</v>
      </c>
      <c r="B426" s="41" t="s">
        <v>32</v>
      </c>
      <c r="C426" s="42">
        <v>46244</v>
      </c>
      <c r="D426" s="43">
        <v>0</v>
      </c>
      <c r="E426" s="43">
        <v>20</v>
      </c>
      <c r="F426" s="43">
        <v>20</v>
      </c>
      <c r="G426" s="43">
        <v>28</v>
      </c>
      <c r="H426" s="43">
        <v>40</v>
      </c>
      <c r="I426" s="43">
        <v>10</v>
      </c>
      <c r="J426" s="43">
        <v>21449</v>
      </c>
      <c r="K426" s="43">
        <f>SUM(L426:L428)</f>
        <v>6</v>
      </c>
      <c r="L426" s="43">
        <v>2</v>
      </c>
      <c r="M426" s="43"/>
      <c r="N426" s="43">
        <v>4</v>
      </c>
      <c r="O426" s="43">
        <v>3</v>
      </c>
      <c r="P426" s="43">
        <v>7</v>
      </c>
      <c r="Q426" s="43">
        <v>6</v>
      </c>
      <c r="R426" s="43">
        <v>9</v>
      </c>
      <c r="S426" s="43">
        <v>9</v>
      </c>
      <c r="T426" s="43">
        <v>25</v>
      </c>
      <c r="U426" s="43">
        <v>4</v>
      </c>
      <c r="V426" s="41" t="s">
        <v>33</v>
      </c>
      <c r="W426" s="41" t="s">
        <v>34</v>
      </c>
      <c r="X426" s="41">
        <v>1</v>
      </c>
      <c r="Y426" s="41">
        <v>3</v>
      </c>
      <c r="Z426" s="41">
        <v>322</v>
      </c>
      <c r="AA426" s="44">
        <v>34</v>
      </c>
      <c r="AB426" s="44">
        <v>34</v>
      </c>
      <c r="AC426" s="43">
        <v>45</v>
      </c>
      <c r="AD426" s="43">
        <v>30</v>
      </c>
      <c r="AE426" s="43">
        <v>45</v>
      </c>
    </row>
    <row r="427" spans="1:337" x14ac:dyDescent="0.35">
      <c r="A427" s="32" t="s">
        <v>31</v>
      </c>
      <c r="B427" s="32" t="s">
        <v>35</v>
      </c>
      <c r="C427" s="33">
        <v>46244</v>
      </c>
      <c r="D427" s="34">
        <v>13</v>
      </c>
      <c r="E427" s="34">
        <v>24</v>
      </c>
      <c r="F427" s="34">
        <v>25</v>
      </c>
      <c r="G427" s="141"/>
      <c r="H427" s="141"/>
      <c r="I427" s="141"/>
      <c r="J427" s="141"/>
      <c r="K427" s="141"/>
      <c r="L427" s="34">
        <v>2</v>
      </c>
      <c r="M427" s="34">
        <v>5</v>
      </c>
      <c r="N427" s="34">
        <v>4</v>
      </c>
      <c r="O427" s="34">
        <v>4</v>
      </c>
      <c r="P427" s="32">
        <v>7</v>
      </c>
      <c r="Q427" s="32">
        <v>7</v>
      </c>
      <c r="R427" s="32">
        <v>8</v>
      </c>
      <c r="S427" s="32">
        <v>6</v>
      </c>
      <c r="T427" s="143"/>
      <c r="U427" s="143"/>
      <c r="V427" s="32" t="s">
        <v>36</v>
      </c>
      <c r="W427" s="32" t="s">
        <v>37</v>
      </c>
      <c r="X427" s="32">
        <v>1</v>
      </c>
      <c r="Y427" s="143"/>
      <c r="Z427" s="143"/>
      <c r="AA427" s="145"/>
      <c r="AB427" s="145"/>
      <c r="AC427" s="141"/>
      <c r="AD427" s="141"/>
      <c r="AE427" s="141"/>
    </row>
    <row r="428" spans="1:337" ht="15" thickBot="1" x14ac:dyDescent="0.4">
      <c r="A428" s="45" t="s">
        <v>31</v>
      </c>
      <c r="B428" s="45" t="s">
        <v>38</v>
      </c>
      <c r="C428" s="46">
        <v>46244</v>
      </c>
      <c r="D428" s="47"/>
      <c r="E428" s="47"/>
      <c r="F428" s="47"/>
      <c r="G428" s="142"/>
      <c r="H428" s="142"/>
      <c r="I428" s="142"/>
      <c r="J428" s="142"/>
      <c r="K428" s="142"/>
      <c r="L428" s="47">
        <v>2</v>
      </c>
      <c r="M428" s="47"/>
      <c r="N428" s="47"/>
      <c r="O428" s="47"/>
      <c r="P428" s="47"/>
      <c r="Q428" s="47"/>
      <c r="R428" s="47"/>
      <c r="S428" s="47"/>
      <c r="T428" s="144"/>
      <c r="U428" s="144"/>
      <c r="V428" s="45"/>
      <c r="W428" s="45"/>
      <c r="X428" s="47"/>
      <c r="Y428" s="144"/>
      <c r="Z428" s="144"/>
      <c r="AA428" s="146"/>
      <c r="AB428" s="146"/>
      <c r="AC428" s="142"/>
      <c r="AD428" s="142"/>
      <c r="AE428" s="142"/>
    </row>
    <row r="429" spans="1:337" s="53" customFormat="1" ht="15" thickBot="1" x14ac:dyDescent="0.4">
      <c r="A429" s="49"/>
      <c r="B429" s="49"/>
      <c r="C429" s="50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49"/>
      <c r="U429" s="49"/>
      <c r="V429" s="49"/>
      <c r="W429" s="49"/>
      <c r="X429" s="51"/>
      <c r="Y429" s="49"/>
      <c r="Z429" s="49"/>
      <c r="AA429" s="52"/>
      <c r="AB429" s="52"/>
      <c r="AC429" s="51"/>
      <c r="AD429" s="51"/>
      <c r="AE429" s="51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  <c r="KI429"/>
      <c r="KJ429"/>
      <c r="KK429"/>
      <c r="KL429"/>
      <c r="KM429"/>
      <c r="KN429"/>
      <c r="KO429"/>
      <c r="KP429"/>
      <c r="KQ429"/>
      <c r="KR429"/>
      <c r="KS429"/>
      <c r="KT429"/>
      <c r="KU429"/>
      <c r="KV429"/>
      <c r="KW429"/>
      <c r="KX429"/>
      <c r="KY429"/>
      <c r="KZ429"/>
      <c r="LA429"/>
      <c r="LB429"/>
      <c r="LC429"/>
      <c r="LD429"/>
      <c r="LE429"/>
      <c r="LF429"/>
      <c r="LG429"/>
      <c r="LH429"/>
      <c r="LI429"/>
      <c r="LJ429"/>
      <c r="LK429"/>
      <c r="LL429"/>
      <c r="LM429"/>
      <c r="LN429"/>
      <c r="LO429"/>
      <c r="LP429"/>
      <c r="LQ429"/>
      <c r="LR429"/>
      <c r="LS429"/>
      <c r="LT429"/>
      <c r="LU429"/>
      <c r="LV429"/>
      <c r="LW429"/>
      <c r="LX429"/>
      <c r="LY429"/>
    </row>
    <row r="430" spans="1:337" x14ac:dyDescent="0.35">
      <c r="A430" s="41" t="s">
        <v>31</v>
      </c>
      <c r="B430" s="41" t="s">
        <v>32</v>
      </c>
      <c r="C430" s="42">
        <v>46245</v>
      </c>
      <c r="D430" s="43">
        <v>0</v>
      </c>
      <c r="E430" s="43">
        <v>20</v>
      </c>
      <c r="F430" s="43">
        <v>20</v>
      </c>
      <c r="G430" s="43">
        <v>28</v>
      </c>
      <c r="H430" s="43">
        <v>40</v>
      </c>
      <c r="I430" s="43">
        <v>10</v>
      </c>
      <c r="J430" s="43">
        <v>21449</v>
      </c>
      <c r="K430" s="43">
        <f>SUM(L430:L432)</f>
        <v>6</v>
      </c>
      <c r="L430" s="43">
        <v>2</v>
      </c>
      <c r="M430" s="43"/>
      <c r="N430" s="43">
        <v>4</v>
      </c>
      <c r="O430" s="43">
        <v>3</v>
      </c>
      <c r="P430" s="43">
        <v>7</v>
      </c>
      <c r="Q430" s="43">
        <v>6</v>
      </c>
      <c r="R430" s="43">
        <v>9</v>
      </c>
      <c r="S430" s="43">
        <v>9</v>
      </c>
      <c r="T430" s="43">
        <v>25</v>
      </c>
      <c r="U430" s="43">
        <v>4</v>
      </c>
      <c r="V430" s="41" t="s">
        <v>33</v>
      </c>
      <c r="W430" s="41" t="s">
        <v>34</v>
      </c>
      <c r="X430" s="41">
        <v>1</v>
      </c>
      <c r="Y430" s="41">
        <v>3</v>
      </c>
      <c r="Z430" s="41">
        <v>322</v>
      </c>
      <c r="AA430" s="44">
        <v>34</v>
      </c>
      <c r="AB430" s="44">
        <v>34</v>
      </c>
      <c r="AC430" s="43">
        <v>45</v>
      </c>
      <c r="AD430" s="43">
        <v>30</v>
      </c>
      <c r="AE430" s="43">
        <v>45</v>
      </c>
    </row>
    <row r="431" spans="1:337" x14ac:dyDescent="0.35">
      <c r="A431" s="32" t="s">
        <v>31</v>
      </c>
      <c r="B431" s="32" t="s">
        <v>35</v>
      </c>
      <c r="C431" s="33">
        <v>46245</v>
      </c>
      <c r="D431" s="34">
        <v>13</v>
      </c>
      <c r="E431" s="34">
        <v>24</v>
      </c>
      <c r="F431" s="34">
        <v>25</v>
      </c>
      <c r="G431" s="141"/>
      <c r="H431" s="141"/>
      <c r="I431" s="141"/>
      <c r="J431" s="141"/>
      <c r="K431" s="141"/>
      <c r="L431" s="34">
        <v>2</v>
      </c>
      <c r="M431" s="34">
        <v>5</v>
      </c>
      <c r="N431" s="34">
        <v>4</v>
      </c>
      <c r="O431" s="34">
        <v>4</v>
      </c>
      <c r="P431" s="32">
        <v>7</v>
      </c>
      <c r="Q431" s="32">
        <v>7</v>
      </c>
      <c r="R431" s="32">
        <v>8</v>
      </c>
      <c r="S431" s="32">
        <v>6</v>
      </c>
      <c r="T431" s="143"/>
      <c r="U431" s="143"/>
      <c r="V431" s="32" t="s">
        <v>36</v>
      </c>
      <c r="W431" s="32" t="s">
        <v>37</v>
      </c>
      <c r="X431" s="32">
        <v>1</v>
      </c>
      <c r="Y431" s="143"/>
      <c r="Z431" s="143"/>
      <c r="AA431" s="145"/>
      <c r="AB431" s="145"/>
      <c r="AC431" s="141"/>
      <c r="AD431" s="141"/>
      <c r="AE431" s="141"/>
    </row>
    <row r="432" spans="1:337" ht="15" thickBot="1" x14ac:dyDescent="0.4">
      <c r="A432" s="45" t="s">
        <v>31</v>
      </c>
      <c r="B432" s="45" t="s">
        <v>38</v>
      </c>
      <c r="C432" s="46">
        <v>46245</v>
      </c>
      <c r="D432" s="47"/>
      <c r="E432" s="47"/>
      <c r="F432" s="47"/>
      <c r="G432" s="142"/>
      <c r="H432" s="142"/>
      <c r="I432" s="142"/>
      <c r="J432" s="142"/>
      <c r="K432" s="142"/>
      <c r="L432" s="47">
        <v>2</v>
      </c>
      <c r="M432" s="47"/>
      <c r="N432" s="47"/>
      <c r="O432" s="47"/>
      <c r="P432" s="47"/>
      <c r="Q432" s="47"/>
      <c r="R432" s="47"/>
      <c r="S432" s="47"/>
      <c r="T432" s="144"/>
      <c r="U432" s="144"/>
      <c r="V432" s="45"/>
      <c r="W432" s="45"/>
      <c r="X432" s="47"/>
      <c r="Y432" s="144"/>
      <c r="Z432" s="144"/>
      <c r="AA432" s="146"/>
      <c r="AB432" s="146"/>
      <c r="AC432" s="142"/>
      <c r="AD432" s="142"/>
      <c r="AE432" s="142"/>
    </row>
    <row r="433" spans="1:337" s="53" customFormat="1" ht="15" thickBot="1" x14ac:dyDescent="0.4">
      <c r="A433" s="49"/>
      <c r="B433" s="49"/>
      <c r="C433" s="50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49"/>
      <c r="U433" s="49"/>
      <c r="V433" s="49"/>
      <c r="W433" s="49"/>
      <c r="X433" s="51"/>
      <c r="Y433" s="49"/>
      <c r="Z433" s="49"/>
      <c r="AA433" s="52"/>
      <c r="AB433" s="52"/>
      <c r="AC433" s="51"/>
      <c r="AD433" s="51"/>
      <c r="AE433" s="51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  <c r="KI433"/>
      <c r="KJ433"/>
      <c r="KK433"/>
      <c r="KL433"/>
      <c r="KM433"/>
      <c r="KN433"/>
      <c r="KO433"/>
      <c r="KP433"/>
      <c r="KQ433"/>
      <c r="KR433"/>
      <c r="KS433"/>
      <c r="KT433"/>
      <c r="KU433"/>
      <c r="KV433"/>
      <c r="KW433"/>
      <c r="KX433"/>
      <c r="KY433"/>
      <c r="KZ433"/>
      <c r="LA433"/>
      <c r="LB433"/>
      <c r="LC433"/>
      <c r="LD433"/>
      <c r="LE433"/>
      <c r="LF433"/>
      <c r="LG433"/>
      <c r="LH433"/>
      <c r="LI433"/>
      <c r="LJ433"/>
      <c r="LK433"/>
      <c r="LL433"/>
      <c r="LM433"/>
      <c r="LN433"/>
      <c r="LO433"/>
      <c r="LP433"/>
      <c r="LQ433"/>
      <c r="LR433"/>
      <c r="LS433"/>
      <c r="LT433"/>
      <c r="LU433"/>
      <c r="LV433"/>
      <c r="LW433"/>
      <c r="LX433"/>
      <c r="LY433"/>
    </row>
    <row r="434" spans="1:337" x14ac:dyDescent="0.35">
      <c r="A434" s="41" t="s">
        <v>31</v>
      </c>
      <c r="B434" s="41" t="s">
        <v>32</v>
      </c>
      <c r="C434" s="42">
        <v>46246</v>
      </c>
      <c r="D434" s="43">
        <v>0</v>
      </c>
      <c r="E434" s="43">
        <v>20</v>
      </c>
      <c r="F434" s="43">
        <v>20</v>
      </c>
      <c r="G434" s="43">
        <v>28</v>
      </c>
      <c r="H434" s="43">
        <v>40</v>
      </c>
      <c r="I434" s="43">
        <v>10</v>
      </c>
      <c r="J434" s="43">
        <v>21449</v>
      </c>
      <c r="K434" s="43">
        <f>SUM(L434:L436)</f>
        <v>6</v>
      </c>
      <c r="L434" s="43">
        <v>2</v>
      </c>
      <c r="M434" s="43"/>
      <c r="N434" s="43">
        <v>4</v>
      </c>
      <c r="O434" s="43">
        <v>3</v>
      </c>
      <c r="P434" s="43">
        <v>7</v>
      </c>
      <c r="Q434" s="43">
        <v>6</v>
      </c>
      <c r="R434" s="43">
        <v>9</v>
      </c>
      <c r="S434" s="43">
        <v>9</v>
      </c>
      <c r="T434" s="43">
        <v>20</v>
      </c>
      <c r="U434" s="43">
        <v>3</v>
      </c>
      <c r="V434" s="41" t="s">
        <v>33</v>
      </c>
      <c r="W434" s="41" t="s">
        <v>34</v>
      </c>
      <c r="X434" s="41">
        <v>1</v>
      </c>
      <c r="Y434" s="41">
        <v>3</v>
      </c>
      <c r="Z434" s="41">
        <v>322</v>
      </c>
      <c r="AA434" s="44">
        <v>34</v>
      </c>
      <c r="AB434" s="44">
        <v>34</v>
      </c>
      <c r="AC434" s="43">
        <v>45</v>
      </c>
      <c r="AD434" s="43">
        <v>30</v>
      </c>
      <c r="AE434" s="43">
        <v>45</v>
      </c>
    </row>
    <row r="435" spans="1:337" x14ac:dyDescent="0.35">
      <c r="A435" s="32" t="s">
        <v>31</v>
      </c>
      <c r="B435" s="32" t="s">
        <v>35</v>
      </c>
      <c r="C435" s="33">
        <v>46246</v>
      </c>
      <c r="D435" s="34">
        <v>13</v>
      </c>
      <c r="E435" s="34">
        <v>24</v>
      </c>
      <c r="F435" s="34">
        <v>25</v>
      </c>
      <c r="G435" s="141"/>
      <c r="H435" s="141"/>
      <c r="I435" s="141"/>
      <c r="J435" s="141"/>
      <c r="K435" s="141"/>
      <c r="L435" s="34">
        <v>2</v>
      </c>
      <c r="M435" s="34">
        <v>5</v>
      </c>
      <c r="N435" s="34">
        <v>4</v>
      </c>
      <c r="O435" s="34">
        <v>4</v>
      </c>
      <c r="P435" s="32">
        <v>7</v>
      </c>
      <c r="Q435" s="32">
        <v>7</v>
      </c>
      <c r="R435" s="32">
        <v>8</v>
      </c>
      <c r="S435" s="32">
        <v>6</v>
      </c>
      <c r="T435" s="143"/>
      <c r="U435" s="143"/>
      <c r="V435" s="32" t="s">
        <v>36</v>
      </c>
      <c r="W435" s="32" t="s">
        <v>37</v>
      </c>
      <c r="X435" s="32">
        <v>1</v>
      </c>
      <c r="Y435" s="143"/>
      <c r="Z435" s="143"/>
      <c r="AA435" s="145"/>
      <c r="AB435" s="145"/>
      <c r="AC435" s="141"/>
      <c r="AD435" s="141"/>
      <c r="AE435" s="141"/>
    </row>
    <row r="436" spans="1:337" ht="15" thickBot="1" x14ac:dyDescent="0.4">
      <c r="A436" s="45" t="s">
        <v>31</v>
      </c>
      <c r="B436" s="45" t="s">
        <v>38</v>
      </c>
      <c r="C436" s="46">
        <v>46246</v>
      </c>
      <c r="D436" s="47"/>
      <c r="E436" s="47"/>
      <c r="F436" s="47"/>
      <c r="G436" s="142"/>
      <c r="H436" s="142"/>
      <c r="I436" s="142"/>
      <c r="J436" s="142"/>
      <c r="K436" s="142"/>
      <c r="L436" s="47">
        <v>2</v>
      </c>
      <c r="M436" s="47"/>
      <c r="N436" s="47"/>
      <c r="O436" s="47"/>
      <c r="P436" s="47"/>
      <c r="Q436" s="47"/>
      <c r="R436" s="47"/>
      <c r="S436" s="47"/>
      <c r="T436" s="144"/>
      <c r="U436" s="144"/>
      <c r="V436" s="45"/>
      <c r="W436" s="45"/>
      <c r="X436" s="47"/>
      <c r="Y436" s="144"/>
      <c r="Z436" s="144"/>
      <c r="AA436" s="146"/>
      <c r="AB436" s="146"/>
      <c r="AC436" s="142"/>
      <c r="AD436" s="142"/>
      <c r="AE436" s="142"/>
    </row>
    <row r="437" spans="1:337" s="53" customFormat="1" ht="15" thickBot="1" x14ac:dyDescent="0.4">
      <c r="A437" s="49"/>
      <c r="B437" s="49"/>
      <c r="C437" s="50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49"/>
      <c r="U437" s="49"/>
      <c r="V437" s="49"/>
      <c r="W437" s="49"/>
      <c r="X437" s="51"/>
      <c r="Y437" s="49"/>
      <c r="Z437" s="49"/>
      <c r="AA437" s="52"/>
      <c r="AB437" s="52"/>
      <c r="AC437" s="51"/>
      <c r="AD437" s="51"/>
      <c r="AE437" s="51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  <c r="KI437"/>
      <c r="KJ437"/>
      <c r="KK437"/>
      <c r="KL437"/>
      <c r="KM437"/>
      <c r="KN437"/>
      <c r="KO437"/>
      <c r="KP437"/>
      <c r="KQ437"/>
      <c r="KR437"/>
      <c r="KS437"/>
      <c r="KT437"/>
      <c r="KU437"/>
      <c r="KV437"/>
      <c r="KW437"/>
      <c r="KX437"/>
      <c r="KY437"/>
      <c r="KZ437"/>
      <c r="LA437"/>
      <c r="LB437"/>
      <c r="LC437"/>
      <c r="LD437"/>
      <c r="LE437"/>
      <c r="LF437"/>
      <c r="LG437"/>
      <c r="LH437"/>
      <c r="LI437"/>
      <c r="LJ437"/>
      <c r="LK437"/>
      <c r="LL437"/>
      <c r="LM437"/>
      <c r="LN437"/>
      <c r="LO437"/>
      <c r="LP437"/>
      <c r="LQ437"/>
      <c r="LR437"/>
      <c r="LS437"/>
      <c r="LT437"/>
      <c r="LU437"/>
      <c r="LV437"/>
      <c r="LW437"/>
      <c r="LX437"/>
      <c r="LY437"/>
    </row>
    <row r="438" spans="1:337" x14ac:dyDescent="0.35">
      <c r="A438" s="41" t="s">
        <v>31</v>
      </c>
      <c r="B438" s="41" t="s">
        <v>32</v>
      </c>
      <c r="C438" s="42">
        <v>46247</v>
      </c>
      <c r="D438" s="43">
        <v>0</v>
      </c>
      <c r="E438" s="43">
        <v>20</v>
      </c>
      <c r="F438" s="43">
        <v>20</v>
      </c>
      <c r="G438" s="43">
        <v>28</v>
      </c>
      <c r="H438" s="43">
        <v>40</v>
      </c>
      <c r="I438" s="43">
        <v>10</v>
      </c>
      <c r="J438" s="43">
        <v>21449</v>
      </c>
      <c r="K438" s="43">
        <f>SUM(L438:L440)</f>
        <v>6</v>
      </c>
      <c r="L438" s="43">
        <v>2</v>
      </c>
      <c r="M438" s="43"/>
      <c r="N438" s="43">
        <v>4</v>
      </c>
      <c r="O438" s="43">
        <v>3</v>
      </c>
      <c r="P438" s="43">
        <v>7</v>
      </c>
      <c r="Q438" s="43">
        <v>6</v>
      </c>
      <c r="R438" s="43">
        <v>9</v>
      </c>
      <c r="S438" s="43">
        <v>9</v>
      </c>
      <c r="T438" s="43">
        <v>25</v>
      </c>
      <c r="U438" s="43">
        <v>4</v>
      </c>
      <c r="V438" s="41" t="s">
        <v>33</v>
      </c>
      <c r="W438" s="41" t="s">
        <v>34</v>
      </c>
      <c r="X438" s="41">
        <v>1</v>
      </c>
      <c r="Y438" s="41">
        <v>3</v>
      </c>
      <c r="Z438" s="41">
        <v>322</v>
      </c>
      <c r="AA438" s="44">
        <v>34</v>
      </c>
      <c r="AB438" s="44">
        <v>34</v>
      </c>
      <c r="AC438" s="43">
        <v>45</v>
      </c>
      <c r="AD438" s="43">
        <v>30</v>
      </c>
      <c r="AE438" s="43">
        <v>45</v>
      </c>
    </row>
    <row r="439" spans="1:337" x14ac:dyDescent="0.35">
      <c r="A439" s="32" t="s">
        <v>31</v>
      </c>
      <c r="B439" s="32" t="s">
        <v>35</v>
      </c>
      <c r="C439" s="33">
        <v>46247</v>
      </c>
      <c r="D439" s="34">
        <v>13</v>
      </c>
      <c r="E439" s="34">
        <v>24</v>
      </c>
      <c r="F439" s="34">
        <v>25</v>
      </c>
      <c r="G439" s="141"/>
      <c r="H439" s="141"/>
      <c r="I439" s="141"/>
      <c r="J439" s="141"/>
      <c r="K439" s="141"/>
      <c r="L439" s="34">
        <v>2</v>
      </c>
      <c r="M439" s="34">
        <v>5</v>
      </c>
      <c r="N439" s="34">
        <v>4</v>
      </c>
      <c r="O439" s="34">
        <v>4</v>
      </c>
      <c r="P439" s="32">
        <v>7</v>
      </c>
      <c r="Q439" s="32">
        <v>7</v>
      </c>
      <c r="R439" s="32">
        <v>8</v>
      </c>
      <c r="S439" s="32">
        <v>6</v>
      </c>
      <c r="T439" s="143"/>
      <c r="U439" s="143"/>
      <c r="V439" s="32" t="s">
        <v>36</v>
      </c>
      <c r="W439" s="32" t="s">
        <v>37</v>
      </c>
      <c r="X439" s="32">
        <v>1</v>
      </c>
      <c r="Y439" s="143"/>
      <c r="Z439" s="143"/>
      <c r="AA439" s="145"/>
      <c r="AB439" s="145"/>
      <c r="AC439" s="141"/>
      <c r="AD439" s="141"/>
      <c r="AE439" s="141"/>
    </row>
    <row r="440" spans="1:337" ht="15" thickBot="1" x14ac:dyDescent="0.4">
      <c r="A440" s="45" t="s">
        <v>31</v>
      </c>
      <c r="B440" s="45" t="s">
        <v>38</v>
      </c>
      <c r="C440" s="46">
        <v>46247</v>
      </c>
      <c r="D440" s="47"/>
      <c r="E440" s="47"/>
      <c r="F440" s="47"/>
      <c r="G440" s="142"/>
      <c r="H440" s="142"/>
      <c r="I440" s="142"/>
      <c r="J440" s="142"/>
      <c r="K440" s="142"/>
      <c r="L440" s="47">
        <v>2</v>
      </c>
      <c r="M440" s="47"/>
      <c r="N440" s="47"/>
      <c r="O440" s="47"/>
      <c r="P440" s="47"/>
      <c r="Q440" s="47"/>
      <c r="R440" s="47"/>
      <c r="S440" s="47"/>
      <c r="T440" s="144"/>
      <c r="U440" s="144"/>
      <c r="V440" s="45"/>
      <c r="W440" s="45"/>
      <c r="X440" s="47"/>
      <c r="Y440" s="144"/>
      <c r="Z440" s="144"/>
      <c r="AA440" s="146"/>
      <c r="AB440" s="146"/>
      <c r="AC440" s="142"/>
      <c r="AD440" s="142"/>
      <c r="AE440" s="142"/>
    </row>
    <row r="441" spans="1:337" s="53" customFormat="1" ht="15" thickBot="1" x14ac:dyDescent="0.4">
      <c r="A441" s="49"/>
      <c r="B441" s="49"/>
      <c r="C441" s="50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49"/>
      <c r="U441" s="49"/>
      <c r="V441" s="49"/>
      <c r="W441" s="49"/>
      <c r="X441" s="51"/>
      <c r="Y441" s="49"/>
      <c r="Z441" s="49"/>
      <c r="AA441" s="52"/>
      <c r="AB441" s="52"/>
      <c r="AC441" s="51"/>
      <c r="AD441" s="51"/>
      <c r="AE441" s="5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  <c r="KI441"/>
      <c r="KJ441"/>
      <c r="KK441"/>
      <c r="KL441"/>
      <c r="KM441"/>
      <c r="KN441"/>
      <c r="KO441"/>
      <c r="KP441"/>
      <c r="KQ441"/>
      <c r="KR441"/>
      <c r="KS441"/>
      <c r="KT441"/>
      <c r="KU441"/>
      <c r="KV441"/>
      <c r="KW441"/>
      <c r="KX441"/>
      <c r="KY441"/>
      <c r="KZ441"/>
      <c r="LA441"/>
      <c r="LB441"/>
      <c r="LC441"/>
      <c r="LD441"/>
      <c r="LE441"/>
      <c r="LF441"/>
      <c r="LG441"/>
      <c r="LH441"/>
      <c r="LI441"/>
      <c r="LJ441"/>
      <c r="LK441"/>
      <c r="LL441"/>
      <c r="LM441"/>
      <c r="LN441"/>
      <c r="LO441"/>
      <c r="LP441"/>
      <c r="LQ441"/>
      <c r="LR441"/>
      <c r="LS441"/>
      <c r="LT441"/>
      <c r="LU441"/>
      <c r="LV441"/>
      <c r="LW441"/>
      <c r="LX441"/>
      <c r="LY441"/>
    </row>
    <row r="442" spans="1:337" x14ac:dyDescent="0.35">
      <c r="A442" s="41" t="s">
        <v>31</v>
      </c>
      <c r="B442" s="41" t="s">
        <v>32</v>
      </c>
      <c r="C442" s="42">
        <v>46248</v>
      </c>
      <c r="D442" s="43">
        <v>0</v>
      </c>
      <c r="E442" s="43">
        <v>20</v>
      </c>
      <c r="F442" s="43">
        <v>20</v>
      </c>
      <c r="G442" s="43">
        <v>28</v>
      </c>
      <c r="H442" s="43">
        <v>40</v>
      </c>
      <c r="I442" s="43">
        <v>10</v>
      </c>
      <c r="J442" s="43">
        <v>21449</v>
      </c>
      <c r="K442" s="43">
        <f>SUM(L442:L444)</f>
        <v>6</v>
      </c>
      <c r="L442" s="43">
        <v>2</v>
      </c>
      <c r="M442" s="43"/>
      <c r="N442" s="43">
        <v>4</v>
      </c>
      <c r="O442" s="43">
        <v>3</v>
      </c>
      <c r="P442" s="43">
        <v>7</v>
      </c>
      <c r="Q442" s="43">
        <v>6</v>
      </c>
      <c r="R442" s="43">
        <v>9</v>
      </c>
      <c r="S442" s="43">
        <v>9</v>
      </c>
      <c r="T442" s="43">
        <v>25</v>
      </c>
      <c r="U442" s="43">
        <v>4</v>
      </c>
      <c r="V442" s="41" t="s">
        <v>33</v>
      </c>
      <c r="W442" s="41" t="s">
        <v>34</v>
      </c>
      <c r="X442" s="41">
        <v>1</v>
      </c>
      <c r="Y442" s="41">
        <v>3</v>
      </c>
      <c r="Z442" s="41">
        <v>322</v>
      </c>
      <c r="AA442" s="44">
        <v>34</v>
      </c>
      <c r="AB442" s="44">
        <v>34</v>
      </c>
      <c r="AC442" s="43">
        <v>45</v>
      </c>
      <c r="AD442" s="43">
        <v>30</v>
      </c>
      <c r="AE442" s="43">
        <v>45</v>
      </c>
    </row>
    <row r="443" spans="1:337" x14ac:dyDescent="0.35">
      <c r="A443" s="32" t="s">
        <v>31</v>
      </c>
      <c r="B443" s="32" t="s">
        <v>35</v>
      </c>
      <c r="C443" s="33">
        <v>46248</v>
      </c>
      <c r="D443" s="34">
        <v>13</v>
      </c>
      <c r="E443" s="34">
        <v>24</v>
      </c>
      <c r="F443" s="34">
        <v>25</v>
      </c>
      <c r="G443" s="141"/>
      <c r="H443" s="141"/>
      <c r="I443" s="141"/>
      <c r="J443" s="141"/>
      <c r="K443" s="141"/>
      <c r="L443" s="34">
        <v>2</v>
      </c>
      <c r="M443" s="34">
        <v>5</v>
      </c>
      <c r="N443" s="34">
        <v>4</v>
      </c>
      <c r="O443" s="34">
        <v>4</v>
      </c>
      <c r="P443" s="32">
        <v>7</v>
      </c>
      <c r="Q443" s="32">
        <v>7</v>
      </c>
      <c r="R443" s="32">
        <v>8</v>
      </c>
      <c r="S443" s="32">
        <v>6</v>
      </c>
      <c r="T443" s="143"/>
      <c r="U443" s="143"/>
      <c r="V443" s="32" t="s">
        <v>36</v>
      </c>
      <c r="W443" s="32" t="s">
        <v>37</v>
      </c>
      <c r="X443" s="32">
        <v>1</v>
      </c>
      <c r="Y443" s="143"/>
      <c r="Z443" s="143"/>
      <c r="AA443" s="145"/>
      <c r="AB443" s="145"/>
      <c r="AC443" s="141"/>
      <c r="AD443" s="141"/>
      <c r="AE443" s="141"/>
    </row>
    <row r="444" spans="1:337" ht="15" thickBot="1" x14ac:dyDescent="0.4">
      <c r="A444" s="45" t="s">
        <v>31</v>
      </c>
      <c r="B444" s="45" t="s">
        <v>38</v>
      </c>
      <c r="C444" s="46">
        <v>46248</v>
      </c>
      <c r="D444" s="47"/>
      <c r="E444" s="47"/>
      <c r="F444" s="47"/>
      <c r="G444" s="142"/>
      <c r="H444" s="142"/>
      <c r="I444" s="142"/>
      <c r="J444" s="142"/>
      <c r="K444" s="142"/>
      <c r="L444" s="47">
        <v>2</v>
      </c>
      <c r="M444" s="47"/>
      <c r="N444" s="47"/>
      <c r="O444" s="47"/>
      <c r="P444" s="47"/>
      <c r="Q444" s="47"/>
      <c r="R444" s="47"/>
      <c r="S444" s="47"/>
      <c r="T444" s="144"/>
      <c r="U444" s="144"/>
      <c r="V444" s="45"/>
      <c r="W444" s="45"/>
      <c r="X444" s="47"/>
      <c r="Y444" s="144"/>
      <c r="Z444" s="144"/>
      <c r="AA444" s="146"/>
      <c r="AB444" s="146"/>
      <c r="AC444" s="142"/>
      <c r="AD444" s="142"/>
      <c r="AE444" s="142"/>
    </row>
    <row r="445" spans="1:337" s="53" customFormat="1" ht="15" thickBot="1" x14ac:dyDescent="0.4">
      <c r="A445" s="49"/>
      <c r="B445" s="49"/>
      <c r="C445" s="50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49"/>
      <c r="U445" s="49"/>
      <c r="V445" s="49"/>
      <c r="W445" s="49"/>
      <c r="X445" s="51"/>
      <c r="Y445" s="49"/>
      <c r="Z445" s="49"/>
      <c r="AA445" s="52"/>
      <c r="AB445" s="52"/>
      <c r="AC445" s="51"/>
      <c r="AD445" s="51"/>
      <c r="AE445" s="51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/>
      <c r="KA445"/>
      <c r="KB445"/>
      <c r="KC445"/>
      <c r="KD445"/>
      <c r="KE445"/>
      <c r="KF445"/>
      <c r="KG445"/>
      <c r="KH445"/>
      <c r="KI445"/>
      <c r="KJ445"/>
      <c r="KK445"/>
      <c r="KL445"/>
      <c r="KM445"/>
      <c r="KN445"/>
      <c r="KO445"/>
      <c r="KP445"/>
      <c r="KQ445"/>
      <c r="KR445"/>
      <c r="KS445"/>
      <c r="KT445"/>
      <c r="KU445"/>
      <c r="KV445"/>
      <c r="KW445"/>
      <c r="KX445"/>
      <c r="KY445"/>
      <c r="KZ445"/>
      <c r="LA445"/>
      <c r="LB445"/>
      <c r="LC445"/>
      <c r="LD445"/>
      <c r="LE445"/>
      <c r="LF445"/>
      <c r="LG445"/>
      <c r="LH445"/>
      <c r="LI445"/>
      <c r="LJ445"/>
      <c r="LK445"/>
      <c r="LL445"/>
      <c r="LM445"/>
      <c r="LN445"/>
      <c r="LO445"/>
      <c r="LP445"/>
      <c r="LQ445"/>
      <c r="LR445"/>
      <c r="LS445"/>
      <c r="LT445"/>
      <c r="LU445"/>
      <c r="LV445"/>
      <c r="LW445"/>
      <c r="LX445"/>
      <c r="LY445"/>
    </row>
    <row r="446" spans="1:337" x14ac:dyDescent="0.35">
      <c r="A446" s="41" t="s">
        <v>31</v>
      </c>
      <c r="B446" s="41" t="s">
        <v>32</v>
      </c>
      <c r="C446" s="42">
        <v>46251</v>
      </c>
      <c r="D446" s="43">
        <v>0</v>
      </c>
      <c r="E446" s="43">
        <v>20</v>
      </c>
      <c r="F446" s="43">
        <v>20</v>
      </c>
      <c r="G446" s="43">
        <v>28</v>
      </c>
      <c r="H446" s="43">
        <v>40</v>
      </c>
      <c r="I446" s="43">
        <v>10</v>
      </c>
      <c r="J446" s="43">
        <v>21449</v>
      </c>
      <c r="K446" s="43">
        <f>SUM(L446:L448)</f>
        <v>6</v>
      </c>
      <c r="L446" s="43">
        <v>2</v>
      </c>
      <c r="M446" s="43"/>
      <c r="N446" s="43">
        <v>4</v>
      </c>
      <c r="O446" s="43">
        <v>3</v>
      </c>
      <c r="P446" s="43">
        <v>7</v>
      </c>
      <c r="Q446" s="43">
        <v>6</v>
      </c>
      <c r="R446" s="43">
        <v>9</v>
      </c>
      <c r="S446" s="43">
        <v>9</v>
      </c>
      <c r="T446" s="43">
        <v>25</v>
      </c>
      <c r="U446" s="43">
        <v>4</v>
      </c>
      <c r="V446" s="41" t="s">
        <v>33</v>
      </c>
      <c r="W446" s="41" t="s">
        <v>34</v>
      </c>
      <c r="X446" s="41">
        <v>1</v>
      </c>
      <c r="Y446" s="41">
        <v>3</v>
      </c>
      <c r="Z446" s="41">
        <v>322</v>
      </c>
      <c r="AA446" s="44">
        <v>34</v>
      </c>
      <c r="AB446" s="44">
        <v>34</v>
      </c>
      <c r="AC446" s="43">
        <v>45</v>
      </c>
      <c r="AD446" s="43">
        <v>30</v>
      </c>
      <c r="AE446" s="43">
        <v>45</v>
      </c>
    </row>
    <row r="447" spans="1:337" x14ac:dyDescent="0.35">
      <c r="A447" s="32" t="s">
        <v>31</v>
      </c>
      <c r="B447" s="32" t="s">
        <v>35</v>
      </c>
      <c r="C447" s="33">
        <v>46251</v>
      </c>
      <c r="D447" s="34">
        <v>13</v>
      </c>
      <c r="E447" s="34">
        <v>24</v>
      </c>
      <c r="F447" s="34">
        <v>25</v>
      </c>
      <c r="G447" s="141"/>
      <c r="H447" s="141"/>
      <c r="I447" s="141"/>
      <c r="J447" s="141"/>
      <c r="K447" s="141"/>
      <c r="L447" s="34">
        <v>2</v>
      </c>
      <c r="M447" s="34">
        <v>5</v>
      </c>
      <c r="N447" s="34">
        <v>4</v>
      </c>
      <c r="O447" s="34">
        <v>4</v>
      </c>
      <c r="P447" s="32">
        <v>7</v>
      </c>
      <c r="Q447" s="32">
        <v>7</v>
      </c>
      <c r="R447" s="32">
        <v>8</v>
      </c>
      <c r="S447" s="32">
        <v>6</v>
      </c>
      <c r="T447" s="143"/>
      <c r="U447" s="143"/>
      <c r="V447" s="32" t="s">
        <v>36</v>
      </c>
      <c r="W447" s="32" t="s">
        <v>37</v>
      </c>
      <c r="X447" s="32">
        <v>1</v>
      </c>
      <c r="Y447" s="143"/>
      <c r="Z447" s="143"/>
      <c r="AA447" s="145"/>
      <c r="AB447" s="145"/>
      <c r="AC447" s="141"/>
      <c r="AD447" s="141"/>
      <c r="AE447" s="141"/>
    </row>
    <row r="448" spans="1:337" ht="15" thickBot="1" x14ac:dyDescent="0.4">
      <c r="A448" s="45" t="s">
        <v>31</v>
      </c>
      <c r="B448" s="45" t="s">
        <v>38</v>
      </c>
      <c r="C448" s="46">
        <v>46251</v>
      </c>
      <c r="D448" s="47"/>
      <c r="E448" s="47"/>
      <c r="F448" s="47"/>
      <c r="G448" s="142"/>
      <c r="H448" s="142"/>
      <c r="I448" s="142"/>
      <c r="J448" s="142"/>
      <c r="K448" s="142"/>
      <c r="L448" s="47">
        <v>2</v>
      </c>
      <c r="M448" s="47"/>
      <c r="N448" s="47"/>
      <c r="O448" s="47"/>
      <c r="P448" s="47"/>
      <c r="Q448" s="47"/>
      <c r="R448" s="47"/>
      <c r="S448" s="47"/>
      <c r="T448" s="144"/>
      <c r="U448" s="144"/>
      <c r="V448" s="45"/>
      <c r="W448" s="45"/>
      <c r="X448" s="47"/>
      <c r="Y448" s="144"/>
      <c r="Z448" s="144"/>
      <c r="AA448" s="146"/>
      <c r="AB448" s="146"/>
      <c r="AC448" s="142"/>
      <c r="AD448" s="142"/>
      <c r="AE448" s="142"/>
    </row>
    <row r="449" spans="1:337" s="53" customFormat="1" ht="15" thickBot="1" x14ac:dyDescent="0.4">
      <c r="A449" s="49"/>
      <c r="B449" s="49"/>
      <c r="C449" s="50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49"/>
      <c r="U449" s="49"/>
      <c r="V449" s="49"/>
      <c r="W449" s="49"/>
      <c r="X449" s="51"/>
      <c r="Y449" s="49"/>
      <c r="Z449" s="49"/>
      <c r="AA449" s="52"/>
      <c r="AB449" s="52"/>
      <c r="AC449" s="51"/>
      <c r="AD449" s="51"/>
      <c r="AE449" s="51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/>
      <c r="KA449"/>
      <c r="KB449"/>
      <c r="KC449"/>
      <c r="KD449"/>
      <c r="KE449"/>
      <c r="KF449"/>
      <c r="KG449"/>
      <c r="KH449"/>
      <c r="KI449"/>
      <c r="KJ449"/>
      <c r="KK449"/>
      <c r="KL449"/>
      <c r="KM449"/>
      <c r="KN449"/>
      <c r="KO449"/>
      <c r="KP449"/>
      <c r="KQ449"/>
      <c r="KR449"/>
      <c r="KS449"/>
      <c r="KT449"/>
      <c r="KU449"/>
      <c r="KV449"/>
      <c r="KW449"/>
      <c r="KX449"/>
      <c r="KY449"/>
      <c r="KZ449"/>
      <c r="LA449"/>
      <c r="LB449"/>
      <c r="LC449"/>
      <c r="LD449"/>
      <c r="LE449"/>
      <c r="LF449"/>
      <c r="LG449"/>
      <c r="LH449"/>
      <c r="LI449"/>
      <c r="LJ449"/>
      <c r="LK449"/>
      <c r="LL449"/>
      <c r="LM449"/>
      <c r="LN449"/>
      <c r="LO449"/>
      <c r="LP449"/>
      <c r="LQ449"/>
      <c r="LR449"/>
      <c r="LS449"/>
      <c r="LT449"/>
      <c r="LU449"/>
      <c r="LV449"/>
      <c r="LW449"/>
      <c r="LX449"/>
      <c r="LY449"/>
    </row>
    <row r="450" spans="1:337" x14ac:dyDescent="0.35">
      <c r="A450" s="41" t="s">
        <v>31</v>
      </c>
      <c r="B450" s="41" t="s">
        <v>32</v>
      </c>
      <c r="C450" s="42">
        <v>46252</v>
      </c>
      <c r="D450" s="43">
        <v>0</v>
      </c>
      <c r="E450" s="43">
        <v>20</v>
      </c>
      <c r="F450" s="43">
        <v>20</v>
      </c>
      <c r="G450" s="43">
        <v>28</v>
      </c>
      <c r="H450" s="43">
        <v>40</v>
      </c>
      <c r="I450" s="43">
        <v>10</v>
      </c>
      <c r="J450" s="43">
        <v>21449</v>
      </c>
      <c r="K450" s="43">
        <f>SUM(L450:L452)</f>
        <v>6</v>
      </c>
      <c r="L450" s="43">
        <v>2</v>
      </c>
      <c r="M450" s="43"/>
      <c r="N450" s="43">
        <v>4</v>
      </c>
      <c r="O450" s="43">
        <v>3</v>
      </c>
      <c r="P450" s="43">
        <v>7</v>
      </c>
      <c r="Q450" s="43">
        <v>6</v>
      </c>
      <c r="R450" s="43">
        <v>9</v>
      </c>
      <c r="S450" s="43">
        <v>9</v>
      </c>
      <c r="T450" s="43">
        <v>25</v>
      </c>
      <c r="U450" s="43">
        <v>4</v>
      </c>
      <c r="V450" s="41" t="s">
        <v>33</v>
      </c>
      <c r="W450" s="41" t="s">
        <v>34</v>
      </c>
      <c r="X450" s="41">
        <v>1</v>
      </c>
      <c r="Y450" s="41">
        <v>3</v>
      </c>
      <c r="Z450" s="41">
        <v>322</v>
      </c>
      <c r="AA450" s="44">
        <v>34</v>
      </c>
      <c r="AB450" s="44">
        <v>34</v>
      </c>
      <c r="AC450" s="43">
        <v>45</v>
      </c>
      <c r="AD450" s="43">
        <v>30</v>
      </c>
      <c r="AE450" s="43">
        <v>45</v>
      </c>
    </row>
    <row r="451" spans="1:337" x14ac:dyDescent="0.35">
      <c r="A451" s="32" t="s">
        <v>31</v>
      </c>
      <c r="B451" s="32" t="s">
        <v>35</v>
      </c>
      <c r="C451" s="33">
        <v>46252</v>
      </c>
      <c r="D451" s="34">
        <v>13</v>
      </c>
      <c r="E451" s="34">
        <v>24</v>
      </c>
      <c r="F451" s="34">
        <v>25</v>
      </c>
      <c r="G451" s="141"/>
      <c r="H451" s="141"/>
      <c r="I451" s="141"/>
      <c r="J451" s="141"/>
      <c r="K451" s="141"/>
      <c r="L451" s="34">
        <v>2</v>
      </c>
      <c r="M451" s="34">
        <v>5</v>
      </c>
      <c r="N451" s="34">
        <v>4</v>
      </c>
      <c r="O451" s="34">
        <v>4</v>
      </c>
      <c r="P451" s="32">
        <v>7</v>
      </c>
      <c r="Q451" s="32">
        <v>7</v>
      </c>
      <c r="R451" s="32">
        <v>8</v>
      </c>
      <c r="S451" s="32">
        <v>6</v>
      </c>
      <c r="T451" s="143"/>
      <c r="U451" s="143"/>
      <c r="V451" s="32" t="s">
        <v>36</v>
      </c>
      <c r="W451" s="32" t="s">
        <v>37</v>
      </c>
      <c r="X451" s="32">
        <v>1</v>
      </c>
      <c r="Y451" s="143"/>
      <c r="Z451" s="143"/>
      <c r="AA451" s="145"/>
      <c r="AB451" s="145"/>
      <c r="AC451" s="141"/>
      <c r="AD451" s="141"/>
      <c r="AE451" s="141"/>
    </row>
    <row r="452" spans="1:337" ht="15" thickBot="1" x14ac:dyDescent="0.4">
      <c r="A452" s="45" t="s">
        <v>31</v>
      </c>
      <c r="B452" s="45" t="s">
        <v>38</v>
      </c>
      <c r="C452" s="46">
        <v>46252</v>
      </c>
      <c r="D452" s="47"/>
      <c r="E452" s="47"/>
      <c r="F452" s="47"/>
      <c r="G452" s="142"/>
      <c r="H452" s="142"/>
      <c r="I452" s="142"/>
      <c r="J452" s="142"/>
      <c r="K452" s="142"/>
      <c r="L452" s="47">
        <v>2</v>
      </c>
      <c r="M452" s="47"/>
      <c r="N452" s="47"/>
      <c r="O452" s="47"/>
      <c r="P452" s="47"/>
      <c r="Q452" s="47"/>
      <c r="R452" s="47"/>
      <c r="S452" s="47"/>
      <c r="T452" s="144"/>
      <c r="U452" s="144"/>
      <c r="V452" s="45"/>
      <c r="W452" s="45"/>
      <c r="X452" s="47"/>
      <c r="Y452" s="144"/>
      <c r="Z452" s="144"/>
      <c r="AA452" s="146"/>
      <c r="AB452" s="146"/>
      <c r="AC452" s="142"/>
      <c r="AD452" s="142"/>
      <c r="AE452" s="142"/>
    </row>
    <row r="453" spans="1:337" s="53" customFormat="1" ht="15" thickBot="1" x14ac:dyDescent="0.4">
      <c r="A453" s="49"/>
      <c r="B453" s="49"/>
      <c r="C453" s="50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49"/>
      <c r="U453" s="49"/>
      <c r="V453" s="49"/>
      <c r="W453" s="49"/>
      <c r="X453" s="51"/>
      <c r="Y453" s="49"/>
      <c r="Z453" s="49"/>
      <c r="AA453" s="52"/>
      <c r="AB453" s="52"/>
      <c r="AC453" s="51"/>
      <c r="AD453" s="51"/>
      <c r="AE453" s="51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/>
      <c r="KB453"/>
      <c r="KC453"/>
      <c r="KD453"/>
      <c r="KE453"/>
      <c r="KF453"/>
      <c r="KG453"/>
      <c r="KH453"/>
      <c r="KI453"/>
      <c r="KJ453"/>
      <c r="KK453"/>
      <c r="KL453"/>
      <c r="KM453"/>
      <c r="KN453"/>
      <c r="KO453"/>
      <c r="KP453"/>
      <c r="KQ453"/>
      <c r="KR453"/>
      <c r="KS453"/>
      <c r="KT453"/>
      <c r="KU453"/>
      <c r="KV453"/>
      <c r="KW453"/>
      <c r="KX453"/>
      <c r="KY453"/>
      <c r="KZ453"/>
      <c r="LA453"/>
      <c r="LB453"/>
      <c r="LC453"/>
      <c r="LD453"/>
      <c r="LE453"/>
      <c r="LF453"/>
      <c r="LG453"/>
      <c r="LH453"/>
      <c r="LI453"/>
      <c r="LJ453"/>
      <c r="LK453"/>
      <c r="LL453"/>
      <c r="LM453"/>
      <c r="LN453"/>
      <c r="LO453"/>
      <c r="LP453"/>
      <c r="LQ453"/>
      <c r="LR453"/>
      <c r="LS453"/>
      <c r="LT453"/>
      <c r="LU453"/>
      <c r="LV453"/>
      <c r="LW453"/>
      <c r="LX453"/>
      <c r="LY453"/>
    </row>
    <row r="454" spans="1:337" x14ac:dyDescent="0.35">
      <c r="A454" s="41" t="s">
        <v>31</v>
      </c>
      <c r="B454" s="41" t="s">
        <v>32</v>
      </c>
      <c r="C454" s="42">
        <v>46253</v>
      </c>
      <c r="D454" s="43">
        <v>0</v>
      </c>
      <c r="E454" s="43">
        <v>20</v>
      </c>
      <c r="F454" s="43">
        <v>20</v>
      </c>
      <c r="G454" s="43">
        <v>28</v>
      </c>
      <c r="H454" s="43">
        <v>40</v>
      </c>
      <c r="I454" s="43">
        <v>10</v>
      </c>
      <c r="J454" s="43">
        <v>21449</v>
      </c>
      <c r="K454" s="43">
        <f>SUM(L454:L456)</f>
        <v>6</v>
      </c>
      <c r="L454" s="43">
        <v>2</v>
      </c>
      <c r="M454" s="43"/>
      <c r="N454" s="43">
        <v>4</v>
      </c>
      <c r="O454" s="43">
        <v>3</v>
      </c>
      <c r="P454" s="43">
        <v>7</v>
      </c>
      <c r="Q454" s="43">
        <v>6</v>
      </c>
      <c r="R454" s="43">
        <v>9</v>
      </c>
      <c r="S454" s="43">
        <v>9</v>
      </c>
      <c r="T454" s="43">
        <v>25</v>
      </c>
      <c r="U454" s="43">
        <v>4</v>
      </c>
      <c r="V454" s="41" t="s">
        <v>33</v>
      </c>
      <c r="W454" s="41" t="s">
        <v>34</v>
      </c>
      <c r="X454" s="41">
        <v>1</v>
      </c>
      <c r="Y454" s="41">
        <v>3</v>
      </c>
      <c r="Z454" s="41">
        <v>322</v>
      </c>
      <c r="AA454" s="44">
        <v>34</v>
      </c>
      <c r="AB454" s="44">
        <v>34</v>
      </c>
      <c r="AC454" s="43">
        <v>45</v>
      </c>
      <c r="AD454" s="43">
        <v>30</v>
      </c>
      <c r="AE454" s="43">
        <v>45</v>
      </c>
    </row>
    <row r="455" spans="1:337" x14ac:dyDescent="0.35">
      <c r="A455" s="32" t="s">
        <v>31</v>
      </c>
      <c r="B455" s="32" t="s">
        <v>35</v>
      </c>
      <c r="C455" s="33">
        <v>46253</v>
      </c>
      <c r="D455" s="34">
        <v>13</v>
      </c>
      <c r="E455" s="34">
        <v>24</v>
      </c>
      <c r="F455" s="34">
        <v>25</v>
      </c>
      <c r="G455" s="141"/>
      <c r="H455" s="141"/>
      <c r="I455" s="141"/>
      <c r="J455" s="141"/>
      <c r="K455" s="141"/>
      <c r="L455" s="34">
        <v>2</v>
      </c>
      <c r="M455" s="34">
        <v>5</v>
      </c>
      <c r="N455" s="34">
        <v>4</v>
      </c>
      <c r="O455" s="34">
        <v>4</v>
      </c>
      <c r="P455" s="32">
        <v>7</v>
      </c>
      <c r="Q455" s="32">
        <v>7</v>
      </c>
      <c r="R455" s="32">
        <v>8</v>
      </c>
      <c r="S455" s="32">
        <v>6</v>
      </c>
      <c r="T455" s="143"/>
      <c r="U455" s="143"/>
      <c r="V455" s="32" t="s">
        <v>36</v>
      </c>
      <c r="W455" s="32" t="s">
        <v>37</v>
      </c>
      <c r="X455" s="32">
        <v>1</v>
      </c>
      <c r="Y455" s="143"/>
      <c r="Z455" s="143"/>
      <c r="AA455" s="145"/>
      <c r="AB455" s="145"/>
      <c r="AC455" s="141"/>
      <c r="AD455" s="141"/>
      <c r="AE455" s="141"/>
    </row>
    <row r="456" spans="1:337" ht="15" thickBot="1" x14ac:dyDescent="0.4">
      <c r="A456" s="45" t="s">
        <v>31</v>
      </c>
      <c r="B456" s="45" t="s">
        <v>38</v>
      </c>
      <c r="C456" s="46">
        <v>46253</v>
      </c>
      <c r="D456" s="47"/>
      <c r="E456" s="47"/>
      <c r="F456" s="47"/>
      <c r="G456" s="142"/>
      <c r="H456" s="142"/>
      <c r="I456" s="142"/>
      <c r="J456" s="142"/>
      <c r="K456" s="142"/>
      <c r="L456" s="47">
        <v>2</v>
      </c>
      <c r="M456" s="47"/>
      <c r="N456" s="47"/>
      <c r="O456" s="47"/>
      <c r="P456" s="47"/>
      <c r="Q456" s="47"/>
      <c r="R456" s="47"/>
      <c r="S456" s="47"/>
      <c r="T456" s="144"/>
      <c r="U456" s="144"/>
      <c r="V456" s="45"/>
      <c r="W456" s="45"/>
      <c r="X456" s="47"/>
      <c r="Y456" s="144"/>
      <c r="Z456" s="144"/>
      <c r="AA456" s="146"/>
      <c r="AB456" s="146"/>
      <c r="AC456" s="142"/>
      <c r="AD456" s="142"/>
      <c r="AE456" s="142"/>
    </row>
    <row r="457" spans="1:337" s="53" customFormat="1" ht="15" thickBot="1" x14ac:dyDescent="0.4">
      <c r="A457" s="49"/>
      <c r="B457" s="49"/>
      <c r="C457" s="50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49"/>
      <c r="U457" s="49"/>
      <c r="V457" s="49"/>
      <c r="W457" s="49"/>
      <c r="X457" s="51"/>
      <c r="Y457" s="49"/>
      <c r="Z457" s="49"/>
      <c r="AA457" s="52"/>
      <c r="AB457" s="52"/>
      <c r="AC457" s="51"/>
      <c r="AD457" s="51"/>
      <c r="AE457" s="51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/>
      <c r="JV457"/>
      <c r="JW457"/>
      <c r="JX457"/>
      <c r="JY457"/>
      <c r="JZ457"/>
      <c r="KA457"/>
      <c r="KB457"/>
      <c r="KC457"/>
      <c r="KD457"/>
      <c r="KE457"/>
      <c r="KF457"/>
      <c r="KG457"/>
      <c r="KH457"/>
      <c r="KI457"/>
      <c r="KJ457"/>
      <c r="KK457"/>
      <c r="KL457"/>
      <c r="KM457"/>
      <c r="KN457"/>
      <c r="KO457"/>
      <c r="KP457"/>
      <c r="KQ457"/>
      <c r="KR457"/>
      <c r="KS457"/>
      <c r="KT457"/>
      <c r="KU457"/>
      <c r="KV457"/>
      <c r="KW457"/>
      <c r="KX457"/>
      <c r="KY457"/>
      <c r="KZ457"/>
      <c r="LA457"/>
      <c r="LB457"/>
      <c r="LC457"/>
      <c r="LD457"/>
      <c r="LE457"/>
      <c r="LF457"/>
      <c r="LG457"/>
      <c r="LH457"/>
      <c r="LI457"/>
      <c r="LJ457"/>
      <c r="LK457"/>
      <c r="LL457"/>
      <c r="LM457"/>
      <c r="LN457"/>
      <c r="LO457"/>
      <c r="LP457"/>
      <c r="LQ457"/>
      <c r="LR457"/>
      <c r="LS457"/>
      <c r="LT457"/>
      <c r="LU457"/>
      <c r="LV457"/>
      <c r="LW457"/>
      <c r="LX457"/>
      <c r="LY457"/>
    </row>
    <row r="458" spans="1:337" x14ac:dyDescent="0.35">
      <c r="A458" s="41" t="s">
        <v>31</v>
      </c>
      <c r="B458" s="41" t="s">
        <v>32</v>
      </c>
      <c r="C458" s="42">
        <v>46254</v>
      </c>
      <c r="D458" s="43">
        <v>0</v>
      </c>
      <c r="E458" s="43">
        <v>20</v>
      </c>
      <c r="F458" s="43">
        <v>20</v>
      </c>
      <c r="G458" s="43">
        <v>28</v>
      </c>
      <c r="H458" s="43">
        <v>40</v>
      </c>
      <c r="I458" s="43">
        <v>10</v>
      </c>
      <c r="J458" s="43">
        <v>21449</v>
      </c>
      <c r="K458" s="43">
        <f>SUM(L458:L460)</f>
        <v>6</v>
      </c>
      <c r="L458" s="43">
        <v>2</v>
      </c>
      <c r="M458" s="43"/>
      <c r="N458" s="43">
        <v>4</v>
      </c>
      <c r="O458" s="43">
        <v>3</v>
      </c>
      <c r="P458" s="43">
        <v>7</v>
      </c>
      <c r="Q458" s="43">
        <v>6</v>
      </c>
      <c r="R458" s="43">
        <v>9</v>
      </c>
      <c r="S458" s="43">
        <v>9</v>
      </c>
      <c r="T458" s="43">
        <v>20</v>
      </c>
      <c r="U458" s="43">
        <v>3</v>
      </c>
      <c r="V458" s="41" t="s">
        <v>33</v>
      </c>
      <c r="W458" s="41" t="s">
        <v>34</v>
      </c>
      <c r="X458" s="41">
        <v>1</v>
      </c>
      <c r="Y458" s="41">
        <v>3</v>
      </c>
      <c r="Z458" s="41">
        <v>322</v>
      </c>
      <c r="AA458" s="44">
        <v>34</v>
      </c>
      <c r="AB458" s="44">
        <v>34</v>
      </c>
      <c r="AC458" s="43">
        <v>45</v>
      </c>
      <c r="AD458" s="43">
        <v>30</v>
      </c>
      <c r="AE458" s="43">
        <v>45</v>
      </c>
    </row>
    <row r="459" spans="1:337" x14ac:dyDescent="0.35">
      <c r="A459" s="32" t="s">
        <v>31</v>
      </c>
      <c r="B459" s="32" t="s">
        <v>35</v>
      </c>
      <c r="C459" s="33">
        <v>46254</v>
      </c>
      <c r="D459" s="34">
        <v>13</v>
      </c>
      <c r="E459" s="34">
        <v>24</v>
      </c>
      <c r="F459" s="34">
        <v>25</v>
      </c>
      <c r="G459" s="141"/>
      <c r="H459" s="141"/>
      <c r="I459" s="141"/>
      <c r="J459" s="141"/>
      <c r="K459" s="141"/>
      <c r="L459" s="34">
        <v>2</v>
      </c>
      <c r="M459" s="34">
        <v>5</v>
      </c>
      <c r="N459" s="34">
        <v>4</v>
      </c>
      <c r="O459" s="34">
        <v>4</v>
      </c>
      <c r="P459" s="32">
        <v>7</v>
      </c>
      <c r="Q459" s="32">
        <v>7</v>
      </c>
      <c r="R459" s="32">
        <v>8</v>
      </c>
      <c r="S459" s="32">
        <v>6</v>
      </c>
      <c r="T459" s="143"/>
      <c r="U459" s="143"/>
      <c r="V459" s="32" t="s">
        <v>36</v>
      </c>
      <c r="W459" s="32" t="s">
        <v>37</v>
      </c>
      <c r="X459" s="32">
        <v>1</v>
      </c>
      <c r="Y459" s="143"/>
      <c r="Z459" s="143"/>
      <c r="AA459" s="145"/>
      <c r="AB459" s="145"/>
      <c r="AC459" s="141"/>
      <c r="AD459" s="141"/>
      <c r="AE459" s="141"/>
    </row>
    <row r="460" spans="1:337" ht="15" thickBot="1" x14ac:dyDescent="0.4">
      <c r="A460" s="45" t="s">
        <v>31</v>
      </c>
      <c r="B460" s="45" t="s">
        <v>38</v>
      </c>
      <c r="C460" s="46">
        <v>46254</v>
      </c>
      <c r="D460" s="47"/>
      <c r="E460" s="47"/>
      <c r="F460" s="47"/>
      <c r="G460" s="142"/>
      <c r="H460" s="142"/>
      <c r="I460" s="142"/>
      <c r="J460" s="142"/>
      <c r="K460" s="142"/>
      <c r="L460" s="47">
        <v>2</v>
      </c>
      <c r="M460" s="47"/>
      <c r="N460" s="47"/>
      <c r="O460" s="47"/>
      <c r="P460" s="47"/>
      <c r="Q460" s="47"/>
      <c r="R460" s="47"/>
      <c r="S460" s="47"/>
      <c r="T460" s="144"/>
      <c r="U460" s="144"/>
      <c r="V460" s="45"/>
      <c r="W460" s="45"/>
      <c r="X460" s="47"/>
      <c r="Y460" s="144"/>
      <c r="Z460" s="144"/>
      <c r="AA460" s="146"/>
      <c r="AB460" s="146"/>
      <c r="AC460" s="142"/>
      <c r="AD460" s="142"/>
      <c r="AE460" s="142"/>
    </row>
    <row r="461" spans="1:337" s="53" customFormat="1" ht="15" thickBot="1" x14ac:dyDescent="0.4">
      <c r="A461" s="49"/>
      <c r="B461" s="49"/>
      <c r="C461" s="50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49"/>
      <c r="U461" s="49"/>
      <c r="V461" s="49"/>
      <c r="W461" s="49"/>
      <c r="X461" s="51"/>
      <c r="Y461" s="49"/>
      <c r="Z461" s="49"/>
      <c r="AA461" s="52"/>
      <c r="AB461" s="52"/>
      <c r="AC461" s="51"/>
      <c r="AD461" s="51"/>
      <c r="AE461" s="5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/>
      <c r="KA461"/>
      <c r="KB461"/>
      <c r="KC461"/>
      <c r="KD461"/>
      <c r="KE461"/>
      <c r="KF461"/>
      <c r="KG461"/>
      <c r="KH461"/>
      <c r="KI461"/>
      <c r="KJ461"/>
      <c r="KK461"/>
      <c r="KL461"/>
      <c r="KM461"/>
      <c r="KN461"/>
      <c r="KO461"/>
      <c r="KP461"/>
      <c r="KQ461"/>
      <c r="KR461"/>
      <c r="KS461"/>
      <c r="KT461"/>
      <c r="KU461"/>
      <c r="KV461"/>
      <c r="KW461"/>
      <c r="KX461"/>
      <c r="KY461"/>
      <c r="KZ461"/>
      <c r="LA461"/>
      <c r="LB461"/>
      <c r="LC461"/>
      <c r="LD461"/>
      <c r="LE461"/>
      <c r="LF461"/>
      <c r="LG461"/>
      <c r="LH461"/>
      <c r="LI461"/>
      <c r="LJ461"/>
      <c r="LK461"/>
      <c r="LL461"/>
      <c r="LM461"/>
      <c r="LN461"/>
      <c r="LO461"/>
      <c r="LP461"/>
      <c r="LQ461"/>
      <c r="LR461"/>
      <c r="LS461"/>
      <c r="LT461"/>
      <c r="LU461"/>
      <c r="LV461"/>
      <c r="LW461"/>
      <c r="LX461"/>
      <c r="LY461"/>
    </row>
    <row r="462" spans="1:337" x14ac:dyDescent="0.35">
      <c r="A462" s="41" t="s">
        <v>31</v>
      </c>
      <c r="B462" s="41" t="s">
        <v>32</v>
      </c>
      <c r="C462" s="42">
        <v>46255</v>
      </c>
      <c r="D462" s="43">
        <v>0</v>
      </c>
      <c r="E462" s="43">
        <v>20</v>
      </c>
      <c r="F462" s="43">
        <v>20</v>
      </c>
      <c r="G462" s="43">
        <v>28</v>
      </c>
      <c r="H462" s="43">
        <v>40</v>
      </c>
      <c r="I462" s="43">
        <v>10</v>
      </c>
      <c r="J462" s="43">
        <v>21449</v>
      </c>
      <c r="K462" s="43">
        <f>SUM(L462:L464)</f>
        <v>6</v>
      </c>
      <c r="L462" s="43">
        <v>2</v>
      </c>
      <c r="M462" s="43"/>
      <c r="N462" s="43">
        <v>4</v>
      </c>
      <c r="O462" s="43">
        <v>3</v>
      </c>
      <c r="P462" s="43">
        <v>7</v>
      </c>
      <c r="Q462" s="43">
        <v>6</v>
      </c>
      <c r="R462" s="43">
        <v>9</v>
      </c>
      <c r="S462" s="43">
        <v>9</v>
      </c>
      <c r="T462" s="43">
        <v>25</v>
      </c>
      <c r="U462" s="43">
        <v>4</v>
      </c>
      <c r="V462" s="41" t="s">
        <v>33</v>
      </c>
      <c r="W462" s="41" t="s">
        <v>34</v>
      </c>
      <c r="X462" s="41">
        <v>1</v>
      </c>
      <c r="Y462" s="41">
        <v>3</v>
      </c>
      <c r="Z462" s="41">
        <v>322</v>
      </c>
      <c r="AA462" s="44">
        <v>34</v>
      </c>
      <c r="AB462" s="44">
        <v>34</v>
      </c>
      <c r="AC462" s="43">
        <v>45</v>
      </c>
      <c r="AD462" s="43">
        <v>30</v>
      </c>
      <c r="AE462" s="43">
        <v>45</v>
      </c>
    </row>
    <row r="463" spans="1:337" x14ac:dyDescent="0.35">
      <c r="A463" s="32" t="s">
        <v>31</v>
      </c>
      <c r="B463" s="32" t="s">
        <v>35</v>
      </c>
      <c r="C463" s="33">
        <v>46255</v>
      </c>
      <c r="D463" s="34">
        <v>13</v>
      </c>
      <c r="E463" s="34">
        <v>24</v>
      </c>
      <c r="F463" s="34">
        <v>25</v>
      </c>
      <c r="G463" s="141"/>
      <c r="H463" s="141"/>
      <c r="I463" s="141"/>
      <c r="J463" s="141"/>
      <c r="K463" s="141"/>
      <c r="L463" s="34">
        <v>2</v>
      </c>
      <c r="M463" s="34">
        <v>5</v>
      </c>
      <c r="N463" s="34">
        <v>4</v>
      </c>
      <c r="O463" s="34">
        <v>4</v>
      </c>
      <c r="P463" s="32">
        <v>7</v>
      </c>
      <c r="Q463" s="32">
        <v>7</v>
      </c>
      <c r="R463" s="32">
        <v>8</v>
      </c>
      <c r="S463" s="32">
        <v>6</v>
      </c>
      <c r="T463" s="143"/>
      <c r="U463" s="143"/>
      <c r="V463" s="32" t="s">
        <v>36</v>
      </c>
      <c r="W463" s="32" t="s">
        <v>37</v>
      </c>
      <c r="X463" s="32">
        <v>1</v>
      </c>
      <c r="Y463" s="143"/>
      <c r="Z463" s="143"/>
      <c r="AA463" s="145"/>
      <c r="AB463" s="145"/>
      <c r="AC463" s="141"/>
      <c r="AD463" s="141"/>
      <c r="AE463" s="141"/>
    </row>
    <row r="464" spans="1:337" ht="15" thickBot="1" x14ac:dyDescent="0.4">
      <c r="A464" s="45" t="s">
        <v>31</v>
      </c>
      <c r="B464" s="45" t="s">
        <v>38</v>
      </c>
      <c r="C464" s="46">
        <v>46255</v>
      </c>
      <c r="D464" s="47"/>
      <c r="E464" s="47"/>
      <c r="F464" s="47"/>
      <c r="G464" s="142"/>
      <c r="H464" s="142"/>
      <c r="I464" s="142"/>
      <c r="J464" s="142"/>
      <c r="K464" s="142"/>
      <c r="L464" s="47">
        <v>2</v>
      </c>
      <c r="M464" s="47"/>
      <c r="N464" s="47"/>
      <c r="O464" s="47"/>
      <c r="P464" s="47"/>
      <c r="Q464" s="47"/>
      <c r="R464" s="47"/>
      <c r="S464" s="47"/>
      <c r="T464" s="144"/>
      <c r="U464" s="144"/>
      <c r="V464" s="45"/>
      <c r="W464" s="45"/>
      <c r="X464" s="47"/>
      <c r="Y464" s="144"/>
      <c r="Z464" s="144"/>
      <c r="AA464" s="146"/>
      <c r="AB464" s="146"/>
      <c r="AC464" s="142"/>
      <c r="AD464" s="142"/>
      <c r="AE464" s="142"/>
    </row>
    <row r="465" spans="1:337" s="53" customFormat="1" ht="15" thickBot="1" x14ac:dyDescent="0.4">
      <c r="A465" s="49"/>
      <c r="B465" s="49"/>
      <c r="C465" s="50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49"/>
      <c r="U465" s="49"/>
      <c r="V465" s="49"/>
      <c r="W465" s="49"/>
      <c r="X465" s="51"/>
      <c r="Y465" s="49"/>
      <c r="Z465" s="49"/>
      <c r="AA465" s="52"/>
      <c r="AB465" s="52"/>
      <c r="AC465" s="51"/>
      <c r="AD465" s="51"/>
      <c r="AE465" s="51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/>
      <c r="FH465"/>
      <c r="FI465"/>
      <c r="FJ465"/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/>
      <c r="JT465"/>
      <c r="JU465"/>
      <c r="JV465"/>
      <c r="JW465"/>
      <c r="JX465"/>
      <c r="JY465"/>
      <c r="JZ465"/>
      <c r="KA465"/>
      <c r="KB465"/>
      <c r="KC465"/>
      <c r="KD465"/>
      <c r="KE465"/>
      <c r="KF465"/>
      <c r="KG465"/>
      <c r="KH465"/>
      <c r="KI465"/>
      <c r="KJ465"/>
      <c r="KK465"/>
      <c r="KL465"/>
      <c r="KM465"/>
      <c r="KN465"/>
      <c r="KO465"/>
      <c r="KP465"/>
      <c r="KQ465"/>
      <c r="KR465"/>
      <c r="KS465"/>
      <c r="KT465"/>
      <c r="KU465"/>
      <c r="KV465"/>
      <c r="KW465"/>
      <c r="KX465"/>
      <c r="KY465"/>
      <c r="KZ465"/>
      <c r="LA465"/>
      <c r="LB465"/>
      <c r="LC465"/>
      <c r="LD465"/>
      <c r="LE465"/>
      <c r="LF465"/>
      <c r="LG465"/>
      <c r="LH465"/>
      <c r="LI465"/>
      <c r="LJ465"/>
      <c r="LK465"/>
      <c r="LL465"/>
      <c r="LM465"/>
      <c r="LN465"/>
      <c r="LO465"/>
      <c r="LP465"/>
      <c r="LQ465"/>
      <c r="LR465"/>
      <c r="LS465"/>
      <c r="LT465"/>
      <c r="LU465"/>
      <c r="LV465"/>
      <c r="LW465"/>
      <c r="LX465"/>
      <c r="LY465"/>
    </row>
    <row r="466" spans="1:337" x14ac:dyDescent="0.35">
      <c r="A466" s="41" t="s">
        <v>31</v>
      </c>
      <c r="B466" s="41" t="s">
        <v>32</v>
      </c>
      <c r="C466" s="42">
        <v>46258</v>
      </c>
      <c r="D466" s="43">
        <v>0</v>
      </c>
      <c r="E466" s="43">
        <v>20</v>
      </c>
      <c r="F466" s="43">
        <v>20</v>
      </c>
      <c r="G466" s="43">
        <v>28</v>
      </c>
      <c r="H466" s="43">
        <v>40</v>
      </c>
      <c r="I466" s="43">
        <v>10</v>
      </c>
      <c r="J466" s="43">
        <v>21449</v>
      </c>
      <c r="K466" s="43">
        <f>SUM(L466:L468)</f>
        <v>6</v>
      </c>
      <c r="L466" s="43">
        <v>2</v>
      </c>
      <c r="M466" s="43"/>
      <c r="N466" s="43">
        <v>4</v>
      </c>
      <c r="O466" s="43">
        <v>3</v>
      </c>
      <c r="P466" s="43">
        <v>7</v>
      </c>
      <c r="Q466" s="43">
        <v>6</v>
      </c>
      <c r="R466" s="43">
        <v>9</v>
      </c>
      <c r="S466" s="43">
        <v>9</v>
      </c>
      <c r="T466" s="43">
        <v>25</v>
      </c>
      <c r="U466" s="43">
        <v>4</v>
      </c>
      <c r="V466" s="41" t="s">
        <v>33</v>
      </c>
      <c r="W466" s="41" t="s">
        <v>34</v>
      </c>
      <c r="X466" s="41">
        <v>1</v>
      </c>
      <c r="Y466" s="41">
        <v>3</v>
      </c>
      <c r="Z466" s="41">
        <v>322</v>
      </c>
      <c r="AA466" s="44">
        <v>34</v>
      </c>
      <c r="AB466" s="44">
        <v>34</v>
      </c>
      <c r="AC466" s="43">
        <v>45</v>
      </c>
      <c r="AD466" s="43">
        <v>30</v>
      </c>
      <c r="AE466" s="43">
        <v>45</v>
      </c>
    </row>
    <row r="467" spans="1:337" x14ac:dyDescent="0.35">
      <c r="A467" s="32" t="s">
        <v>31</v>
      </c>
      <c r="B467" s="32" t="s">
        <v>35</v>
      </c>
      <c r="C467" s="33">
        <v>46258</v>
      </c>
      <c r="D467" s="34">
        <v>13</v>
      </c>
      <c r="E467" s="34">
        <v>24</v>
      </c>
      <c r="F467" s="34">
        <v>25</v>
      </c>
      <c r="G467" s="141"/>
      <c r="H467" s="141"/>
      <c r="I467" s="141"/>
      <c r="J467" s="141"/>
      <c r="K467" s="141"/>
      <c r="L467" s="34">
        <v>2</v>
      </c>
      <c r="M467" s="34">
        <v>5</v>
      </c>
      <c r="N467" s="34">
        <v>4</v>
      </c>
      <c r="O467" s="34">
        <v>4</v>
      </c>
      <c r="P467" s="32">
        <v>7</v>
      </c>
      <c r="Q467" s="32">
        <v>7</v>
      </c>
      <c r="R467" s="32">
        <v>8</v>
      </c>
      <c r="S467" s="32">
        <v>6</v>
      </c>
      <c r="T467" s="143"/>
      <c r="U467" s="143"/>
      <c r="V467" s="32" t="s">
        <v>36</v>
      </c>
      <c r="W467" s="32" t="s">
        <v>37</v>
      </c>
      <c r="X467" s="32">
        <v>1</v>
      </c>
      <c r="Y467" s="143"/>
      <c r="Z467" s="143"/>
      <c r="AA467" s="145"/>
      <c r="AB467" s="145"/>
      <c r="AC467" s="141"/>
      <c r="AD467" s="141"/>
      <c r="AE467" s="141"/>
    </row>
    <row r="468" spans="1:337" ht="15" thickBot="1" x14ac:dyDescent="0.4">
      <c r="A468" s="45" t="s">
        <v>31</v>
      </c>
      <c r="B468" s="45" t="s">
        <v>38</v>
      </c>
      <c r="C468" s="46">
        <v>46258</v>
      </c>
      <c r="D468" s="47"/>
      <c r="E468" s="47"/>
      <c r="F468" s="47"/>
      <c r="G468" s="142"/>
      <c r="H468" s="142"/>
      <c r="I468" s="142"/>
      <c r="J468" s="142"/>
      <c r="K468" s="142"/>
      <c r="L468" s="47">
        <v>2</v>
      </c>
      <c r="M468" s="47"/>
      <c r="N468" s="47"/>
      <c r="O468" s="47"/>
      <c r="P468" s="47"/>
      <c r="Q468" s="47"/>
      <c r="R468" s="47"/>
      <c r="S468" s="47"/>
      <c r="T468" s="144"/>
      <c r="U468" s="144"/>
      <c r="V468" s="45"/>
      <c r="W468" s="45"/>
      <c r="X468" s="47"/>
      <c r="Y468" s="144"/>
      <c r="Z468" s="144"/>
      <c r="AA468" s="146"/>
      <c r="AB468" s="146"/>
      <c r="AC468" s="142"/>
      <c r="AD468" s="142"/>
      <c r="AE468" s="142"/>
    </row>
    <row r="469" spans="1:337" s="53" customFormat="1" ht="15" thickBot="1" x14ac:dyDescent="0.4">
      <c r="A469" s="49"/>
      <c r="B469" s="49"/>
      <c r="C469" s="50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49"/>
      <c r="U469" s="49"/>
      <c r="V469" s="49"/>
      <c r="W469" s="49"/>
      <c r="X469" s="51"/>
      <c r="Y469" s="49"/>
      <c r="Z469" s="49"/>
      <c r="AA469" s="52"/>
      <c r="AB469" s="52"/>
      <c r="AC469" s="51"/>
      <c r="AD469" s="51"/>
      <c r="AE469" s="51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  <c r="JX469"/>
      <c r="JY469"/>
      <c r="JZ469"/>
      <c r="KA469"/>
      <c r="KB469"/>
      <c r="KC469"/>
      <c r="KD469"/>
      <c r="KE469"/>
      <c r="KF469"/>
      <c r="KG469"/>
      <c r="KH469"/>
      <c r="KI469"/>
      <c r="KJ469"/>
      <c r="KK469"/>
      <c r="KL469"/>
      <c r="KM469"/>
      <c r="KN469"/>
      <c r="KO469"/>
      <c r="KP469"/>
      <c r="KQ469"/>
      <c r="KR469"/>
      <c r="KS469"/>
      <c r="KT469"/>
      <c r="KU469"/>
      <c r="KV469"/>
      <c r="KW469"/>
      <c r="KX469"/>
      <c r="KY469"/>
      <c r="KZ469"/>
      <c r="LA469"/>
      <c r="LB469"/>
      <c r="LC469"/>
      <c r="LD469"/>
      <c r="LE469"/>
      <c r="LF469"/>
      <c r="LG469"/>
      <c r="LH469"/>
      <c r="LI469"/>
      <c r="LJ469"/>
      <c r="LK469"/>
      <c r="LL469"/>
      <c r="LM469"/>
      <c r="LN469"/>
      <c r="LO469"/>
      <c r="LP469"/>
      <c r="LQ469"/>
      <c r="LR469"/>
      <c r="LS469"/>
      <c r="LT469"/>
      <c r="LU469"/>
      <c r="LV469"/>
      <c r="LW469"/>
      <c r="LX469"/>
      <c r="LY469"/>
    </row>
    <row r="470" spans="1:337" x14ac:dyDescent="0.35">
      <c r="A470" s="41" t="s">
        <v>31</v>
      </c>
      <c r="B470" s="41" t="s">
        <v>32</v>
      </c>
      <c r="C470" s="42">
        <v>46259</v>
      </c>
      <c r="D470" s="43">
        <v>0</v>
      </c>
      <c r="E470" s="43">
        <v>20</v>
      </c>
      <c r="F470" s="43">
        <v>20</v>
      </c>
      <c r="G470" s="43">
        <v>28</v>
      </c>
      <c r="H470" s="43">
        <v>40</v>
      </c>
      <c r="I470" s="43">
        <v>10</v>
      </c>
      <c r="J470" s="43">
        <v>21449</v>
      </c>
      <c r="K470" s="43">
        <f>SUM(L470:L472)</f>
        <v>6</v>
      </c>
      <c r="L470" s="43">
        <v>2</v>
      </c>
      <c r="M470" s="43"/>
      <c r="N470" s="43">
        <v>4</v>
      </c>
      <c r="O470" s="43">
        <v>3</v>
      </c>
      <c r="P470" s="43">
        <v>7</v>
      </c>
      <c r="Q470" s="43">
        <v>6</v>
      </c>
      <c r="R470" s="43">
        <v>9</v>
      </c>
      <c r="S470" s="43">
        <v>9</v>
      </c>
      <c r="T470" s="43">
        <v>25</v>
      </c>
      <c r="U470" s="43">
        <v>4</v>
      </c>
      <c r="V470" s="41" t="s">
        <v>33</v>
      </c>
      <c r="W470" s="41" t="s">
        <v>34</v>
      </c>
      <c r="X470" s="41">
        <v>1</v>
      </c>
      <c r="Y470" s="41">
        <v>3</v>
      </c>
      <c r="Z470" s="41">
        <v>322</v>
      </c>
      <c r="AA470" s="44">
        <v>34</v>
      </c>
      <c r="AB470" s="44">
        <v>34</v>
      </c>
      <c r="AC470" s="43">
        <v>45</v>
      </c>
      <c r="AD470" s="43">
        <v>30</v>
      </c>
      <c r="AE470" s="43">
        <v>45</v>
      </c>
    </row>
    <row r="471" spans="1:337" x14ac:dyDescent="0.35">
      <c r="A471" s="32" t="s">
        <v>31</v>
      </c>
      <c r="B471" s="32" t="s">
        <v>35</v>
      </c>
      <c r="C471" s="33">
        <v>46259</v>
      </c>
      <c r="D471" s="34">
        <v>13</v>
      </c>
      <c r="E471" s="34">
        <v>24</v>
      </c>
      <c r="F471" s="34">
        <v>25</v>
      </c>
      <c r="G471" s="141"/>
      <c r="H471" s="141"/>
      <c r="I471" s="141"/>
      <c r="J471" s="141"/>
      <c r="K471" s="141"/>
      <c r="L471" s="34">
        <v>2</v>
      </c>
      <c r="M471" s="34">
        <v>5</v>
      </c>
      <c r="N471" s="34">
        <v>4</v>
      </c>
      <c r="O471" s="34">
        <v>4</v>
      </c>
      <c r="P471" s="32">
        <v>7</v>
      </c>
      <c r="Q471" s="32">
        <v>7</v>
      </c>
      <c r="R471" s="32">
        <v>8</v>
      </c>
      <c r="S471" s="32">
        <v>6</v>
      </c>
      <c r="T471" s="143"/>
      <c r="U471" s="143"/>
      <c r="V471" s="32" t="s">
        <v>36</v>
      </c>
      <c r="W471" s="32" t="s">
        <v>37</v>
      </c>
      <c r="X471" s="32">
        <v>1</v>
      </c>
      <c r="Y471" s="143"/>
      <c r="Z471" s="143"/>
      <c r="AA471" s="145"/>
      <c r="AB471" s="145"/>
      <c r="AC471" s="141"/>
      <c r="AD471" s="141"/>
      <c r="AE471" s="141"/>
    </row>
    <row r="472" spans="1:337" ht="15" thickBot="1" x14ac:dyDescent="0.4">
      <c r="A472" s="45" t="s">
        <v>31</v>
      </c>
      <c r="B472" s="45" t="s">
        <v>38</v>
      </c>
      <c r="C472" s="46">
        <v>46259</v>
      </c>
      <c r="D472" s="47"/>
      <c r="E472" s="47"/>
      <c r="F472" s="47"/>
      <c r="G472" s="142"/>
      <c r="H472" s="142"/>
      <c r="I472" s="142"/>
      <c r="J472" s="142"/>
      <c r="K472" s="142"/>
      <c r="L472" s="47">
        <v>2</v>
      </c>
      <c r="M472" s="47"/>
      <c r="N472" s="47"/>
      <c r="O472" s="47"/>
      <c r="P472" s="47"/>
      <c r="Q472" s="47"/>
      <c r="R472" s="47"/>
      <c r="S472" s="47"/>
      <c r="T472" s="144"/>
      <c r="U472" s="144"/>
      <c r="V472" s="45"/>
      <c r="W472" s="45"/>
      <c r="X472" s="47"/>
      <c r="Y472" s="144"/>
      <c r="Z472" s="144"/>
      <c r="AA472" s="146"/>
      <c r="AB472" s="146"/>
      <c r="AC472" s="142"/>
      <c r="AD472" s="142"/>
      <c r="AE472" s="142"/>
    </row>
    <row r="473" spans="1:337" s="53" customFormat="1" ht="15" thickBot="1" x14ac:dyDescent="0.4">
      <c r="A473" s="49"/>
      <c r="B473" s="49"/>
      <c r="C473" s="50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49"/>
      <c r="U473" s="49"/>
      <c r="V473" s="49"/>
      <c r="W473" s="49"/>
      <c r="X473" s="51"/>
      <c r="Y473" s="49"/>
      <c r="Z473" s="49"/>
      <c r="AA473" s="52"/>
      <c r="AB473" s="52"/>
      <c r="AC473" s="51"/>
      <c r="AD473" s="51"/>
      <c r="AE473" s="51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/>
      <c r="FK473"/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/>
      <c r="JN473"/>
      <c r="JO473"/>
      <c r="JP473"/>
      <c r="JQ473"/>
      <c r="JR473"/>
      <c r="JS473"/>
      <c r="JT473"/>
      <c r="JU473"/>
      <c r="JV473"/>
      <c r="JW473"/>
      <c r="JX473"/>
      <c r="JY473"/>
      <c r="JZ473"/>
      <c r="KA473"/>
      <c r="KB473"/>
      <c r="KC473"/>
      <c r="KD473"/>
      <c r="KE473"/>
      <c r="KF473"/>
      <c r="KG473"/>
      <c r="KH473"/>
      <c r="KI473"/>
      <c r="KJ473"/>
      <c r="KK473"/>
      <c r="KL473"/>
      <c r="KM473"/>
      <c r="KN473"/>
      <c r="KO473"/>
      <c r="KP473"/>
      <c r="KQ473"/>
      <c r="KR473"/>
      <c r="KS473"/>
      <c r="KT473"/>
      <c r="KU473"/>
      <c r="KV473"/>
      <c r="KW473"/>
      <c r="KX473"/>
      <c r="KY473"/>
      <c r="KZ473"/>
      <c r="LA473"/>
      <c r="LB473"/>
      <c r="LC473"/>
      <c r="LD473"/>
      <c r="LE473"/>
      <c r="LF473"/>
      <c r="LG473"/>
      <c r="LH473"/>
      <c r="LI473"/>
      <c r="LJ473"/>
      <c r="LK473"/>
      <c r="LL473"/>
      <c r="LM473"/>
      <c r="LN473"/>
      <c r="LO473"/>
      <c r="LP473"/>
      <c r="LQ473"/>
      <c r="LR473"/>
      <c r="LS473"/>
      <c r="LT473"/>
      <c r="LU473"/>
      <c r="LV473"/>
      <c r="LW473"/>
      <c r="LX473"/>
      <c r="LY473"/>
    </row>
    <row r="474" spans="1:337" x14ac:dyDescent="0.35">
      <c r="A474" s="41" t="s">
        <v>31</v>
      </c>
      <c r="B474" s="41" t="s">
        <v>32</v>
      </c>
      <c r="C474" s="42">
        <v>46259</v>
      </c>
      <c r="D474" s="43">
        <v>0</v>
      </c>
      <c r="E474" s="43">
        <v>20</v>
      </c>
      <c r="F474" s="43">
        <v>20</v>
      </c>
      <c r="G474" s="43">
        <v>28</v>
      </c>
      <c r="H474" s="43">
        <v>40</v>
      </c>
      <c r="I474" s="43">
        <v>10</v>
      </c>
      <c r="J474" s="43">
        <v>21449</v>
      </c>
      <c r="K474" s="43">
        <f>SUM(L474:L476)</f>
        <v>6</v>
      </c>
      <c r="L474" s="43">
        <v>2</v>
      </c>
      <c r="M474" s="43"/>
      <c r="N474" s="43">
        <v>4</v>
      </c>
      <c r="O474" s="43">
        <v>3</v>
      </c>
      <c r="P474" s="43">
        <v>7</v>
      </c>
      <c r="Q474" s="43">
        <v>6</v>
      </c>
      <c r="R474" s="43">
        <v>9</v>
      </c>
      <c r="S474" s="43">
        <v>9</v>
      </c>
      <c r="T474" s="43">
        <v>25</v>
      </c>
      <c r="U474" s="43">
        <v>4</v>
      </c>
      <c r="V474" s="41" t="s">
        <v>33</v>
      </c>
      <c r="W474" s="41" t="s">
        <v>34</v>
      </c>
      <c r="X474" s="41">
        <v>1</v>
      </c>
      <c r="Y474" s="41">
        <v>3</v>
      </c>
      <c r="Z474" s="41">
        <v>322</v>
      </c>
      <c r="AA474" s="44">
        <v>34</v>
      </c>
      <c r="AB474" s="44">
        <v>34</v>
      </c>
      <c r="AC474" s="43">
        <v>45</v>
      </c>
      <c r="AD474" s="43">
        <v>30</v>
      </c>
      <c r="AE474" s="43">
        <v>45</v>
      </c>
    </row>
    <row r="475" spans="1:337" x14ac:dyDescent="0.35">
      <c r="A475" s="32" t="s">
        <v>31</v>
      </c>
      <c r="B475" s="32" t="s">
        <v>35</v>
      </c>
      <c r="C475" s="33">
        <v>46259</v>
      </c>
      <c r="D475" s="34">
        <v>13</v>
      </c>
      <c r="E475" s="34">
        <v>24</v>
      </c>
      <c r="F475" s="34">
        <v>25</v>
      </c>
      <c r="G475" s="141"/>
      <c r="H475" s="141"/>
      <c r="I475" s="141"/>
      <c r="J475" s="141"/>
      <c r="K475" s="141"/>
      <c r="L475" s="34">
        <v>2</v>
      </c>
      <c r="M475" s="34">
        <v>5</v>
      </c>
      <c r="N475" s="34">
        <v>4</v>
      </c>
      <c r="O475" s="34">
        <v>4</v>
      </c>
      <c r="P475" s="32">
        <v>7</v>
      </c>
      <c r="Q475" s="32">
        <v>7</v>
      </c>
      <c r="R475" s="32">
        <v>8</v>
      </c>
      <c r="S475" s="32">
        <v>6</v>
      </c>
      <c r="T475" s="143"/>
      <c r="U475" s="143"/>
      <c r="V475" s="32" t="s">
        <v>36</v>
      </c>
      <c r="W475" s="32" t="s">
        <v>37</v>
      </c>
      <c r="X475" s="32">
        <v>1</v>
      </c>
      <c r="Y475" s="143"/>
      <c r="Z475" s="143"/>
      <c r="AA475" s="145"/>
      <c r="AB475" s="145"/>
      <c r="AC475" s="141"/>
      <c r="AD475" s="141"/>
      <c r="AE475" s="141"/>
    </row>
    <row r="476" spans="1:337" ht="15" thickBot="1" x14ac:dyDescent="0.4">
      <c r="A476" s="45" t="s">
        <v>31</v>
      </c>
      <c r="B476" s="45" t="s">
        <v>38</v>
      </c>
      <c r="C476" s="46">
        <v>46259</v>
      </c>
      <c r="D476" s="47"/>
      <c r="E476" s="47"/>
      <c r="F476" s="47"/>
      <c r="G476" s="142"/>
      <c r="H476" s="142"/>
      <c r="I476" s="142"/>
      <c r="J476" s="142"/>
      <c r="K476" s="142"/>
      <c r="L476" s="47">
        <v>2</v>
      </c>
      <c r="M476" s="47"/>
      <c r="N476" s="47"/>
      <c r="O476" s="47"/>
      <c r="P476" s="47"/>
      <c r="Q476" s="47"/>
      <c r="R476" s="47"/>
      <c r="S476" s="47"/>
      <c r="T476" s="144"/>
      <c r="U476" s="144"/>
      <c r="V476" s="45"/>
      <c r="W476" s="45"/>
      <c r="X476" s="47"/>
      <c r="Y476" s="144"/>
      <c r="Z476" s="144"/>
      <c r="AA476" s="146"/>
      <c r="AB476" s="146"/>
      <c r="AC476" s="142"/>
      <c r="AD476" s="142"/>
      <c r="AE476" s="142"/>
    </row>
    <row r="477" spans="1:337" s="53" customFormat="1" ht="15" thickBot="1" x14ac:dyDescent="0.4">
      <c r="A477" s="49"/>
      <c r="B477" s="49"/>
      <c r="C477" s="50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49"/>
      <c r="U477" s="49"/>
      <c r="V477" s="49"/>
      <c r="W477" s="49"/>
      <c r="X477" s="51"/>
      <c r="Y477" s="49"/>
      <c r="Z477" s="49"/>
      <c r="AA477" s="52"/>
      <c r="AB477" s="52"/>
      <c r="AC477" s="51"/>
      <c r="AD477" s="51"/>
      <c r="AE477" s="51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/>
      <c r="FK477"/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/>
      <c r="JP477"/>
      <c r="JQ477"/>
      <c r="JR477"/>
      <c r="JS477"/>
      <c r="JT477"/>
      <c r="JU477"/>
      <c r="JV477"/>
      <c r="JW477"/>
      <c r="JX477"/>
      <c r="JY477"/>
      <c r="JZ477"/>
      <c r="KA477"/>
      <c r="KB477"/>
      <c r="KC477"/>
      <c r="KD477"/>
      <c r="KE477"/>
      <c r="KF477"/>
      <c r="KG477"/>
      <c r="KH477"/>
      <c r="KI477"/>
      <c r="KJ477"/>
      <c r="KK477"/>
      <c r="KL477"/>
      <c r="KM477"/>
      <c r="KN477"/>
      <c r="KO477"/>
      <c r="KP477"/>
      <c r="KQ477"/>
      <c r="KR477"/>
      <c r="KS477"/>
      <c r="KT477"/>
      <c r="KU477"/>
      <c r="KV477"/>
      <c r="KW477"/>
      <c r="KX477"/>
      <c r="KY477"/>
      <c r="KZ477"/>
      <c r="LA477"/>
      <c r="LB477"/>
      <c r="LC477"/>
      <c r="LD477"/>
      <c r="LE477"/>
      <c r="LF477"/>
      <c r="LG477"/>
      <c r="LH477"/>
      <c r="LI477"/>
      <c r="LJ477"/>
      <c r="LK477"/>
      <c r="LL477"/>
      <c r="LM477"/>
      <c r="LN477"/>
      <c r="LO477"/>
      <c r="LP477"/>
      <c r="LQ477"/>
      <c r="LR477"/>
      <c r="LS477"/>
      <c r="LT477"/>
      <c r="LU477"/>
      <c r="LV477"/>
      <c r="LW477"/>
      <c r="LX477"/>
      <c r="LY477"/>
    </row>
    <row r="478" spans="1:337" x14ac:dyDescent="0.35">
      <c r="A478" s="41" t="s">
        <v>31</v>
      </c>
      <c r="B478" s="41" t="s">
        <v>32</v>
      </c>
      <c r="C478" s="42">
        <v>46260</v>
      </c>
      <c r="D478" s="43">
        <v>0</v>
      </c>
      <c r="E478" s="43">
        <v>20</v>
      </c>
      <c r="F478" s="43">
        <v>20</v>
      </c>
      <c r="G478" s="43">
        <v>28</v>
      </c>
      <c r="H478" s="43">
        <v>40</v>
      </c>
      <c r="I478" s="43">
        <v>10</v>
      </c>
      <c r="J478" s="43">
        <v>21449</v>
      </c>
      <c r="K478" s="43">
        <f>SUM(L478:L480)</f>
        <v>6</v>
      </c>
      <c r="L478" s="43">
        <v>2</v>
      </c>
      <c r="M478" s="43"/>
      <c r="N478" s="43">
        <v>4</v>
      </c>
      <c r="O478" s="43">
        <v>3</v>
      </c>
      <c r="P478" s="43">
        <v>7</v>
      </c>
      <c r="Q478" s="43">
        <v>6</v>
      </c>
      <c r="R478" s="43">
        <v>9</v>
      </c>
      <c r="S478" s="43">
        <v>9</v>
      </c>
      <c r="T478" s="43">
        <v>25</v>
      </c>
      <c r="U478" s="43">
        <v>4</v>
      </c>
      <c r="V478" s="41" t="s">
        <v>33</v>
      </c>
      <c r="W478" s="41" t="s">
        <v>34</v>
      </c>
      <c r="X478" s="41">
        <v>1</v>
      </c>
      <c r="Y478" s="41">
        <v>3</v>
      </c>
      <c r="Z478" s="41">
        <v>322</v>
      </c>
      <c r="AA478" s="44">
        <v>34</v>
      </c>
      <c r="AB478" s="44">
        <v>34</v>
      </c>
      <c r="AC478" s="43">
        <v>45</v>
      </c>
      <c r="AD478" s="43">
        <v>30</v>
      </c>
      <c r="AE478" s="43">
        <v>45</v>
      </c>
    </row>
    <row r="479" spans="1:337" x14ac:dyDescent="0.35">
      <c r="A479" s="32" t="s">
        <v>31</v>
      </c>
      <c r="B479" s="32" t="s">
        <v>35</v>
      </c>
      <c r="C479" s="33">
        <v>46260</v>
      </c>
      <c r="D479" s="34">
        <v>13</v>
      </c>
      <c r="E479" s="34">
        <v>24</v>
      </c>
      <c r="F479" s="34">
        <v>25</v>
      </c>
      <c r="G479" s="141"/>
      <c r="H479" s="141"/>
      <c r="I479" s="141"/>
      <c r="J479" s="141"/>
      <c r="K479" s="141"/>
      <c r="L479" s="34">
        <v>2</v>
      </c>
      <c r="M479" s="34">
        <v>5</v>
      </c>
      <c r="N479" s="34">
        <v>4</v>
      </c>
      <c r="O479" s="34">
        <v>4</v>
      </c>
      <c r="P479" s="32">
        <v>7</v>
      </c>
      <c r="Q479" s="32">
        <v>7</v>
      </c>
      <c r="R479" s="32">
        <v>8</v>
      </c>
      <c r="S479" s="32">
        <v>6</v>
      </c>
      <c r="T479" s="143"/>
      <c r="U479" s="143"/>
      <c r="V479" s="32" t="s">
        <v>36</v>
      </c>
      <c r="W479" s="32" t="s">
        <v>37</v>
      </c>
      <c r="X479" s="32">
        <v>1</v>
      </c>
      <c r="Y479" s="143"/>
      <c r="Z479" s="143"/>
      <c r="AA479" s="145"/>
      <c r="AB479" s="145"/>
      <c r="AC479" s="141"/>
      <c r="AD479" s="141"/>
      <c r="AE479" s="141"/>
    </row>
    <row r="480" spans="1:337" ht="15" thickBot="1" x14ac:dyDescent="0.4">
      <c r="A480" s="45" t="s">
        <v>31</v>
      </c>
      <c r="B480" s="45" t="s">
        <v>38</v>
      </c>
      <c r="C480" s="46">
        <v>46260</v>
      </c>
      <c r="D480" s="47"/>
      <c r="E480" s="47"/>
      <c r="F480" s="47"/>
      <c r="G480" s="142"/>
      <c r="H480" s="142"/>
      <c r="I480" s="142"/>
      <c r="J480" s="142"/>
      <c r="K480" s="142"/>
      <c r="L480" s="47">
        <v>2</v>
      </c>
      <c r="M480" s="47"/>
      <c r="N480" s="47"/>
      <c r="O480" s="47"/>
      <c r="P480" s="47"/>
      <c r="Q480" s="47"/>
      <c r="R480" s="47"/>
      <c r="S480" s="47"/>
      <c r="T480" s="144"/>
      <c r="U480" s="144"/>
      <c r="V480" s="45"/>
      <c r="W480" s="45"/>
      <c r="X480" s="47"/>
      <c r="Y480" s="144"/>
      <c r="Z480" s="144"/>
      <c r="AA480" s="146"/>
      <c r="AB480" s="146"/>
      <c r="AC480" s="142"/>
      <c r="AD480" s="142"/>
      <c r="AE480" s="142"/>
    </row>
    <row r="481" spans="1:337" s="53" customFormat="1" ht="15" thickBot="1" x14ac:dyDescent="0.4">
      <c r="A481" s="49"/>
      <c r="B481" s="49"/>
      <c r="C481" s="50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49"/>
      <c r="U481" s="49"/>
      <c r="V481" s="49"/>
      <c r="W481" s="49"/>
      <c r="X481" s="51"/>
      <c r="Y481" s="49"/>
      <c r="Z481" s="49"/>
      <c r="AA481" s="52"/>
      <c r="AB481" s="52"/>
      <c r="AC481" s="51"/>
      <c r="AD481" s="51"/>
      <c r="AE481" s="5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/>
      <c r="JV481"/>
      <c r="JW481"/>
      <c r="JX481"/>
      <c r="JY481"/>
      <c r="JZ481"/>
      <c r="KA481"/>
      <c r="KB481"/>
      <c r="KC481"/>
      <c r="KD481"/>
      <c r="KE481"/>
      <c r="KF481"/>
      <c r="KG481"/>
      <c r="KH481"/>
      <c r="KI481"/>
      <c r="KJ481"/>
      <c r="KK481"/>
      <c r="KL481"/>
      <c r="KM481"/>
      <c r="KN481"/>
      <c r="KO481"/>
      <c r="KP481"/>
      <c r="KQ481"/>
      <c r="KR481"/>
      <c r="KS481"/>
      <c r="KT481"/>
      <c r="KU481"/>
      <c r="KV481"/>
      <c r="KW481"/>
      <c r="KX481"/>
      <c r="KY481"/>
      <c r="KZ481"/>
      <c r="LA481"/>
      <c r="LB481"/>
      <c r="LC481"/>
      <c r="LD481"/>
      <c r="LE481"/>
      <c r="LF481"/>
      <c r="LG481"/>
      <c r="LH481"/>
      <c r="LI481"/>
      <c r="LJ481"/>
      <c r="LK481"/>
      <c r="LL481"/>
      <c r="LM481"/>
      <c r="LN481"/>
      <c r="LO481"/>
      <c r="LP481"/>
      <c r="LQ481"/>
      <c r="LR481"/>
      <c r="LS481"/>
      <c r="LT481"/>
      <c r="LU481"/>
      <c r="LV481"/>
      <c r="LW481"/>
      <c r="LX481"/>
      <c r="LY481"/>
    </row>
    <row r="482" spans="1:337" x14ac:dyDescent="0.35">
      <c r="A482" s="41" t="s">
        <v>31</v>
      </c>
      <c r="B482" s="41" t="s">
        <v>32</v>
      </c>
      <c r="C482" s="42">
        <v>46261</v>
      </c>
      <c r="D482" s="43">
        <v>0</v>
      </c>
      <c r="E482" s="43">
        <v>20</v>
      </c>
      <c r="F482" s="43">
        <v>20</v>
      </c>
      <c r="G482" s="43">
        <v>28</v>
      </c>
      <c r="H482" s="43">
        <v>40</v>
      </c>
      <c r="I482" s="43">
        <v>10</v>
      </c>
      <c r="J482" s="43">
        <v>21449</v>
      </c>
      <c r="K482" s="43">
        <f>SUM(L482:L484)</f>
        <v>6</v>
      </c>
      <c r="L482" s="43">
        <v>2</v>
      </c>
      <c r="M482" s="43"/>
      <c r="N482" s="43">
        <v>4</v>
      </c>
      <c r="O482" s="43">
        <v>3</v>
      </c>
      <c r="P482" s="43">
        <v>7</v>
      </c>
      <c r="Q482" s="43">
        <v>6</v>
      </c>
      <c r="R482" s="43">
        <v>9</v>
      </c>
      <c r="S482" s="43">
        <v>9</v>
      </c>
      <c r="T482" s="43">
        <v>20</v>
      </c>
      <c r="U482" s="43">
        <v>3</v>
      </c>
      <c r="V482" s="41" t="s">
        <v>33</v>
      </c>
      <c r="W482" s="41" t="s">
        <v>34</v>
      </c>
      <c r="X482" s="41">
        <v>1</v>
      </c>
      <c r="Y482" s="41">
        <v>3</v>
      </c>
      <c r="Z482" s="41">
        <v>322</v>
      </c>
      <c r="AA482" s="44">
        <v>34</v>
      </c>
      <c r="AB482" s="44">
        <v>34</v>
      </c>
      <c r="AC482" s="43">
        <v>45</v>
      </c>
      <c r="AD482" s="43">
        <v>30</v>
      </c>
      <c r="AE482" s="43">
        <v>45</v>
      </c>
    </row>
    <row r="483" spans="1:337" x14ac:dyDescent="0.35">
      <c r="A483" s="32" t="s">
        <v>31</v>
      </c>
      <c r="B483" s="32" t="s">
        <v>35</v>
      </c>
      <c r="C483" s="33">
        <v>46261</v>
      </c>
      <c r="D483" s="34">
        <v>13</v>
      </c>
      <c r="E483" s="34">
        <v>24</v>
      </c>
      <c r="F483" s="34">
        <v>25</v>
      </c>
      <c r="G483" s="141"/>
      <c r="H483" s="141"/>
      <c r="I483" s="141"/>
      <c r="J483" s="141"/>
      <c r="K483" s="141"/>
      <c r="L483" s="34">
        <v>2</v>
      </c>
      <c r="M483" s="34">
        <v>5</v>
      </c>
      <c r="N483" s="34">
        <v>4</v>
      </c>
      <c r="O483" s="34">
        <v>4</v>
      </c>
      <c r="P483" s="32">
        <v>7</v>
      </c>
      <c r="Q483" s="32">
        <v>7</v>
      </c>
      <c r="R483" s="32">
        <v>8</v>
      </c>
      <c r="S483" s="32">
        <v>6</v>
      </c>
      <c r="T483" s="143"/>
      <c r="U483" s="143"/>
      <c r="V483" s="32" t="s">
        <v>36</v>
      </c>
      <c r="W483" s="32" t="s">
        <v>37</v>
      </c>
      <c r="X483" s="32">
        <v>1</v>
      </c>
      <c r="Y483" s="143"/>
      <c r="Z483" s="143"/>
      <c r="AA483" s="145"/>
      <c r="AB483" s="145"/>
      <c r="AC483" s="141"/>
      <c r="AD483" s="141"/>
      <c r="AE483" s="141"/>
    </row>
    <row r="484" spans="1:337" ht="15" thickBot="1" x14ac:dyDescent="0.4">
      <c r="A484" s="45" t="s">
        <v>31</v>
      </c>
      <c r="B484" s="45" t="s">
        <v>38</v>
      </c>
      <c r="C484" s="46">
        <v>46261</v>
      </c>
      <c r="D484" s="47"/>
      <c r="E484" s="47"/>
      <c r="F484" s="47"/>
      <c r="G484" s="142"/>
      <c r="H484" s="142"/>
      <c r="I484" s="142"/>
      <c r="J484" s="142"/>
      <c r="K484" s="142"/>
      <c r="L484" s="47">
        <v>2</v>
      </c>
      <c r="M484" s="47"/>
      <c r="N484" s="47"/>
      <c r="O484" s="47"/>
      <c r="P484" s="47"/>
      <c r="Q484" s="47"/>
      <c r="R484" s="47"/>
      <c r="S484" s="47"/>
      <c r="T484" s="144"/>
      <c r="U484" s="144"/>
      <c r="V484" s="45"/>
      <c r="W484" s="45"/>
      <c r="X484" s="47"/>
      <c r="Y484" s="144"/>
      <c r="Z484" s="144"/>
      <c r="AA484" s="146"/>
      <c r="AB484" s="146"/>
      <c r="AC484" s="142"/>
      <c r="AD484" s="142"/>
      <c r="AE484" s="142"/>
    </row>
    <row r="485" spans="1:337" s="53" customFormat="1" ht="15" thickBot="1" x14ac:dyDescent="0.4">
      <c r="A485" s="49"/>
      <c r="B485" s="49"/>
      <c r="C485" s="50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49"/>
      <c r="U485" s="49"/>
      <c r="V485" s="49"/>
      <c r="W485" s="49"/>
      <c r="X485" s="51"/>
      <c r="Y485" s="49"/>
      <c r="Z485" s="49"/>
      <c r="AA485" s="52"/>
      <c r="AB485" s="52"/>
      <c r="AC485" s="51"/>
      <c r="AD485" s="51"/>
      <c r="AE485" s="51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/>
      <c r="FK485"/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/>
      <c r="JT485"/>
      <c r="JU485"/>
      <c r="JV485"/>
      <c r="JW485"/>
      <c r="JX485"/>
      <c r="JY485"/>
      <c r="JZ485"/>
      <c r="KA485"/>
      <c r="KB485"/>
      <c r="KC485"/>
      <c r="KD485"/>
      <c r="KE485"/>
      <c r="KF485"/>
      <c r="KG485"/>
      <c r="KH485"/>
      <c r="KI485"/>
      <c r="KJ485"/>
      <c r="KK485"/>
      <c r="KL485"/>
      <c r="KM485"/>
      <c r="KN485"/>
      <c r="KO485"/>
      <c r="KP485"/>
      <c r="KQ485"/>
      <c r="KR485"/>
      <c r="KS485"/>
      <c r="KT485"/>
      <c r="KU485"/>
      <c r="KV485"/>
      <c r="KW485"/>
      <c r="KX485"/>
      <c r="KY485"/>
      <c r="KZ485"/>
      <c r="LA485"/>
      <c r="LB485"/>
      <c r="LC485"/>
      <c r="LD485"/>
      <c r="LE485"/>
      <c r="LF485"/>
      <c r="LG485"/>
      <c r="LH485"/>
      <c r="LI485"/>
      <c r="LJ485"/>
      <c r="LK485"/>
      <c r="LL485"/>
      <c r="LM485"/>
      <c r="LN485"/>
      <c r="LO485"/>
      <c r="LP485"/>
      <c r="LQ485"/>
      <c r="LR485"/>
      <c r="LS485"/>
      <c r="LT485"/>
      <c r="LU485"/>
      <c r="LV485"/>
      <c r="LW485"/>
      <c r="LX485"/>
      <c r="LY485"/>
    </row>
    <row r="486" spans="1:337" x14ac:dyDescent="0.35">
      <c r="A486" s="41" t="s">
        <v>31</v>
      </c>
      <c r="B486" s="41" t="s">
        <v>32</v>
      </c>
      <c r="C486" s="42">
        <v>46262</v>
      </c>
      <c r="D486" s="43">
        <v>0</v>
      </c>
      <c r="E486" s="43">
        <v>20</v>
      </c>
      <c r="F486" s="43">
        <v>20</v>
      </c>
      <c r="G486" s="43">
        <v>28</v>
      </c>
      <c r="H486" s="43">
        <v>40</v>
      </c>
      <c r="I486" s="43">
        <v>10</v>
      </c>
      <c r="J486" s="43">
        <v>21449</v>
      </c>
      <c r="K486" s="43">
        <f>SUM(L486:L488)</f>
        <v>6</v>
      </c>
      <c r="L486" s="43">
        <v>2</v>
      </c>
      <c r="M486" s="43"/>
      <c r="N486" s="43">
        <v>4</v>
      </c>
      <c r="O486" s="43">
        <v>3</v>
      </c>
      <c r="P486" s="43">
        <v>7</v>
      </c>
      <c r="Q486" s="43">
        <v>6</v>
      </c>
      <c r="R486" s="43">
        <v>9</v>
      </c>
      <c r="S486" s="43">
        <v>9</v>
      </c>
      <c r="T486" s="43">
        <v>25</v>
      </c>
      <c r="U486" s="43">
        <v>4</v>
      </c>
      <c r="V486" s="41" t="s">
        <v>33</v>
      </c>
      <c r="W486" s="41" t="s">
        <v>34</v>
      </c>
      <c r="X486" s="41">
        <v>1</v>
      </c>
      <c r="Y486" s="41">
        <v>3</v>
      </c>
      <c r="Z486" s="41">
        <v>322</v>
      </c>
      <c r="AA486" s="44">
        <v>34</v>
      </c>
      <c r="AB486" s="44">
        <v>34</v>
      </c>
      <c r="AC486" s="43">
        <v>45</v>
      </c>
      <c r="AD486" s="43">
        <v>30</v>
      </c>
      <c r="AE486" s="43">
        <v>45</v>
      </c>
    </row>
    <row r="487" spans="1:337" x14ac:dyDescent="0.35">
      <c r="A487" s="32" t="s">
        <v>31</v>
      </c>
      <c r="B487" s="32" t="s">
        <v>35</v>
      </c>
      <c r="C487" s="33">
        <v>46262</v>
      </c>
      <c r="D487" s="34">
        <v>13</v>
      </c>
      <c r="E487" s="34">
        <v>24</v>
      </c>
      <c r="F487" s="34">
        <v>25</v>
      </c>
      <c r="G487" s="141"/>
      <c r="H487" s="141"/>
      <c r="I487" s="141"/>
      <c r="J487" s="141"/>
      <c r="K487" s="141"/>
      <c r="L487" s="34">
        <v>2</v>
      </c>
      <c r="M487" s="34">
        <v>5</v>
      </c>
      <c r="N487" s="34">
        <v>4</v>
      </c>
      <c r="O487" s="34">
        <v>4</v>
      </c>
      <c r="P487" s="32">
        <v>7</v>
      </c>
      <c r="Q487" s="32">
        <v>7</v>
      </c>
      <c r="R487" s="32">
        <v>8</v>
      </c>
      <c r="S487" s="32">
        <v>6</v>
      </c>
      <c r="T487" s="143"/>
      <c r="U487" s="143"/>
      <c r="V487" s="32" t="s">
        <v>36</v>
      </c>
      <c r="W487" s="32" t="s">
        <v>37</v>
      </c>
      <c r="X487" s="32">
        <v>1</v>
      </c>
      <c r="Y487" s="143"/>
      <c r="Z487" s="143"/>
      <c r="AA487" s="145"/>
      <c r="AB487" s="145"/>
      <c r="AC487" s="141"/>
      <c r="AD487" s="141"/>
      <c r="AE487" s="141"/>
    </row>
    <row r="488" spans="1:337" ht="15" thickBot="1" x14ac:dyDescent="0.4">
      <c r="A488" s="45" t="s">
        <v>31</v>
      </c>
      <c r="B488" s="45" t="s">
        <v>38</v>
      </c>
      <c r="C488" s="46">
        <v>46262</v>
      </c>
      <c r="D488" s="47"/>
      <c r="E488" s="47"/>
      <c r="F488" s="47"/>
      <c r="G488" s="142"/>
      <c r="H488" s="142"/>
      <c r="I488" s="142"/>
      <c r="J488" s="142"/>
      <c r="K488" s="142"/>
      <c r="L488" s="47">
        <v>2</v>
      </c>
      <c r="M488" s="47"/>
      <c r="N488" s="47"/>
      <c r="O488" s="47"/>
      <c r="P488" s="47"/>
      <c r="Q488" s="47"/>
      <c r="R488" s="47"/>
      <c r="S488" s="47"/>
      <c r="T488" s="144"/>
      <c r="U488" s="144"/>
      <c r="V488" s="45"/>
      <c r="W488" s="45"/>
      <c r="X488" s="47"/>
      <c r="Y488" s="144"/>
      <c r="Z488" s="144"/>
      <c r="AA488" s="146"/>
      <c r="AB488" s="146"/>
      <c r="AC488" s="142"/>
      <c r="AD488" s="142"/>
      <c r="AE488" s="142"/>
    </row>
    <row r="489" spans="1:337" s="53" customFormat="1" ht="15" thickBot="1" x14ac:dyDescent="0.4">
      <c r="A489" s="49"/>
      <c r="B489" s="49"/>
      <c r="C489" s="50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49"/>
      <c r="U489" s="49"/>
      <c r="V489" s="49"/>
      <c r="W489" s="49"/>
      <c r="X489" s="51"/>
      <c r="Y489" s="49"/>
      <c r="Z489" s="49"/>
      <c r="AA489" s="52"/>
      <c r="AB489" s="52"/>
      <c r="AC489" s="51"/>
      <c r="AD489" s="51"/>
      <c r="AE489" s="51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/>
      <c r="FG489"/>
      <c r="FH489"/>
      <c r="FI489"/>
      <c r="FJ489"/>
      <c r="FK489"/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/>
      <c r="JN489"/>
      <c r="JO489"/>
      <c r="JP489"/>
      <c r="JQ489"/>
      <c r="JR489"/>
      <c r="JS489"/>
      <c r="JT489"/>
      <c r="JU489"/>
      <c r="JV489"/>
      <c r="JW489"/>
      <c r="JX489"/>
      <c r="JY489"/>
      <c r="JZ489"/>
      <c r="KA489"/>
      <c r="KB489"/>
      <c r="KC489"/>
      <c r="KD489"/>
      <c r="KE489"/>
      <c r="KF489"/>
      <c r="KG489"/>
      <c r="KH489"/>
      <c r="KI489"/>
      <c r="KJ489"/>
      <c r="KK489"/>
      <c r="KL489"/>
      <c r="KM489"/>
      <c r="KN489"/>
      <c r="KO489"/>
      <c r="KP489"/>
      <c r="KQ489"/>
      <c r="KR489"/>
      <c r="KS489"/>
      <c r="KT489"/>
      <c r="KU489"/>
      <c r="KV489"/>
      <c r="KW489"/>
      <c r="KX489"/>
      <c r="KY489"/>
      <c r="KZ489"/>
      <c r="LA489"/>
      <c r="LB489"/>
      <c r="LC489"/>
      <c r="LD489"/>
      <c r="LE489"/>
      <c r="LF489"/>
      <c r="LG489"/>
      <c r="LH489"/>
      <c r="LI489"/>
      <c r="LJ489"/>
      <c r="LK489"/>
      <c r="LL489"/>
      <c r="LM489"/>
      <c r="LN489"/>
      <c r="LO489"/>
      <c r="LP489"/>
      <c r="LQ489"/>
      <c r="LR489"/>
      <c r="LS489"/>
      <c r="LT489"/>
      <c r="LU489"/>
      <c r="LV489"/>
      <c r="LW489"/>
      <c r="LX489"/>
      <c r="LY489"/>
    </row>
    <row r="490" spans="1:337" x14ac:dyDescent="0.35">
      <c r="A490" s="41" t="s">
        <v>31</v>
      </c>
      <c r="B490" s="41" t="s">
        <v>32</v>
      </c>
      <c r="C490" s="42">
        <v>46265</v>
      </c>
      <c r="D490" s="43">
        <v>0</v>
      </c>
      <c r="E490" s="43">
        <v>20</v>
      </c>
      <c r="F490" s="43">
        <v>20</v>
      </c>
      <c r="G490" s="43">
        <v>28</v>
      </c>
      <c r="H490" s="43">
        <v>40</v>
      </c>
      <c r="I490" s="43">
        <v>10</v>
      </c>
      <c r="J490" s="43">
        <v>21449</v>
      </c>
      <c r="K490" s="43">
        <f>SUM(L490:L492)</f>
        <v>6</v>
      </c>
      <c r="L490" s="43">
        <v>2</v>
      </c>
      <c r="M490" s="43"/>
      <c r="N490" s="43">
        <v>4</v>
      </c>
      <c r="O490" s="43">
        <v>3</v>
      </c>
      <c r="P490" s="43">
        <v>7</v>
      </c>
      <c r="Q490" s="43">
        <v>6</v>
      </c>
      <c r="R490" s="43">
        <v>9</v>
      </c>
      <c r="S490" s="43">
        <v>9</v>
      </c>
      <c r="T490" s="43">
        <v>25</v>
      </c>
      <c r="U490" s="43">
        <v>4</v>
      </c>
      <c r="V490" s="41" t="s">
        <v>33</v>
      </c>
      <c r="W490" s="41" t="s">
        <v>34</v>
      </c>
      <c r="X490" s="41">
        <v>1</v>
      </c>
      <c r="Y490" s="41">
        <v>3</v>
      </c>
      <c r="Z490" s="41">
        <v>322</v>
      </c>
      <c r="AA490" s="44">
        <v>34</v>
      </c>
      <c r="AB490" s="44">
        <v>34</v>
      </c>
      <c r="AC490" s="43">
        <v>45</v>
      </c>
      <c r="AD490" s="43">
        <v>30</v>
      </c>
      <c r="AE490" s="43">
        <v>45</v>
      </c>
    </row>
    <row r="491" spans="1:337" x14ac:dyDescent="0.35">
      <c r="A491" s="32" t="s">
        <v>31</v>
      </c>
      <c r="B491" s="32" t="s">
        <v>35</v>
      </c>
      <c r="C491" s="33">
        <v>46265</v>
      </c>
      <c r="D491" s="34">
        <v>13</v>
      </c>
      <c r="E491" s="34">
        <v>24</v>
      </c>
      <c r="F491" s="34">
        <v>25</v>
      </c>
      <c r="G491" s="141"/>
      <c r="H491" s="141"/>
      <c r="I491" s="141"/>
      <c r="J491" s="141"/>
      <c r="K491" s="141"/>
      <c r="L491" s="34">
        <v>2</v>
      </c>
      <c r="M491" s="34">
        <v>5</v>
      </c>
      <c r="N491" s="34">
        <v>4</v>
      </c>
      <c r="O491" s="34">
        <v>4</v>
      </c>
      <c r="P491" s="32">
        <v>7</v>
      </c>
      <c r="Q491" s="32">
        <v>7</v>
      </c>
      <c r="R491" s="32">
        <v>8</v>
      </c>
      <c r="S491" s="32">
        <v>6</v>
      </c>
      <c r="T491" s="143"/>
      <c r="U491" s="143"/>
      <c r="V491" s="32" t="s">
        <v>36</v>
      </c>
      <c r="W491" s="32" t="s">
        <v>37</v>
      </c>
      <c r="X491" s="32">
        <v>1</v>
      </c>
      <c r="Y491" s="143"/>
      <c r="Z491" s="143"/>
      <c r="AA491" s="145"/>
      <c r="AB491" s="145"/>
      <c r="AC491" s="141"/>
      <c r="AD491" s="141"/>
      <c r="AE491" s="141"/>
    </row>
    <row r="492" spans="1:337" ht="15" thickBot="1" x14ac:dyDescent="0.4">
      <c r="A492" s="45" t="s">
        <v>31</v>
      </c>
      <c r="B492" s="45" t="s">
        <v>38</v>
      </c>
      <c r="C492" s="46">
        <v>46265</v>
      </c>
      <c r="D492" s="47"/>
      <c r="E492" s="47"/>
      <c r="F492" s="47"/>
      <c r="G492" s="142"/>
      <c r="H492" s="142"/>
      <c r="I492" s="142"/>
      <c r="J492" s="142"/>
      <c r="K492" s="142"/>
      <c r="L492" s="47">
        <v>2</v>
      </c>
      <c r="M492" s="47"/>
      <c r="N492" s="47"/>
      <c r="O492" s="47"/>
      <c r="P492" s="47"/>
      <c r="Q492" s="47"/>
      <c r="R492" s="47"/>
      <c r="S492" s="47"/>
      <c r="T492" s="144"/>
      <c r="U492" s="144"/>
      <c r="V492" s="45"/>
      <c r="W492" s="45"/>
      <c r="X492" s="47"/>
      <c r="Y492" s="144"/>
      <c r="Z492" s="144"/>
      <c r="AA492" s="146"/>
      <c r="AB492" s="146"/>
      <c r="AC492" s="142"/>
      <c r="AD492" s="142"/>
      <c r="AE492" s="142"/>
    </row>
    <row r="493" spans="1:337" s="53" customFormat="1" ht="15" thickBot="1" x14ac:dyDescent="0.4">
      <c r="A493" s="49"/>
      <c r="B493" s="49"/>
      <c r="C493" s="50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49"/>
      <c r="U493" s="49"/>
      <c r="V493" s="49"/>
      <c r="W493" s="49"/>
      <c r="X493" s="51"/>
      <c r="Y493" s="49"/>
      <c r="Z493" s="49"/>
      <c r="AA493" s="52"/>
      <c r="AB493" s="52"/>
      <c r="AC493" s="51"/>
      <c r="AD493" s="51"/>
      <c r="AE493" s="51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  <c r="JX493"/>
      <c r="JY493"/>
      <c r="JZ493"/>
      <c r="KA493"/>
      <c r="KB493"/>
      <c r="KC493"/>
      <c r="KD493"/>
      <c r="KE493"/>
      <c r="KF493"/>
      <c r="KG493"/>
      <c r="KH493"/>
      <c r="KI493"/>
      <c r="KJ493"/>
      <c r="KK493"/>
      <c r="KL493"/>
      <c r="KM493"/>
      <c r="KN493"/>
      <c r="KO493"/>
      <c r="KP493"/>
      <c r="KQ493"/>
      <c r="KR493"/>
      <c r="KS493"/>
      <c r="KT493"/>
      <c r="KU493"/>
      <c r="KV493"/>
      <c r="KW493"/>
      <c r="KX493"/>
      <c r="KY493"/>
      <c r="KZ493"/>
      <c r="LA493"/>
      <c r="LB493"/>
      <c r="LC493"/>
      <c r="LD493"/>
      <c r="LE493"/>
      <c r="LF493"/>
      <c r="LG493"/>
      <c r="LH493"/>
      <c r="LI493"/>
      <c r="LJ493"/>
      <c r="LK493"/>
      <c r="LL493"/>
      <c r="LM493"/>
      <c r="LN493"/>
      <c r="LO493"/>
      <c r="LP493"/>
      <c r="LQ493"/>
      <c r="LR493"/>
      <c r="LS493"/>
      <c r="LT493"/>
      <c r="LU493"/>
      <c r="LV493"/>
      <c r="LW493"/>
      <c r="LX493"/>
      <c r="LY493"/>
    </row>
    <row r="494" spans="1:337" x14ac:dyDescent="0.35">
      <c r="A494" s="41" t="s">
        <v>31</v>
      </c>
      <c r="B494" s="41" t="s">
        <v>32</v>
      </c>
      <c r="C494" s="42">
        <v>46266</v>
      </c>
      <c r="D494" s="43">
        <v>0</v>
      </c>
      <c r="E494" s="43">
        <v>20</v>
      </c>
      <c r="F494" s="43">
        <v>20</v>
      </c>
      <c r="G494" s="43">
        <v>28</v>
      </c>
      <c r="H494" s="43">
        <v>40</v>
      </c>
      <c r="I494" s="43">
        <v>10</v>
      </c>
      <c r="J494" s="43">
        <v>21449</v>
      </c>
      <c r="K494" s="43">
        <f>SUM(L494:L496)</f>
        <v>6</v>
      </c>
      <c r="L494" s="43">
        <v>2</v>
      </c>
      <c r="M494" s="43"/>
      <c r="N494" s="43">
        <v>4</v>
      </c>
      <c r="O494" s="43">
        <v>3</v>
      </c>
      <c r="P494" s="43">
        <v>7</v>
      </c>
      <c r="Q494" s="43">
        <v>6</v>
      </c>
      <c r="R494" s="43">
        <v>9</v>
      </c>
      <c r="S494" s="43">
        <v>9</v>
      </c>
      <c r="T494" s="43">
        <v>25</v>
      </c>
      <c r="U494" s="43">
        <v>4</v>
      </c>
      <c r="V494" s="41" t="s">
        <v>33</v>
      </c>
      <c r="W494" s="41" t="s">
        <v>34</v>
      </c>
      <c r="X494" s="41">
        <v>1</v>
      </c>
      <c r="Y494" s="41">
        <v>3</v>
      </c>
      <c r="Z494" s="41">
        <v>322</v>
      </c>
      <c r="AA494" s="44">
        <v>34</v>
      </c>
      <c r="AB494" s="44">
        <v>34</v>
      </c>
      <c r="AC494" s="43">
        <v>45</v>
      </c>
      <c r="AD494" s="43">
        <v>30</v>
      </c>
      <c r="AE494" s="43">
        <v>45</v>
      </c>
    </row>
    <row r="495" spans="1:337" x14ac:dyDescent="0.35">
      <c r="A495" s="32" t="s">
        <v>31</v>
      </c>
      <c r="B495" s="32" t="s">
        <v>35</v>
      </c>
      <c r="C495" s="33">
        <v>46266</v>
      </c>
      <c r="D495" s="34">
        <v>13</v>
      </c>
      <c r="E495" s="34">
        <v>24</v>
      </c>
      <c r="F495" s="34">
        <v>25</v>
      </c>
      <c r="G495" s="141"/>
      <c r="H495" s="141"/>
      <c r="I495" s="141"/>
      <c r="J495" s="141"/>
      <c r="K495" s="141"/>
      <c r="L495" s="34">
        <v>2</v>
      </c>
      <c r="M495" s="34">
        <v>5</v>
      </c>
      <c r="N495" s="34">
        <v>4</v>
      </c>
      <c r="O495" s="34">
        <v>4</v>
      </c>
      <c r="P495" s="32">
        <v>7</v>
      </c>
      <c r="Q495" s="32">
        <v>7</v>
      </c>
      <c r="R495" s="32">
        <v>8</v>
      </c>
      <c r="S495" s="32">
        <v>6</v>
      </c>
      <c r="T495" s="143"/>
      <c r="U495" s="143"/>
      <c r="V495" s="32" t="s">
        <v>36</v>
      </c>
      <c r="W495" s="32" t="s">
        <v>37</v>
      </c>
      <c r="X495" s="32">
        <v>1</v>
      </c>
      <c r="Y495" s="143"/>
      <c r="Z495" s="143"/>
      <c r="AA495" s="145"/>
      <c r="AB495" s="145"/>
      <c r="AC495" s="141"/>
      <c r="AD495" s="141"/>
      <c r="AE495" s="141"/>
    </row>
    <row r="496" spans="1:337" ht="15" thickBot="1" x14ac:dyDescent="0.4">
      <c r="A496" s="45" t="s">
        <v>31</v>
      </c>
      <c r="B496" s="45" t="s">
        <v>38</v>
      </c>
      <c r="C496" s="46">
        <v>46266</v>
      </c>
      <c r="D496" s="47"/>
      <c r="E496" s="47"/>
      <c r="F496" s="47"/>
      <c r="G496" s="142"/>
      <c r="H496" s="142"/>
      <c r="I496" s="142"/>
      <c r="J496" s="142"/>
      <c r="K496" s="142"/>
      <c r="L496" s="47">
        <v>2</v>
      </c>
      <c r="M496" s="47"/>
      <c r="N496" s="47"/>
      <c r="O496" s="47"/>
      <c r="P496" s="47"/>
      <c r="Q496" s="47"/>
      <c r="R496" s="47"/>
      <c r="S496" s="47"/>
      <c r="T496" s="144"/>
      <c r="U496" s="144"/>
      <c r="V496" s="45"/>
      <c r="W496" s="45"/>
      <c r="X496" s="47"/>
      <c r="Y496" s="144"/>
      <c r="Z496" s="144"/>
      <c r="AA496" s="146"/>
      <c r="AB496" s="146"/>
      <c r="AC496" s="142"/>
      <c r="AD496" s="142"/>
      <c r="AE496" s="142"/>
    </row>
    <row r="497" spans="1:337" s="53" customFormat="1" ht="15" thickBot="1" x14ac:dyDescent="0.4">
      <c r="A497" s="49"/>
      <c r="B497" s="49"/>
      <c r="C497" s="50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49"/>
      <c r="U497" s="49"/>
      <c r="V497" s="49"/>
      <c r="W497" s="49"/>
      <c r="X497" s="51"/>
      <c r="Y497" s="49"/>
      <c r="Z497" s="49"/>
      <c r="AA497" s="52"/>
      <c r="AB497" s="52"/>
      <c r="AC497" s="51"/>
      <c r="AD497" s="51"/>
      <c r="AE497" s="51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/>
      <c r="KA497"/>
      <c r="KB497"/>
      <c r="KC497"/>
      <c r="KD497"/>
      <c r="KE497"/>
      <c r="KF497"/>
      <c r="KG497"/>
      <c r="KH497"/>
      <c r="KI497"/>
      <c r="KJ497"/>
      <c r="KK497"/>
      <c r="KL497"/>
      <c r="KM497"/>
      <c r="KN497"/>
      <c r="KO497"/>
      <c r="KP497"/>
      <c r="KQ497"/>
      <c r="KR497"/>
      <c r="KS497"/>
      <c r="KT497"/>
      <c r="KU497"/>
      <c r="KV497"/>
      <c r="KW497"/>
      <c r="KX497"/>
      <c r="KY497"/>
      <c r="KZ497"/>
      <c r="LA497"/>
      <c r="LB497"/>
      <c r="LC497"/>
      <c r="LD497"/>
      <c r="LE497"/>
      <c r="LF497"/>
      <c r="LG497"/>
      <c r="LH497"/>
      <c r="LI497"/>
      <c r="LJ497"/>
      <c r="LK497"/>
      <c r="LL497"/>
      <c r="LM497"/>
      <c r="LN497"/>
      <c r="LO497"/>
      <c r="LP497"/>
      <c r="LQ497"/>
      <c r="LR497"/>
      <c r="LS497"/>
      <c r="LT497"/>
      <c r="LU497"/>
      <c r="LV497"/>
      <c r="LW497"/>
      <c r="LX497"/>
      <c r="LY497"/>
    </row>
    <row r="498" spans="1:337" x14ac:dyDescent="0.35">
      <c r="A498" s="41" t="s">
        <v>31</v>
      </c>
      <c r="B498" s="41" t="s">
        <v>32</v>
      </c>
      <c r="C498" s="42">
        <v>46267</v>
      </c>
      <c r="D498" s="43">
        <v>0</v>
      </c>
      <c r="E498" s="43">
        <v>20</v>
      </c>
      <c r="F498" s="43">
        <v>20</v>
      </c>
      <c r="G498" s="43">
        <v>28</v>
      </c>
      <c r="H498" s="43">
        <v>40</v>
      </c>
      <c r="I498" s="43">
        <v>10</v>
      </c>
      <c r="J498" s="43">
        <v>21449</v>
      </c>
      <c r="K498" s="43">
        <f>SUM(L498:L500)</f>
        <v>6</v>
      </c>
      <c r="L498" s="43">
        <v>2</v>
      </c>
      <c r="M498" s="43"/>
      <c r="N498" s="43">
        <v>4</v>
      </c>
      <c r="O498" s="43">
        <v>3</v>
      </c>
      <c r="P498" s="43">
        <v>7</v>
      </c>
      <c r="Q498" s="43">
        <v>6</v>
      </c>
      <c r="R498" s="43">
        <v>9</v>
      </c>
      <c r="S498" s="43">
        <v>9</v>
      </c>
      <c r="T498" s="43">
        <v>25</v>
      </c>
      <c r="U498" s="43">
        <v>4</v>
      </c>
      <c r="V498" s="41" t="s">
        <v>33</v>
      </c>
      <c r="W498" s="41" t="s">
        <v>34</v>
      </c>
      <c r="X498" s="41">
        <v>1</v>
      </c>
      <c r="Y498" s="41">
        <v>3</v>
      </c>
      <c r="Z498" s="41">
        <v>322</v>
      </c>
      <c r="AA498" s="44">
        <v>34</v>
      </c>
      <c r="AB498" s="44">
        <v>34</v>
      </c>
      <c r="AC498" s="43">
        <v>45</v>
      </c>
      <c r="AD498" s="43">
        <v>30</v>
      </c>
      <c r="AE498" s="43">
        <v>45</v>
      </c>
    </row>
    <row r="499" spans="1:337" x14ac:dyDescent="0.35">
      <c r="A499" s="32" t="s">
        <v>31</v>
      </c>
      <c r="B499" s="32" t="s">
        <v>35</v>
      </c>
      <c r="C499" s="33">
        <v>46267</v>
      </c>
      <c r="D499" s="34">
        <v>13</v>
      </c>
      <c r="E499" s="34">
        <v>24</v>
      </c>
      <c r="F499" s="34">
        <v>25</v>
      </c>
      <c r="G499" s="141"/>
      <c r="H499" s="141"/>
      <c r="I499" s="141"/>
      <c r="J499" s="141"/>
      <c r="K499" s="141"/>
      <c r="L499" s="34">
        <v>2</v>
      </c>
      <c r="M499" s="34">
        <v>5</v>
      </c>
      <c r="N499" s="34">
        <v>4</v>
      </c>
      <c r="O499" s="34">
        <v>4</v>
      </c>
      <c r="P499" s="32">
        <v>7</v>
      </c>
      <c r="Q499" s="32">
        <v>7</v>
      </c>
      <c r="R499" s="32">
        <v>8</v>
      </c>
      <c r="S499" s="32">
        <v>6</v>
      </c>
      <c r="T499" s="143"/>
      <c r="U499" s="143"/>
      <c r="V499" s="32" t="s">
        <v>36</v>
      </c>
      <c r="W499" s="32" t="s">
        <v>37</v>
      </c>
      <c r="X499" s="32">
        <v>1</v>
      </c>
      <c r="Y499" s="143"/>
      <c r="Z499" s="143"/>
      <c r="AA499" s="145"/>
      <c r="AB499" s="145"/>
      <c r="AC499" s="141"/>
      <c r="AD499" s="141"/>
      <c r="AE499" s="141"/>
    </row>
    <row r="500" spans="1:337" ht="15" thickBot="1" x14ac:dyDescent="0.4">
      <c r="A500" s="45" t="s">
        <v>31</v>
      </c>
      <c r="B500" s="45" t="s">
        <v>38</v>
      </c>
      <c r="C500" s="46">
        <v>46267</v>
      </c>
      <c r="D500" s="47"/>
      <c r="E500" s="47"/>
      <c r="F500" s="47"/>
      <c r="G500" s="142"/>
      <c r="H500" s="142"/>
      <c r="I500" s="142"/>
      <c r="J500" s="142"/>
      <c r="K500" s="142"/>
      <c r="L500" s="47">
        <v>2</v>
      </c>
      <c r="M500" s="47"/>
      <c r="N500" s="47"/>
      <c r="O500" s="47"/>
      <c r="P500" s="47"/>
      <c r="Q500" s="47"/>
      <c r="R500" s="47"/>
      <c r="S500" s="47"/>
      <c r="T500" s="144"/>
      <c r="U500" s="144"/>
      <c r="V500" s="45"/>
      <c r="W500" s="45"/>
      <c r="X500" s="47"/>
      <c r="Y500" s="144"/>
      <c r="Z500" s="144"/>
      <c r="AA500" s="146"/>
      <c r="AB500" s="146"/>
      <c r="AC500" s="142"/>
      <c r="AD500" s="142"/>
      <c r="AE500" s="142"/>
    </row>
    <row r="501" spans="1:337" s="53" customFormat="1" ht="15" thickBot="1" x14ac:dyDescent="0.4">
      <c r="A501" s="49"/>
      <c r="B501" s="49"/>
      <c r="C501" s="50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49"/>
      <c r="U501" s="49"/>
      <c r="V501" s="49"/>
      <c r="W501" s="49"/>
      <c r="X501" s="51"/>
      <c r="Y501" s="49"/>
      <c r="Z501" s="49"/>
      <c r="AA501" s="52"/>
      <c r="AB501" s="52"/>
      <c r="AC501" s="51"/>
      <c r="AD501" s="51"/>
      <c r="AE501" s="5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/>
      <c r="JN501"/>
      <c r="JO501"/>
      <c r="JP501"/>
      <c r="JQ501"/>
      <c r="JR501"/>
      <c r="JS501"/>
      <c r="JT501"/>
      <c r="JU501"/>
      <c r="JV501"/>
      <c r="JW501"/>
      <c r="JX501"/>
      <c r="JY501"/>
      <c r="JZ501"/>
      <c r="KA501"/>
      <c r="KB501"/>
      <c r="KC501"/>
      <c r="KD501"/>
      <c r="KE501"/>
      <c r="KF501"/>
      <c r="KG501"/>
      <c r="KH501"/>
      <c r="KI501"/>
      <c r="KJ501"/>
      <c r="KK501"/>
      <c r="KL501"/>
      <c r="KM501"/>
      <c r="KN501"/>
      <c r="KO501"/>
      <c r="KP501"/>
      <c r="KQ501"/>
      <c r="KR501"/>
      <c r="KS501"/>
      <c r="KT501"/>
      <c r="KU501"/>
      <c r="KV501"/>
      <c r="KW501"/>
      <c r="KX501"/>
      <c r="KY501"/>
      <c r="KZ501"/>
      <c r="LA501"/>
      <c r="LB501"/>
      <c r="LC501"/>
      <c r="LD501"/>
      <c r="LE501"/>
      <c r="LF501"/>
      <c r="LG501"/>
      <c r="LH501"/>
      <c r="LI501"/>
      <c r="LJ501"/>
      <c r="LK501"/>
      <c r="LL501"/>
      <c r="LM501"/>
      <c r="LN501"/>
      <c r="LO501"/>
      <c r="LP501"/>
      <c r="LQ501"/>
      <c r="LR501"/>
      <c r="LS501"/>
      <c r="LT501"/>
      <c r="LU501"/>
      <c r="LV501"/>
      <c r="LW501"/>
      <c r="LX501"/>
      <c r="LY501"/>
    </row>
    <row r="502" spans="1:337" x14ac:dyDescent="0.35">
      <c r="A502" s="41" t="s">
        <v>31</v>
      </c>
      <c r="B502" s="41" t="s">
        <v>32</v>
      </c>
      <c r="C502" s="42">
        <v>46268</v>
      </c>
      <c r="D502" s="43">
        <v>0</v>
      </c>
      <c r="E502" s="43">
        <v>20</v>
      </c>
      <c r="F502" s="43">
        <v>20</v>
      </c>
      <c r="G502" s="43">
        <v>28</v>
      </c>
      <c r="H502" s="43">
        <v>40</v>
      </c>
      <c r="I502" s="43">
        <v>10</v>
      </c>
      <c r="J502" s="43">
        <v>21449</v>
      </c>
      <c r="K502" s="43">
        <f>SUM(L502:L504)</f>
        <v>6</v>
      </c>
      <c r="L502" s="43">
        <v>2</v>
      </c>
      <c r="M502" s="43"/>
      <c r="N502" s="43">
        <v>4</v>
      </c>
      <c r="O502" s="43">
        <v>3</v>
      </c>
      <c r="P502" s="43">
        <v>7</v>
      </c>
      <c r="Q502" s="43">
        <v>6</v>
      </c>
      <c r="R502" s="43">
        <v>9</v>
      </c>
      <c r="S502" s="43">
        <v>9</v>
      </c>
      <c r="T502" s="43">
        <v>25</v>
      </c>
      <c r="U502" s="43">
        <v>4</v>
      </c>
      <c r="V502" s="41" t="s">
        <v>33</v>
      </c>
      <c r="W502" s="41" t="s">
        <v>34</v>
      </c>
      <c r="X502" s="41">
        <v>1</v>
      </c>
      <c r="Y502" s="41">
        <v>3</v>
      </c>
      <c r="Z502" s="41">
        <v>322</v>
      </c>
      <c r="AA502" s="44">
        <v>34</v>
      </c>
      <c r="AB502" s="44">
        <v>34</v>
      </c>
      <c r="AC502" s="43">
        <v>45</v>
      </c>
      <c r="AD502" s="43">
        <v>30</v>
      </c>
      <c r="AE502" s="43">
        <v>45</v>
      </c>
    </row>
    <row r="503" spans="1:337" x14ac:dyDescent="0.35">
      <c r="A503" s="32" t="s">
        <v>31</v>
      </c>
      <c r="B503" s="32" t="s">
        <v>35</v>
      </c>
      <c r="C503" s="33">
        <v>46268</v>
      </c>
      <c r="D503" s="34">
        <v>13</v>
      </c>
      <c r="E503" s="34">
        <v>24</v>
      </c>
      <c r="F503" s="34">
        <v>25</v>
      </c>
      <c r="G503" s="141"/>
      <c r="H503" s="141"/>
      <c r="I503" s="141"/>
      <c r="J503" s="141"/>
      <c r="K503" s="141"/>
      <c r="L503" s="34">
        <v>2</v>
      </c>
      <c r="M503" s="34">
        <v>5</v>
      </c>
      <c r="N503" s="34">
        <v>4</v>
      </c>
      <c r="O503" s="34">
        <v>4</v>
      </c>
      <c r="P503" s="32">
        <v>7</v>
      </c>
      <c r="Q503" s="32">
        <v>7</v>
      </c>
      <c r="R503" s="32">
        <v>8</v>
      </c>
      <c r="S503" s="32">
        <v>6</v>
      </c>
      <c r="T503" s="143"/>
      <c r="U503" s="143"/>
      <c r="V503" s="32" t="s">
        <v>36</v>
      </c>
      <c r="W503" s="32" t="s">
        <v>37</v>
      </c>
      <c r="X503" s="32">
        <v>1</v>
      </c>
      <c r="Y503" s="143"/>
      <c r="Z503" s="143"/>
      <c r="AA503" s="145"/>
      <c r="AB503" s="145"/>
      <c r="AC503" s="141"/>
      <c r="AD503" s="141"/>
      <c r="AE503" s="141"/>
    </row>
    <row r="504" spans="1:337" ht="15" thickBot="1" x14ac:dyDescent="0.4">
      <c r="A504" s="45" t="s">
        <v>31</v>
      </c>
      <c r="B504" s="45" t="s">
        <v>38</v>
      </c>
      <c r="C504" s="46">
        <v>46268</v>
      </c>
      <c r="D504" s="47"/>
      <c r="E504" s="47"/>
      <c r="F504" s="47"/>
      <c r="G504" s="142"/>
      <c r="H504" s="142"/>
      <c r="I504" s="142"/>
      <c r="J504" s="142"/>
      <c r="K504" s="142"/>
      <c r="L504" s="47">
        <v>2</v>
      </c>
      <c r="M504" s="47"/>
      <c r="N504" s="47"/>
      <c r="O504" s="47"/>
      <c r="P504" s="47"/>
      <c r="Q504" s="47"/>
      <c r="R504" s="47"/>
      <c r="S504" s="47"/>
      <c r="T504" s="144"/>
      <c r="U504" s="144"/>
      <c r="V504" s="45"/>
      <c r="W504" s="45"/>
      <c r="X504" s="47"/>
      <c r="Y504" s="144"/>
      <c r="Z504" s="144"/>
      <c r="AA504" s="146"/>
      <c r="AB504" s="146"/>
      <c r="AC504" s="142"/>
      <c r="AD504" s="142"/>
      <c r="AE504" s="142"/>
    </row>
    <row r="505" spans="1:337" s="53" customFormat="1" ht="15" thickBot="1" x14ac:dyDescent="0.4">
      <c r="A505" s="49"/>
      <c r="B505" s="49"/>
      <c r="C505" s="50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49"/>
      <c r="U505" s="49"/>
      <c r="V505" s="49"/>
      <c r="W505" s="49"/>
      <c r="X505" s="51"/>
      <c r="Y505" s="49"/>
      <c r="Z505" s="49"/>
      <c r="AA505" s="52"/>
      <c r="AB505" s="52"/>
      <c r="AC505" s="51"/>
      <c r="AD505" s="51"/>
      <c r="AE505" s="51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/>
      <c r="JV505"/>
      <c r="JW505"/>
      <c r="JX505"/>
      <c r="JY505"/>
      <c r="JZ505"/>
      <c r="KA505"/>
      <c r="KB505"/>
      <c r="KC505"/>
      <c r="KD505"/>
      <c r="KE505"/>
      <c r="KF505"/>
      <c r="KG505"/>
      <c r="KH505"/>
      <c r="KI505"/>
      <c r="KJ505"/>
      <c r="KK505"/>
      <c r="KL505"/>
      <c r="KM505"/>
      <c r="KN505"/>
      <c r="KO505"/>
      <c r="KP505"/>
      <c r="KQ505"/>
      <c r="KR505"/>
      <c r="KS505"/>
      <c r="KT505"/>
      <c r="KU505"/>
      <c r="KV505"/>
      <c r="KW505"/>
      <c r="KX505"/>
      <c r="KY505"/>
      <c r="KZ505"/>
      <c r="LA505"/>
      <c r="LB505"/>
      <c r="LC505"/>
      <c r="LD505"/>
      <c r="LE505"/>
      <c r="LF505"/>
      <c r="LG505"/>
      <c r="LH505"/>
      <c r="LI505"/>
      <c r="LJ505"/>
      <c r="LK505"/>
      <c r="LL505"/>
      <c r="LM505"/>
      <c r="LN505"/>
      <c r="LO505"/>
      <c r="LP505"/>
      <c r="LQ505"/>
      <c r="LR505"/>
      <c r="LS505"/>
      <c r="LT505"/>
      <c r="LU505"/>
      <c r="LV505"/>
      <c r="LW505"/>
      <c r="LX505"/>
      <c r="LY505"/>
    </row>
    <row r="506" spans="1:337" x14ac:dyDescent="0.35">
      <c r="A506" s="41" t="s">
        <v>31</v>
      </c>
      <c r="B506" s="41" t="s">
        <v>32</v>
      </c>
      <c r="C506" s="42">
        <v>46269</v>
      </c>
      <c r="D506" s="43">
        <v>0</v>
      </c>
      <c r="E506" s="43">
        <v>20</v>
      </c>
      <c r="F506" s="43">
        <v>20</v>
      </c>
      <c r="G506" s="43">
        <v>28</v>
      </c>
      <c r="H506" s="43">
        <v>40</v>
      </c>
      <c r="I506" s="43">
        <v>10</v>
      </c>
      <c r="J506" s="43">
        <v>21449</v>
      </c>
      <c r="K506" s="43">
        <f>SUM(L506:L508)</f>
        <v>6</v>
      </c>
      <c r="L506" s="43">
        <v>2</v>
      </c>
      <c r="M506" s="43"/>
      <c r="N506" s="43">
        <v>4</v>
      </c>
      <c r="O506" s="43">
        <v>3</v>
      </c>
      <c r="P506" s="43">
        <v>7</v>
      </c>
      <c r="Q506" s="43">
        <v>6</v>
      </c>
      <c r="R506" s="43">
        <v>9</v>
      </c>
      <c r="S506" s="43">
        <v>9</v>
      </c>
      <c r="T506" s="43">
        <v>20</v>
      </c>
      <c r="U506" s="43">
        <v>3</v>
      </c>
      <c r="V506" s="41" t="s">
        <v>33</v>
      </c>
      <c r="W506" s="41" t="s">
        <v>34</v>
      </c>
      <c r="X506" s="41">
        <v>1</v>
      </c>
      <c r="Y506" s="41">
        <v>3</v>
      </c>
      <c r="Z506" s="41">
        <v>322</v>
      </c>
      <c r="AA506" s="44">
        <v>34</v>
      </c>
      <c r="AB506" s="44">
        <v>34</v>
      </c>
      <c r="AC506" s="43">
        <v>45</v>
      </c>
      <c r="AD506" s="43">
        <v>30</v>
      </c>
      <c r="AE506" s="43">
        <v>45</v>
      </c>
    </row>
    <row r="507" spans="1:337" x14ac:dyDescent="0.35">
      <c r="A507" s="32" t="s">
        <v>31</v>
      </c>
      <c r="B507" s="32" t="s">
        <v>35</v>
      </c>
      <c r="C507" s="33">
        <v>46269</v>
      </c>
      <c r="D507" s="34">
        <v>13</v>
      </c>
      <c r="E507" s="34">
        <v>24</v>
      </c>
      <c r="F507" s="34">
        <v>25</v>
      </c>
      <c r="G507" s="141"/>
      <c r="H507" s="141"/>
      <c r="I507" s="141"/>
      <c r="J507" s="141"/>
      <c r="K507" s="141"/>
      <c r="L507" s="34">
        <v>2</v>
      </c>
      <c r="M507" s="34">
        <v>5</v>
      </c>
      <c r="N507" s="34">
        <v>4</v>
      </c>
      <c r="O507" s="34">
        <v>4</v>
      </c>
      <c r="P507" s="32">
        <v>7</v>
      </c>
      <c r="Q507" s="32">
        <v>7</v>
      </c>
      <c r="R507" s="32">
        <v>8</v>
      </c>
      <c r="S507" s="32">
        <v>6</v>
      </c>
      <c r="T507" s="143"/>
      <c r="U507" s="143"/>
      <c r="V507" s="32" t="s">
        <v>36</v>
      </c>
      <c r="W507" s="32" t="s">
        <v>37</v>
      </c>
      <c r="X507" s="32">
        <v>1</v>
      </c>
      <c r="Y507" s="143"/>
      <c r="Z507" s="143"/>
      <c r="AA507" s="145"/>
      <c r="AB507" s="145"/>
      <c r="AC507" s="141"/>
      <c r="AD507" s="141"/>
      <c r="AE507" s="141"/>
    </row>
    <row r="508" spans="1:337" ht="15" thickBot="1" x14ac:dyDescent="0.4">
      <c r="A508" s="45" t="s">
        <v>31</v>
      </c>
      <c r="B508" s="45" t="s">
        <v>38</v>
      </c>
      <c r="C508" s="46">
        <v>46269</v>
      </c>
      <c r="D508" s="47"/>
      <c r="E508" s="47"/>
      <c r="F508" s="47"/>
      <c r="G508" s="142"/>
      <c r="H508" s="142"/>
      <c r="I508" s="142"/>
      <c r="J508" s="142"/>
      <c r="K508" s="142"/>
      <c r="L508" s="47">
        <v>2</v>
      </c>
      <c r="M508" s="47"/>
      <c r="N508" s="47"/>
      <c r="O508" s="47"/>
      <c r="P508" s="47"/>
      <c r="Q508" s="47"/>
      <c r="R508" s="47"/>
      <c r="S508" s="47"/>
      <c r="T508" s="144"/>
      <c r="U508" s="144"/>
      <c r="V508" s="45"/>
      <c r="W508" s="45"/>
      <c r="X508" s="47"/>
      <c r="Y508" s="144"/>
      <c r="Z508" s="144"/>
      <c r="AA508" s="146"/>
      <c r="AB508" s="146"/>
      <c r="AC508" s="142"/>
      <c r="AD508" s="142"/>
      <c r="AE508" s="142"/>
    </row>
    <row r="509" spans="1:337" s="53" customFormat="1" ht="15" thickBot="1" x14ac:dyDescent="0.4">
      <c r="A509" s="49"/>
      <c r="B509" s="49"/>
      <c r="C509" s="50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49"/>
      <c r="U509" s="49"/>
      <c r="V509" s="49"/>
      <c r="W509" s="49"/>
      <c r="X509" s="51"/>
      <c r="Y509" s="49"/>
      <c r="Z509" s="49"/>
      <c r="AA509" s="52"/>
      <c r="AB509" s="52"/>
      <c r="AC509" s="51"/>
      <c r="AD509" s="51"/>
      <c r="AE509" s="51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/>
      <c r="FK509"/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/>
      <c r="JV509"/>
      <c r="JW509"/>
      <c r="JX509"/>
      <c r="JY509"/>
      <c r="JZ509"/>
      <c r="KA509"/>
      <c r="KB509"/>
      <c r="KC509"/>
      <c r="KD509"/>
      <c r="KE509"/>
      <c r="KF509"/>
      <c r="KG509"/>
      <c r="KH509"/>
      <c r="KI509"/>
      <c r="KJ509"/>
      <c r="KK509"/>
      <c r="KL509"/>
      <c r="KM509"/>
      <c r="KN509"/>
      <c r="KO509"/>
      <c r="KP509"/>
      <c r="KQ509"/>
      <c r="KR509"/>
      <c r="KS509"/>
      <c r="KT509"/>
      <c r="KU509"/>
      <c r="KV509"/>
      <c r="KW509"/>
      <c r="KX509"/>
      <c r="KY509"/>
      <c r="KZ509"/>
      <c r="LA509"/>
      <c r="LB509"/>
      <c r="LC509"/>
      <c r="LD509"/>
      <c r="LE509"/>
      <c r="LF509"/>
      <c r="LG509"/>
      <c r="LH509"/>
      <c r="LI509"/>
      <c r="LJ509"/>
      <c r="LK509"/>
      <c r="LL509"/>
      <c r="LM509"/>
      <c r="LN509"/>
      <c r="LO509"/>
      <c r="LP509"/>
      <c r="LQ509"/>
      <c r="LR509"/>
      <c r="LS509"/>
      <c r="LT509"/>
      <c r="LU509"/>
      <c r="LV509"/>
      <c r="LW509"/>
      <c r="LX509"/>
      <c r="LY509"/>
    </row>
    <row r="510" spans="1:337" x14ac:dyDescent="0.35">
      <c r="A510" s="41" t="s">
        <v>31</v>
      </c>
      <c r="B510" s="41" t="s">
        <v>32</v>
      </c>
      <c r="C510" s="42">
        <v>46272</v>
      </c>
      <c r="D510" s="43">
        <v>0</v>
      </c>
      <c r="E510" s="43">
        <v>20</v>
      </c>
      <c r="F510" s="43">
        <v>20</v>
      </c>
      <c r="G510" s="43">
        <v>28</v>
      </c>
      <c r="H510" s="43">
        <v>40</v>
      </c>
      <c r="I510" s="43">
        <v>10</v>
      </c>
      <c r="J510" s="43">
        <v>21449</v>
      </c>
      <c r="K510" s="43">
        <f>SUM(L510:L512)</f>
        <v>6</v>
      </c>
      <c r="L510" s="43">
        <v>2</v>
      </c>
      <c r="M510" s="43"/>
      <c r="N510" s="43">
        <v>4</v>
      </c>
      <c r="O510" s="43">
        <v>3</v>
      </c>
      <c r="P510" s="43">
        <v>7</v>
      </c>
      <c r="Q510" s="43">
        <v>6</v>
      </c>
      <c r="R510" s="43">
        <v>9</v>
      </c>
      <c r="S510" s="43">
        <v>9</v>
      </c>
      <c r="T510" s="43">
        <v>25</v>
      </c>
      <c r="U510" s="43">
        <v>4</v>
      </c>
      <c r="V510" s="41" t="s">
        <v>33</v>
      </c>
      <c r="W510" s="41" t="s">
        <v>34</v>
      </c>
      <c r="X510" s="41">
        <v>1</v>
      </c>
      <c r="Y510" s="41">
        <v>3</v>
      </c>
      <c r="Z510" s="41">
        <v>322</v>
      </c>
      <c r="AA510" s="44">
        <v>34</v>
      </c>
      <c r="AB510" s="44">
        <v>34</v>
      </c>
      <c r="AC510" s="43">
        <v>45</v>
      </c>
      <c r="AD510" s="43">
        <v>30</v>
      </c>
      <c r="AE510" s="43">
        <v>45</v>
      </c>
    </row>
    <row r="511" spans="1:337" x14ac:dyDescent="0.35">
      <c r="A511" s="32" t="s">
        <v>31</v>
      </c>
      <c r="B511" s="32" t="s">
        <v>35</v>
      </c>
      <c r="C511" s="33">
        <v>46272</v>
      </c>
      <c r="D511" s="34">
        <v>13</v>
      </c>
      <c r="E511" s="34">
        <v>24</v>
      </c>
      <c r="F511" s="34">
        <v>25</v>
      </c>
      <c r="G511" s="141"/>
      <c r="H511" s="141"/>
      <c r="I511" s="141"/>
      <c r="J511" s="141"/>
      <c r="K511" s="141"/>
      <c r="L511" s="34">
        <v>2</v>
      </c>
      <c r="M511" s="34">
        <v>5</v>
      </c>
      <c r="N511" s="34">
        <v>4</v>
      </c>
      <c r="O511" s="34">
        <v>4</v>
      </c>
      <c r="P511" s="32">
        <v>7</v>
      </c>
      <c r="Q511" s="32">
        <v>7</v>
      </c>
      <c r="R511" s="32">
        <v>8</v>
      </c>
      <c r="S511" s="32">
        <v>6</v>
      </c>
      <c r="T511" s="143"/>
      <c r="U511" s="143"/>
      <c r="V511" s="32" t="s">
        <v>36</v>
      </c>
      <c r="W511" s="32" t="s">
        <v>37</v>
      </c>
      <c r="X511" s="32">
        <v>1</v>
      </c>
      <c r="Y511" s="143"/>
      <c r="Z511" s="143"/>
      <c r="AA511" s="145"/>
      <c r="AB511" s="145"/>
      <c r="AC511" s="141"/>
      <c r="AD511" s="141"/>
      <c r="AE511" s="141"/>
    </row>
    <row r="512" spans="1:337" ht="15" thickBot="1" x14ac:dyDescent="0.4">
      <c r="A512" s="45" t="s">
        <v>31</v>
      </c>
      <c r="B512" s="45" t="s">
        <v>38</v>
      </c>
      <c r="C512" s="46">
        <v>46272</v>
      </c>
      <c r="D512" s="47"/>
      <c r="E512" s="47"/>
      <c r="F512" s="47"/>
      <c r="G512" s="142"/>
      <c r="H512" s="142"/>
      <c r="I512" s="142"/>
      <c r="J512" s="142"/>
      <c r="K512" s="142"/>
      <c r="L512" s="47">
        <v>2</v>
      </c>
      <c r="M512" s="47"/>
      <c r="N512" s="47"/>
      <c r="O512" s="47"/>
      <c r="P512" s="47"/>
      <c r="Q512" s="47"/>
      <c r="R512" s="47"/>
      <c r="S512" s="47"/>
      <c r="T512" s="144"/>
      <c r="U512" s="144"/>
      <c r="V512" s="45"/>
      <c r="W512" s="45"/>
      <c r="X512" s="47"/>
      <c r="Y512" s="144"/>
      <c r="Z512" s="144"/>
      <c r="AA512" s="146"/>
      <c r="AB512" s="146"/>
      <c r="AC512" s="142"/>
      <c r="AD512" s="142"/>
      <c r="AE512" s="142"/>
    </row>
    <row r="513" spans="1:337" s="53" customFormat="1" ht="15" thickBot="1" x14ac:dyDescent="0.4">
      <c r="A513" s="49"/>
      <c r="B513" s="49"/>
      <c r="C513" s="50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49"/>
      <c r="U513" s="49"/>
      <c r="V513" s="49"/>
      <c r="W513" s="49"/>
      <c r="X513" s="51"/>
      <c r="Y513" s="49"/>
      <c r="Z513" s="49"/>
      <c r="AA513" s="52"/>
      <c r="AB513" s="52"/>
      <c r="AC513" s="51"/>
      <c r="AD513" s="51"/>
      <c r="AE513" s="51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/>
      <c r="FK513"/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/>
      <c r="JU513"/>
      <c r="JV513"/>
      <c r="JW513"/>
      <c r="JX513"/>
      <c r="JY513"/>
      <c r="JZ513"/>
      <c r="KA513"/>
      <c r="KB513"/>
      <c r="KC513"/>
      <c r="KD513"/>
      <c r="KE513"/>
      <c r="KF513"/>
      <c r="KG513"/>
      <c r="KH513"/>
      <c r="KI513"/>
      <c r="KJ513"/>
      <c r="KK513"/>
      <c r="KL513"/>
      <c r="KM513"/>
      <c r="KN513"/>
      <c r="KO513"/>
      <c r="KP513"/>
      <c r="KQ513"/>
      <c r="KR513"/>
      <c r="KS513"/>
      <c r="KT513"/>
      <c r="KU513"/>
      <c r="KV513"/>
      <c r="KW513"/>
      <c r="KX513"/>
      <c r="KY513"/>
      <c r="KZ513"/>
      <c r="LA513"/>
      <c r="LB513"/>
      <c r="LC513"/>
      <c r="LD513"/>
      <c r="LE513"/>
      <c r="LF513"/>
      <c r="LG513"/>
      <c r="LH513"/>
      <c r="LI513"/>
      <c r="LJ513"/>
      <c r="LK513"/>
      <c r="LL513"/>
      <c r="LM513"/>
      <c r="LN513"/>
      <c r="LO513"/>
      <c r="LP513"/>
      <c r="LQ513"/>
      <c r="LR513"/>
      <c r="LS513"/>
      <c r="LT513"/>
      <c r="LU513"/>
      <c r="LV513"/>
      <c r="LW513"/>
      <c r="LX513"/>
      <c r="LY513"/>
    </row>
    <row r="514" spans="1:337" x14ac:dyDescent="0.35">
      <c r="A514" s="41" t="s">
        <v>31</v>
      </c>
      <c r="B514" s="41" t="s">
        <v>32</v>
      </c>
      <c r="C514" s="42">
        <v>46273</v>
      </c>
      <c r="D514" s="43">
        <v>0</v>
      </c>
      <c r="E514" s="43">
        <v>20</v>
      </c>
      <c r="F514" s="43">
        <v>20</v>
      </c>
      <c r="G514" s="43">
        <v>28</v>
      </c>
      <c r="H514" s="43">
        <v>40</v>
      </c>
      <c r="I514" s="43">
        <v>10</v>
      </c>
      <c r="J514" s="43">
        <v>21449</v>
      </c>
      <c r="K514" s="43">
        <f>SUM(L514:L516)</f>
        <v>6</v>
      </c>
      <c r="L514" s="43">
        <v>2</v>
      </c>
      <c r="M514" s="43"/>
      <c r="N514" s="43">
        <v>4</v>
      </c>
      <c r="O514" s="43">
        <v>3</v>
      </c>
      <c r="P514" s="43">
        <v>7</v>
      </c>
      <c r="Q514" s="43">
        <v>6</v>
      </c>
      <c r="R514" s="43">
        <v>9</v>
      </c>
      <c r="S514" s="43">
        <v>9</v>
      </c>
      <c r="T514" s="43">
        <v>25</v>
      </c>
      <c r="U514" s="43">
        <v>4</v>
      </c>
      <c r="V514" s="41" t="s">
        <v>33</v>
      </c>
      <c r="W514" s="41" t="s">
        <v>34</v>
      </c>
      <c r="X514" s="41">
        <v>1</v>
      </c>
      <c r="Y514" s="41">
        <v>3</v>
      </c>
      <c r="Z514" s="41">
        <v>322</v>
      </c>
      <c r="AA514" s="44">
        <v>34</v>
      </c>
      <c r="AB514" s="44">
        <v>34</v>
      </c>
      <c r="AC514" s="43">
        <v>45</v>
      </c>
      <c r="AD514" s="43">
        <v>30</v>
      </c>
      <c r="AE514" s="43">
        <v>45</v>
      </c>
    </row>
    <row r="515" spans="1:337" x14ac:dyDescent="0.35">
      <c r="A515" s="32" t="s">
        <v>31</v>
      </c>
      <c r="B515" s="32" t="s">
        <v>35</v>
      </c>
      <c r="C515" s="33">
        <v>46273</v>
      </c>
      <c r="D515" s="34">
        <v>13</v>
      </c>
      <c r="E515" s="34">
        <v>24</v>
      </c>
      <c r="F515" s="34">
        <v>25</v>
      </c>
      <c r="G515" s="141"/>
      <c r="H515" s="141"/>
      <c r="I515" s="141"/>
      <c r="J515" s="141"/>
      <c r="K515" s="141"/>
      <c r="L515" s="34">
        <v>2</v>
      </c>
      <c r="M515" s="34">
        <v>5</v>
      </c>
      <c r="N515" s="34">
        <v>4</v>
      </c>
      <c r="O515" s="34">
        <v>4</v>
      </c>
      <c r="P515" s="32">
        <v>7</v>
      </c>
      <c r="Q515" s="32">
        <v>7</v>
      </c>
      <c r="R515" s="32">
        <v>8</v>
      </c>
      <c r="S515" s="32">
        <v>6</v>
      </c>
      <c r="T515" s="143"/>
      <c r="U515" s="143"/>
      <c r="V515" s="32" t="s">
        <v>36</v>
      </c>
      <c r="W515" s="32" t="s">
        <v>37</v>
      </c>
      <c r="X515" s="32">
        <v>1</v>
      </c>
      <c r="Y515" s="143"/>
      <c r="Z515" s="143"/>
      <c r="AA515" s="145"/>
      <c r="AB515" s="145"/>
      <c r="AC515" s="141"/>
      <c r="AD515" s="141"/>
      <c r="AE515" s="141"/>
    </row>
    <row r="516" spans="1:337" ht="15" thickBot="1" x14ac:dyDescent="0.4">
      <c r="A516" s="45" t="s">
        <v>31</v>
      </c>
      <c r="B516" s="45" t="s">
        <v>38</v>
      </c>
      <c r="C516" s="46">
        <v>46273</v>
      </c>
      <c r="D516" s="47"/>
      <c r="E516" s="47"/>
      <c r="F516" s="47"/>
      <c r="G516" s="142"/>
      <c r="H516" s="142"/>
      <c r="I516" s="142"/>
      <c r="J516" s="142"/>
      <c r="K516" s="142"/>
      <c r="L516" s="47">
        <v>2</v>
      </c>
      <c r="M516" s="47"/>
      <c r="N516" s="47"/>
      <c r="O516" s="47"/>
      <c r="P516" s="47"/>
      <c r="Q516" s="47"/>
      <c r="R516" s="47"/>
      <c r="S516" s="47"/>
      <c r="T516" s="144"/>
      <c r="U516" s="144"/>
      <c r="V516" s="45"/>
      <c r="W516" s="45"/>
      <c r="X516" s="47"/>
      <c r="Y516" s="144"/>
      <c r="Z516" s="144"/>
      <c r="AA516" s="146"/>
      <c r="AB516" s="146"/>
      <c r="AC516" s="142"/>
      <c r="AD516" s="142"/>
      <c r="AE516" s="142"/>
    </row>
    <row r="517" spans="1:337" s="53" customFormat="1" ht="15" thickBot="1" x14ac:dyDescent="0.4">
      <c r="A517" s="49"/>
      <c r="B517" s="49"/>
      <c r="C517" s="50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49"/>
      <c r="U517" s="49"/>
      <c r="V517" s="49"/>
      <c r="W517" s="49"/>
      <c r="X517" s="51"/>
      <c r="Y517" s="49"/>
      <c r="Z517" s="49"/>
      <c r="AA517" s="52"/>
      <c r="AB517" s="52"/>
      <c r="AC517" s="51"/>
      <c r="AD517" s="51"/>
      <c r="AE517" s="51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/>
      <c r="KA517"/>
      <c r="KB517"/>
      <c r="KC517"/>
      <c r="KD517"/>
      <c r="KE517"/>
      <c r="KF517"/>
      <c r="KG517"/>
      <c r="KH517"/>
      <c r="KI517"/>
      <c r="KJ517"/>
      <c r="KK517"/>
      <c r="KL517"/>
      <c r="KM517"/>
      <c r="KN517"/>
      <c r="KO517"/>
      <c r="KP517"/>
      <c r="KQ517"/>
      <c r="KR517"/>
      <c r="KS517"/>
      <c r="KT517"/>
      <c r="KU517"/>
      <c r="KV517"/>
      <c r="KW517"/>
      <c r="KX517"/>
      <c r="KY517"/>
      <c r="KZ517"/>
      <c r="LA517"/>
      <c r="LB517"/>
      <c r="LC517"/>
      <c r="LD517"/>
      <c r="LE517"/>
      <c r="LF517"/>
      <c r="LG517"/>
      <c r="LH517"/>
      <c r="LI517"/>
      <c r="LJ517"/>
      <c r="LK517"/>
      <c r="LL517"/>
      <c r="LM517"/>
      <c r="LN517"/>
      <c r="LO517"/>
      <c r="LP517"/>
      <c r="LQ517"/>
      <c r="LR517"/>
      <c r="LS517"/>
      <c r="LT517"/>
      <c r="LU517"/>
      <c r="LV517"/>
      <c r="LW517"/>
      <c r="LX517"/>
      <c r="LY517"/>
    </row>
    <row r="518" spans="1:337" x14ac:dyDescent="0.35">
      <c r="A518" s="41" t="s">
        <v>31</v>
      </c>
      <c r="B518" s="41" t="s">
        <v>32</v>
      </c>
      <c r="C518" s="42">
        <v>46274</v>
      </c>
      <c r="D518" s="43">
        <v>0</v>
      </c>
      <c r="E518" s="43">
        <v>20</v>
      </c>
      <c r="F518" s="43">
        <v>20</v>
      </c>
      <c r="G518" s="43">
        <v>28</v>
      </c>
      <c r="H518" s="43">
        <v>40</v>
      </c>
      <c r="I518" s="43">
        <v>10</v>
      </c>
      <c r="J518" s="43">
        <v>21449</v>
      </c>
      <c r="K518" s="43">
        <f>SUM(L518:L520)</f>
        <v>6</v>
      </c>
      <c r="L518" s="43">
        <v>2</v>
      </c>
      <c r="M518" s="43"/>
      <c r="N518" s="43">
        <v>4</v>
      </c>
      <c r="O518" s="43">
        <v>3</v>
      </c>
      <c r="P518" s="43">
        <v>7</v>
      </c>
      <c r="Q518" s="43">
        <v>6</v>
      </c>
      <c r="R518" s="43">
        <v>9</v>
      </c>
      <c r="S518" s="43">
        <v>9</v>
      </c>
      <c r="T518" s="43">
        <v>25</v>
      </c>
      <c r="U518" s="43">
        <v>4</v>
      </c>
      <c r="V518" s="41" t="s">
        <v>33</v>
      </c>
      <c r="W518" s="41" t="s">
        <v>34</v>
      </c>
      <c r="X518" s="41">
        <v>1</v>
      </c>
      <c r="Y518" s="41">
        <v>3</v>
      </c>
      <c r="Z518" s="41">
        <v>322</v>
      </c>
      <c r="AA518" s="44">
        <v>34</v>
      </c>
      <c r="AB518" s="44">
        <v>34</v>
      </c>
      <c r="AC518" s="43">
        <v>45</v>
      </c>
      <c r="AD518" s="43">
        <v>30</v>
      </c>
      <c r="AE518" s="43">
        <v>45</v>
      </c>
    </row>
    <row r="519" spans="1:337" x14ac:dyDescent="0.35">
      <c r="A519" s="32" t="s">
        <v>31</v>
      </c>
      <c r="B519" s="32" t="s">
        <v>35</v>
      </c>
      <c r="C519" s="33">
        <v>46274</v>
      </c>
      <c r="D519" s="34">
        <v>13</v>
      </c>
      <c r="E519" s="34">
        <v>24</v>
      </c>
      <c r="F519" s="34">
        <v>25</v>
      </c>
      <c r="G519" s="141"/>
      <c r="H519" s="141"/>
      <c r="I519" s="141"/>
      <c r="J519" s="141"/>
      <c r="K519" s="141"/>
      <c r="L519" s="34">
        <v>2</v>
      </c>
      <c r="M519" s="34">
        <v>5</v>
      </c>
      <c r="N519" s="34">
        <v>4</v>
      </c>
      <c r="O519" s="34">
        <v>4</v>
      </c>
      <c r="P519" s="32">
        <v>7</v>
      </c>
      <c r="Q519" s="32">
        <v>7</v>
      </c>
      <c r="R519" s="32">
        <v>8</v>
      </c>
      <c r="S519" s="32">
        <v>6</v>
      </c>
      <c r="T519" s="143"/>
      <c r="U519" s="143"/>
      <c r="V519" s="32" t="s">
        <v>36</v>
      </c>
      <c r="W519" s="32" t="s">
        <v>37</v>
      </c>
      <c r="X519" s="32">
        <v>1</v>
      </c>
      <c r="Y519" s="143"/>
      <c r="Z519" s="143"/>
      <c r="AA519" s="145"/>
      <c r="AB519" s="145"/>
      <c r="AC519" s="141"/>
      <c r="AD519" s="141"/>
      <c r="AE519" s="141"/>
    </row>
    <row r="520" spans="1:337" ht="15" thickBot="1" x14ac:dyDescent="0.4">
      <c r="A520" s="45" t="s">
        <v>31</v>
      </c>
      <c r="B520" s="45" t="s">
        <v>38</v>
      </c>
      <c r="C520" s="46">
        <v>46274</v>
      </c>
      <c r="D520" s="47"/>
      <c r="E520" s="47"/>
      <c r="F520" s="47"/>
      <c r="G520" s="142"/>
      <c r="H520" s="142"/>
      <c r="I520" s="142"/>
      <c r="J520" s="142"/>
      <c r="K520" s="142"/>
      <c r="L520" s="47">
        <v>2</v>
      </c>
      <c r="M520" s="47"/>
      <c r="N520" s="47"/>
      <c r="O520" s="47"/>
      <c r="P520" s="47"/>
      <c r="Q520" s="47"/>
      <c r="R520" s="47"/>
      <c r="S520" s="47"/>
      <c r="T520" s="144"/>
      <c r="U520" s="144"/>
      <c r="V520" s="45"/>
      <c r="W520" s="45"/>
      <c r="X520" s="47"/>
      <c r="Y520" s="144"/>
      <c r="Z520" s="144"/>
      <c r="AA520" s="146"/>
      <c r="AB520" s="146"/>
      <c r="AC520" s="142"/>
      <c r="AD520" s="142"/>
      <c r="AE520" s="142"/>
    </row>
    <row r="521" spans="1:337" s="53" customFormat="1" ht="15" thickBot="1" x14ac:dyDescent="0.4">
      <c r="A521" s="49"/>
      <c r="B521" s="49"/>
      <c r="C521" s="50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49"/>
      <c r="U521" s="49"/>
      <c r="V521" s="49"/>
      <c r="W521" s="49"/>
      <c r="X521" s="51"/>
      <c r="Y521" s="49"/>
      <c r="Z521" s="49"/>
      <c r="AA521" s="52"/>
      <c r="AB521" s="52"/>
      <c r="AC521" s="51"/>
      <c r="AD521" s="51"/>
      <c r="AE521" s="5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/>
      <c r="FH521"/>
      <c r="FI521"/>
      <c r="FJ521"/>
      <c r="FK521"/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/>
      <c r="JJ521"/>
      <c r="JK521"/>
      <c r="JL521"/>
      <c r="JM521"/>
      <c r="JN521"/>
      <c r="JO521"/>
      <c r="JP521"/>
      <c r="JQ521"/>
      <c r="JR521"/>
      <c r="JS521"/>
      <c r="JT521"/>
      <c r="JU521"/>
      <c r="JV521"/>
      <c r="JW521"/>
      <c r="JX521"/>
      <c r="JY521"/>
      <c r="JZ521"/>
      <c r="KA521"/>
      <c r="KB521"/>
      <c r="KC521"/>
      <c r="KD521"/>
      <c r="KE521"/>
      <c r="KF521"/>
      <c r="KG521"/>
      <c r="KH521"/>
      <c r="KI521"/>
      <c r="KJ521"/>
      <c r="KK521"/>
      <c r="KL521"/>
      <c r="KM521"/>
      <c r="KN521"/>
      <c r="KO521"/>
      <c r="KP521"/>
      <c r="KQ521"/>
      <c r="KR521"/>
      <c r="KS521"/>
      <c r="KT521"/>
      <c r="KU521"/>
      <c r="KV521"/>
      <c r="KW521"/>
      <c r="KX521"/>
      <c r="KY521"/>
      <c r="KZ521"/>
      <c r="LA521"/>
      <c r="LB521"/>
      <c r="LC521"/>
      <c r="LD521"/>
      <c r="LE521"/>
      <c r="LF521"/>
      <c r="LG521"/>
      <c r="LH521"/>
      <c r="LI521"/>
      <c r="LJ521"/>
      <c r="LK521"/>
      <c r="LL521"/>
      <c r="LM521"/>
      <c r="LN521"/>
      <c r="LO521"/>
      <c r="LP521"/>
      <c r="LQ521"/>
      <c r="LR521"/>
      <c r="LS521"/>
      <c r="LT521"/>
      <c r="LU521"/>
      <c r="LV521"/>
      <c r="LW521"/>
      <c r="LX521"/>
      <c r="LY521"/>
    </row>
    <row r="522" spans="1:337" x14ac:dyDescent="0.35">
      <c r="A522" s="41" t="s">
        <v>31</v>
      </c>
      <c r="B522" s="41" t="s">
        <v>32</v>
      </c>
      <c r="C522" s="42">
        <v>46275</v>
      </c>
      <c r="D522" s="43">
        <v>0</v>
      </c>
      <c r="E522" s="43">
        <v>20</v>
      </c>
      <c r="F522" s="43">
        <v>20</v>
      </c>
      <c r="G522" s="43">
        <v>28</v>
      </c>
      <c r="H522" s="43">
        <v>40</v>
      </c>
      <c r="I522" s="43">
        <v>10</v>
      </c>
      <c r="J522" s="43">
        <v>21449</v>
      </c>
      <c r="K522" s="43">
        <f>SUM(L522:L524)</f>
        <v>6</v>
      </c>
      <c r="L522" s="43">
        <v>2</v>
      </c>
      <c r="M522" s="43"/>
      <c r="N522" s="43">
        <v>4</v>
      </c>
      <c r="O522" s="43">
        <v>3</v>
      </c>
      <c r="P522" s="43">
        <v>7</v>
      </c>
      <c r="Q522" s="43">
        <v>6</v>
      </c>
      <c r="R522" s="43">
        <v>9</v>
      </c>
      <c r="S522" s="43">
        <v>9</v>
      </c>
      <c r="T522" s="43">
        <v>25</v>
      </c>
      <c r="U522" s="43">
        <v>4</v>
      </c>
      <c r="V522" s="41" t="s">
        <v>33</v>
      </c>
      <c r="W522" s="41" t="s">
        <v>34</v>
      </c>
      <c r="X522" s="41">
        <v>1</v>
      </c>
      <c r="Y522" s="41">
        <v>3</v>
      </c>
      <c r="Z522" s="41">
        <v>322</v>
      </c>
      <c r="AA522" s="44">
        <v>34</v>
      </c>
      <c r="AB522" s="44">
        <v>34</v>
      </c>
      <c r="AC522" s="43">
        <v>45</v>
      </c>
      <c r="AD522" s="43">
        <v>30</v>
      </c>
      <c r="AE522" s="43">
        <v>45</v>
      </c>
    </row>
    <row r="523" spans="1:337" x14ac:dyDescent="0.35">
      <c r="A523" s="32" t="s">
        <v>31</v>
      </c>
      <c r="B523" s="32" t="s">
        <v>35</v>
      </c>
      <c r="C523" s="33">
        <v>46275</v>
      </c>
      <c r="D523" s="34">
        <v>13</v>
      </c>
      <c r="E523" s="34">
        <v>24</v>
      </c>
      <c r="F523" s="34">
        <v>25</v>
      </c>
      <c r="G523" s="141"/>
      <c r="H523" s="141"/>
      <c r="I523" s="141"/>
      <c r="J523" s="141"/>
      <c r="K523" s="141"/>
      <c r="L523" s="34">
        <v>2</v>
      </c>
      <c r="M523" s="34">
        <v>5</v>
      </c>
      <c r="N523" s="34">
        <v>4</v>
      </c>
      <c r="O523" s="34">
        <v>4</v>
      </c>
      <c r="P523" s="32">
        <v>7</v>
      </c>
      <c r="Q523" s="32">
        <v>7</v>
      </c>
      <c r="R523" s="32">
        <v>8</v>
      </c>
      <c r="S523" s="32">
        <v>6</v>
      </c>
      <c r="T523" s="143"/>
      <c r="U523" s="143"/>
      <c r="V523" s="32" t="s">
        <v>36</v>
      </c>
      <c r="W523" s="32" t="s">
        <v>37</v>
      </c>
      <c r="X523" s="32">
        <v>1</v>
      </c>
      <c r="Y523" s="143"/>
      <c r="Z523" s="143"/>
      <c r="AA523" s="145"/>
      <c r="AB523" s="145"/>
      <c r="AC523" s="141"/>
      <c r="AD523" s="141"/>
      <c r="AE523" s="141"/>
    </row>
    <row r="524" spans="1:337" ht="15" thickBot="1" x14ac:dyDescent="0.4">
      <c r="A524" s="45" t="s">
        <v>31</v>
      </c>
      <c r="B524" s="45" t="s">
        <v>38</v>
      </c>
      <c r="C524" s="46">
        <v>46275</v>
      </c>
      <c r="D524" s="47"/>
      <c r="E524" s="47"/>
      <c r="F524" s="47"/>
      <c r="G524" s="142"/>
      <c r="H524" s="142"/>
      <c r="I524" s="142"/>
      <c r="J524" s="142"/>
      <c r="K524" s="142"/>
      <c r="L524" s="47">
        <v>2</v>
      </c>
      <c r="M524" s="47"/>
      <c r="N524" s="47"/>
      <c r="O524" s="47"/>
      <c r="P524" s="47"/>
      <c r="Q524" s="47"/>
      <c r="R524" s="47"/>
      <c r="S524" s="47"/>
      <c r="T524" s="144"/>
      <c r="U524" s="144"/>
      <c r="V524" s="45"/>
      <c r="W524" s="45"/>
      <c r="X524" s="47"/>
      <c r="Y524" s="144"/>
      <c r="Z524" s="144"/>
      <c r="AA524" s="146"/>
      <c r="AB524" s="146"/>
      <c r="AC524" s="142"/>
      <c r="AD524" s="142"/>
      <c r="AE524" s="142"/>
    </row>
    <row r="525" spans="1:337" s="53" customFormat="1" ht="15" thickBot="1" x14ac:dyDescent="0.4">
      <c r="A525" s="49"/>
      <c r="B525" s="49"/>
      <c r="C525" s="50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49"/>
      <c r="U525" s="49"/>
      <c r="V525" s="49"/>
      <c r="W525" s="49"/>
      <c r="X525" s="51"/>
      <c r="Y525" s="49"/>
      <c r="Z525" s="49"/>
      <c r="AA525" s="52"/>
      <c r="AB525" s="52"/>
      <c r="AC525" s="51"/>
      <c r="AD525" s="51"/>
      <c r="AE525" s="51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  <c r="FH525"/>
      <c r="FI525"/>
      <c r="FJ525"/>
      <c r="FK525"/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/>
      <c r="JJ525"/>
      <c r="JK525"/>
      <c r="JL525"/>
      <c r="JM525"/>
      <c r="JN525"/>
      <c r="JO525"/>
      <c r="JP525"/>
      <c r="JQ525"/>
      <c r="JR525"/>
      <c r="JS525"/>
      <c r="JT525"/>
      <c r="JU525"/>
      <c r="JV525"/>
      <c r="JW525"/>
      <c r="JX525"/>
      <c r="JY525"/>
      <c r="JZ525"/>
      <c r="KA525"/>
      <c r="KB525"/>
      <c r="KC525"/>
      <c r="KD525"/>
      <c r="KE525"/>
      <c r="KF525"/>
      <c r="KG525"/>
      <c r="KH525"/>
      <c r="KI525"/>
      <c r="KJ525"/>
      <c r="KK525"/>
      <c r="KL525"/>
      <c r="KM525"/>
      <c r="KN525"/>
      <c r="KO525"/>
      <c r="KP525"/>
      <c r="KQ525"/>
      <c r="KR525"/>
      <c r="KS525"/>
      <c r="KT525"/>
      <c r="KU525"/>
      <c r="KV525"/>
      <c r="KW525"/>
      <c r="KX525"/>
      <c r="KY525"/>
      <c r="KZ525"/>
      <c r="LA525"/>
      <c r="LB525"/>
      <c r="LC525"/>
      <c r="LD525"/>
      <c r="LE525"/>
      <c r="LF525"/>
      <c r="LG525"/>
      <c r="LH525"/>
      <c r="LI525"/>
      <c r="LJ525"/>
      <c r="LK525"/>
      <c r="LL525"/>
      <c r="LM525"/>
      <c r="LN525"/>
      <c r="LO525"/>
      <c r="LP525"/>
      <c r="LQ525"/>
      <c r="LR525"/>
      <c r="LS525"/>
      <c r="LT525"/>
      <c r="LU525"/>
      <c r="LV525"/>
      <c r="LW525"/>
      <c r="LX525"/>
      <c r="LY525"/>
    </row>
    <row r="526" spans="1:337" x14ac:dyDescent="0.35">
      <c r="A526" s="41" t="s">
        <v>31</v>
      </c>
      <c r="B526" s="41" t="s">
        <v>32</v>
      </c>
      <c r="C526" s="42">
        <v>46279</v>
      </c>
      <c r="D526" s="43">
        <v>0</v>
      </c>
      <c r="E526" s="43">
        <v>20</v>
      </c>
      <c r="F526" s="43">
        <v>20</v>
      </c>
      <c r="G526" s="43">
        <v>28</v>
      </c>
      <c r="H526" s="43">
        <v>40</v>
      </c>
      <c r="I526" s="43">
        <v>10</v>
      </c>
      <c r="J526" s="43">
        <v>21449</v>
      </c>
      <c r="K526" s="43">
        <f>SUM(L526:L528)</f>
        <v>6</v>
      </c>
      <c r="L526" s="43">
        <v>2</v>
      </c>
      <c r="M526" s="43"/>
      <c r="N526" s="43">
        <v>4</v>
      </c>
      <c r="O526" s="43">
        <v>3</v>
      </c>
      <c r="P526" s="43">
        <v>7</v>
      </c>
      <c r="Q526" s="43">
        <v>6</v>
      </c>
      <c r="R526" s="43">
        <v>9</v>
      </c>
      <c r="S526" s="43">
        <v>9</v>
      </c>
      <c r="T526" s="43">
        <v>25</v>
      </c>
      <c r="U526" s="43">
        <v>4</v>
      </c>
      <c r="V526" s="41" t="s">
        <v>33</v>
      </c>
      <c r="W526" s="41" t="s">
        <v>34</v>
      </c>
      <c r="X526" s="41">
        <v>1</v>
      </c>
      <c r="Y526" s="41">
        <v>3</v>
      </c>
      <c r="Z526" s="41">
        <v>322</v>
      </c>
      <c r="AA526" s="44">
        <v>34</v>
      </c>
      <c r="AB526" s="44">
        <v>34</v>
      </c>
      <c r="AC526" s="43">
        <v>45</v>
      </c>
      <c r="AD526" s="43">
        <v>30</v>
      </c>
      <c r="AE526" s="43">
        <v>45</v>
      </c>
    </row>
    <row r="527" spans="1:337" x14ac:dyDescent="0.35">
      <c r="A527" s="32" t="s">
        <v>31</v>
      </c>
      <c r="B527" s="32" t="s">
        <v>35</v>
      </c>
      <c r="C527" s="33">
        <v>46279</v>
      </c>
      <c r="D527" s="34">
        <v>13</v>
      </c>
      <c r="E527" s="34">
        <v>24</v>
      </c>
      <c r="F527" s="34">
        <v>25</v>
      </c>
      <c r="G527" s="141"/>
      <c r="H527" s="141"/>
      <c r="I527" s="141"/>
      <c r="J527" s="141"/>
      <c r="K527" s="141"/>
      <c r="L527" s="34">
        <v>2</v>
      </c>
      <c r="M527" s="34">
        <v>5</v>
      </c>
      <c r="N527" s="34">
        <v>4</v>
      </c>
      <c r="O527" s="34">
        <v>4</v>
      </c>
      <c r="P527" s="32">
        <v>7</v>
      </c>
      <c r="Q527" s="32">
        <v>7</v>
      </c>
      <c r="R527" s="32">
        <v>8</v>
      </c>
      <c r="S527" s="32">
        <v>6</v>
      </c>
      <c r="T527" s="143"/>
      <c r="U527" s="143"/>
      <c r="V527" s="32" t="s">
        <v>36</v>
      </c>
      <c r="W527" s="32" t="s">
        <v>37</v>
      </c>
      <c r="X527" s="32">
        <v>1</v>
      </c>
      <c r="Y527" s="143"/>
      <c r="Z527" s="143"/>
      <c r="AA527" s="145"/>
      <c r="AB527" s="145"/>
      <c r="AC527" s="141"/>
      <c r="AD527" s="141"/>
      <c r="AE527" s="141"/>
    </row>
    <row r="528" spans="1:337" ht="15" thickBot="1" x14ac:dyDescent="0.4">
      <c r="A528" s="45" t="s">
        <v>31</v>
      </c>
      <c r="B528" s="45" t="s">
        <v>38</v>
      </c>
      <c r="C528" s="46">
        <v>46279</v>
      </c>
      <c r="D528" s="47"/>
      <c r="E528" s="47"/>
      <c r="F528" s="47"/>
      <c r="G528" s="142"/>
      <c r="H528" s="142"/>
      <c r="I528" s="142"/>
      <c r="J528" s="142"/>
      <c r="K528" s="142"/>
      <c r="L528" s="47">
        <v>2</v>
      </c>
      <c r="M528" s="47"/>
      <c r="N528" s="47"/>
      <c r="O528" s="47"/>
      <c r="P528" s="47"/>
      <c r="Q528" s="47"/>
      <c r="R528" s="47"/>
      <c r="S528" s="47"/>
      <c r="T528" s="144"/>
      <c r="U528" s="144"/>
      <c r="V528" s="45"/>
      <c r="W528" s="45"/>
      <c r="X528" s="47"/>
      <c r="Y528" s="144"/>
      <c r="Z528" s="144"/>
      <c r="AA528" s="146"/>
      <c r="AB528" s="146"/>
      <c r="AC528" s="142"/>
      <c r="AD528" s="142"/>
      <c r="AE528" s="142"/>
    </row>
    <row r="529" spans="1:337" s="53" customFormat="1" ht="15" thickBot="1" x14ac:dyDescent="0.4">
      <c r="A529" s="49"/>
      <c r="B529" s="49"/>
      <c r="C529" s="50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49"/>
      <c r="U529" s="49"/>
      <c r="V529" s="49"/>
      <c r="W529" s="49"/>
      <c r="X529" s="51"/>
      <c r="Y529" s="49"/>
      <c r="Z529" s="49"/>
      <c r="AA529" s="52"/>
      <c r="AB529" s="52"/>
      <c r="AC529" s="51"/>
      <c r="AD529" s="51"/>
      <c r="AE529" s="51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/>
      <c r="FH529"/>
      <c r="FI529"/>
      <c r="FJ529"/>
      <c r="FK529"/>
      <c r="FL529"/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/>
      <c r="KA529"/>
      <c r="KB529"/>
      <c r="KC529"/>
      <c r="KD529"/>
      <c r="KE529"/>
      <c r="KF529"/>
      <c r="KG529"/>
      <c r="KH529"/>
      <c r="KI529"/>
      <c r="KJ529"/>
      <c r="KK529"/>
      <c r="KL529"/>
      <c r="KM529"/>
      <c r="KN529"/>
      <c r="KO529"/>
      <c r="KP529"/>
      <c r="KQ529"/>
      <c r="KR529"/>
      <c r="KS529"/>
      <c r="KT529"/>
      <c r="KU529"/>
      <c r="KV529"/>
      <c r="KW529"/>
      <c r="KX529"/>
      <c r="KY529"/>
      <c r="KZ529"/>
      <c r="LA529"/>
      <c r="LB529"/>
      <c r="LC529"/>
      <c r="LD529"/>
      <c r="LE529"/>
      <c r="LF529"/>
      <c r="LG529"/>
      <c r="LH529"/>
      <c r="LI529"/>
      <c r="LJ529"/>
      <c r="LK529"/>
      <c r="LL529"/>
      <c r="LM529"/>
      <c r="LN529"/>
      <c r="LO529"/>
      <c r="LP529"/>
      <c r="LQ529"/>
      <c r="LR529"/>
      <c r="LS529"/>
      <c r="LT529"/>
      <c r="LU529"/>
      <c r="LV529"/>
      <c r="LW529"/>
      <c r="LX529"/>
      <c r="LY529"/>
    </row>
    <row r="530" spans="1:337" x14ac:dyDescent="0.35">
      <c r="A530" s="41" t="s">
        <v>31</v>
      </c>
      <c r="B530" s="41" t="s">
        <v>32</v>
      </c>
      <c r="C530" s="42">
        <v>46280</v>
      </c>
      <c r="D530" s="43">
        <v>0</v>
      </c>
      <c r="E530" s="43">
        <v>20</v>
      </c>
      <c r="F530" s="43">
        <v>20</v>
      </c>
      <c r="G530" s="43">
        <v>28</v>
      </c>
      <c r="H530" s="43">
        <v>40</v>
      </c>
      <c r="I530" s="43">
        <v>10</v>
      </c>
      <c r="J530" s="43">
        <v>21449</v>
      </c>
      <c r="K530" s="43">
        <f>SUM(L530:L532)</f>
        <v>6</v>
      </c>
      <c r="L530" s="43">
        <v>2</v>
      </c>
      <c r="M530" s="43"/>
      <c r="N530" s="43">
        <v>4</v>
      </c>
      <c r="O530" s="43">
        <v>3</v>
      </c>
      <c r="P530" s="43">
        <v>7</v>
      </c>
      <c r="Q530" s="43">
        <v>6</v>
      </c>
      <c r="R530" s="43">
        <v>9</v>
      </c>
      <c r="S530" s="43">
        <v>9</v>
      </c>
      <c r="T530" s="43">
        <v>20</v>
      </c>
      <c r="U530" s="43">
        <v>3</v>
      </c>
      <c r="V530" s="41" t="s">
        <v>33</v>
      </c>
      <c r="W530" s="41" t="s">
        <v>34</v>
      </c>
      <c r="X530" s="41">
        <v>1</v>
      </c>
      <c r="Y530" s="41">
        <v>3</v>
      </c>
      <c r="Z530" s="41">
        <v>322</v>
      </c>
      <c r="AA530" s="44">
        <v>34</v>
      </c>
      <c r="AB530" s="44">
        <v>34</v>
      </c>
      <c r="AC530" s="43">
        <v>45</v>
      </c>
      <c r="AD530" s="43">
        <v>30</v>
      </c>
      <c r="AE530" s="43">
        <v>45</v>
      </c>
    </row>
    <row r="531" spans="1:337" x14ac:dyDescent="0.35">
      <c r="A531" s="32" t="s">
        <v>31</v>
      </c>
      <c r="B531" s="32" t="s">
        <v>35</v>
      </c>
      <c r="C531" s="33">
        <v>46280</v>
      </c>
      <c r="D531" s="34">
        <v>13</v>
      </c>
      <c r="E531" s="34">
        <v>24</v>
      </c>
      <c r="F531" s="34">
        <v>25</v>
      </c>
      <c r="G531" s="141"/>
      <c r="H531" s="141"/>
      <c r="I531" s="141"/>
      <c r="J531" s="141"/>
      <c r="K531" s="141"/>
      <c r="L531" s="34">
        <v>2</v>
      </c>
      <c r="M531" s="34">
        <v>5</v>
      </c>
      <c r="N531" s="34">
        <v>4</v>
      </c>
      <c r="O531" s="34">
        <v>4</v>
      </c>
      <c r="P531" s="32">
        <v>7</v>
      </c>
      <c r="Q531" s="32">
        <v>7</v>
      </c>
      <c r="R531" s="32">
        <v>8</v>
      </c>
      <c r="S531" s="32">
        <v>6</v>
      </c>
      <c r="T531" s="143"/>
      <c r="U531" s="143"/>
      <c r="V531" s="32" t="s">
        <v>36</v>
      </c>
      <c r="W531" s="32" t="s">
        <v>37</v>
      </c>
      <c r="X531" s="32">
        <v>1</v>
      </c>
      <c r="Y531" s="143"/>
      <c r="Z531" s="143"/>
      <c r="AA531" s="145"/>
      <c r="AB531" s="145"/>
      <c r="AC531" s="141"/>
      <c r="AD531" s="141"/>
      <c r="AE531" s="141"/>
    </row>
    <row r="532" spans="1:337" ht="15" thickBot="1" x14ac:dyDescent="0.4">
      <c r="A532" s="45" t="s">
        <v>31</v>
      </c>
      <c r="B532" s="45" t="s">
        <v>38</v>
      </c>
      <c r="C532" s="46">
        <v>46280</v>
      </c>
      <c r="D532" s="47"/>
      <c r="E532" s="47"/>
      <c r="F532" s="47"/>
      <c r="G532" s="142"/>
      <c r="H532" s="142"/>
      <c r="I532" s="142"/>
      <c r="J532" s="142"/>
      <c r="K532" s="142"/>
      <c r="L532" s="47">
        <v>2</v>
      </c>
      <c r="M532" s="47"/>
      <c r="N532" s="47"/>
      <c r="O532" s="47"/>
      <c r="P532" s="47"/>
      <c r="Q532" s="47"/>
      <c r="R532" s="47"/>
      <c r="S532" s="47"/>
      <c r="T532" s="144"/>
      <c r="U532" s="144"/>
      <c r="V532" s="45"/>
      <c r="W532" s="45"/>
      <c r="X532" s="47"/>
      <c r="Y532" s="144"/>
      <c r="Z532" s="144"/>
      <c r="AA532" s="146"/>
      <c r="AB532" s="146"/>
      <c r="AC532" s="142"/>
      <c r="AD532" s="142"/>
      <c r="AE532" s="142"/>
    </row>
    <row r="533" spans="1:337" s="53" customFormat="1" ht="15" thickBot="1" x14ac:dyDescent="0.4">
      <c r="A533" s="49"/>
      <c r="B533" s="49"/>
      <c r="C533" s="50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49"/>
      <c r="U533" s="49"/>
      <c r="V533" s="49"/>
      <c r="W533" s="49"/>
      <c r="X533" s="51"/>
      <c r="Y533" s="49"/>
      <c r="Z533" s="49"/>
      <c r="AA533" s="52"/>
      <c r="AB533" s="52"/>
      <c r="AC533" s="51"/>
      <c r="AD533" s="51"/>
      <c r="AE533" s="51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/>
      <c r="FK533"/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/>
      <c r="JV533"/>
      <c r="JW533"/>
      <c r="JX533"/>
      <c r="JY533"/>
      <c r="JZ533"/>
      <c r="KA533"/>
      <c r="KB533"/>
      <c r="KC533"/>
      <c r="KD533"/>
      <c r="KE533"/>
      <c r="KF533"/>
      <c r="KG533"/>
      <c r="KH533"/>
      <c r="KI533"/>
      <c r="KJ533"/>
      <c r="KK533"/>
      <c r="KL533"/>
      <c r="KM533"/>
      <c r="KN533"/>
      <c r="KO533"/>
      <c r="KP533"/>
      <c r="KQ533"/>
      <c r="KR533"/>
      <c r="KS533"/>
      <c r="KT533"/>
      <c r="KU533"/>
      <c r="KV533"/>
      <c r="KW533"/>
      <c r="KX533"/>
      <c r="KY533"/>
      <c r="KZ533"/>
      <c r="LA533"/>
      <c r="LB533"/>
      <c r="LC533"/>
      <c r="LD533"/>
      <c r="LE533"/>
      <c r="LF533"/>
      <c r="LG533"/>
      <c r="LH533"/>
      <c r="LI533"/>
      <c r="LJ533"/>
      <c r="LK533"/>
      <c r="LL533"/>
      <c r="LM533"/>
      <c r="LN533"/>
      <c r="LO533"/>
      <c r="LP533"/>
      <c r="LQ533"/>
      <c r="LR533"/>
      <c r="LS533"/>
      <c r="LT533"/>
      <c r="LU533"/>
      <c r="LV533"/>
      <c r="LW533"/>
      <c r="LX533"/>
      <c r="LY533"/>
    </row>
    <row r="534" spans="1:337" x14ac:dyDescent="0.35">
      <c r="A534" s="41" t="s">
        <v>31</v>
      </c>
      <c r="B534" s="41" t="s">
        <v>32</v>
      </c>
      <c r="C534" s="42">
        <v>46281</v>
      </c>
      <c r="D534" s="43">
        <v>0</v>
      </c>
      <c r="E534" s="43">
        <v>20</v>
      </c>
      <c r="F534" s="43">
        <v>20</v>
      </c>
      <c r="G534" s="43">
        <v>28</v>
      </c>
      <c r="H534" s="43">
        <v>40</v>
      </c>
      <c r="I534" s="43">
        <v>10</v>
      </c>
      <c r="J534" s="43">
        <v>21449</v>
      </c>
      <c r="K534" s="43">
        <f>SUM(L534:L536)</f>
        <v>6</v>
      </c>
      <c r="L534" s="43">
        <v>2</v>
      </c>
      <c r="M534" s="43"/>
      <c r="N534" s="43">
        <v>4</v>
      </c>
      <c r="O534" s="43">
        <v>3</v>
      </c>
      <c r="P534" s="43">
        <v>7</v>
      </c>
      <c r="Q534" s="43">
        <v>6</v>
      </c>
      <c r="R534" s="43">
        <v>9</v>
      </c>
      <c r="S534" s="43">
        <v>9</v>
      </c>
      <c r="T534" s="43">
        <v>25</v>
      </c>
      <c r="U534" s="43">
        <v>4</v>
      </c>
      <c r="V534" s="41" t="s">
        <v>33</v>
      </c>
      <c r="W534" s="41" t="s">
        <v>34</v>
      </c>
      <c r="X534" s="41">
        <v>1</v>
      </c>
      <c r="Y534" s="41">
        <v>3</v>
      </c>
      <c r="Z534" s="41">
        <v>322</v>
      </c>
      <c r="AA534" s="44">
        <v>34</v>
      </c>
      <c r="AB534" s="44">
        <v>34</v>
      </c>
      <c r="AC534" s="43">
        <v>45</v>
      </c>
      <c r="AD534" s="43">
        <v>30</v>
      </c>
      <c r="AE534" s="43">
        <v>45</v>
      </c>
    </row>
    <row r="535" spans="1:337" x14ac:dyDescent="0.35">
      <c r="A535" s="32" t="s">
        <v>31</v>
      </c>
      <c r="B535" s="32" t="s">
        <v>35</v>
      </c>
      <c r="C535" s="33">
        <v>46281</v>
      </c>
      <c r="D535" s="34">
        <v>13</v>
      </c>
      <c r="E535" s="34">
        <v>24</v>
      </c>
      <c r="F535" s="34">
        <v>25</v>
      </c>
      <c r="G535" s="141"/>
      <c r="H535" s="141"/>
      <c r="I535" s="141"/>
      <c r="J535" s="141"/>
      <c r="K535" s="141"/>
      <c r="L535" s="34">
        <v>2</v>
      </c>
      <c r="M535" s="34">
        <v>5</v>
      </c>
      <c r="N535" s="34">
        <v>4</v>
      </c>
      <c r="O535" s="34">
        <v>4</v>
      </c>
      <c r="P535" s="32">
        <v>7</v>
      </c>
      <c r="Q535" s="32">
        <v>7</v>
      </c>
      <c r="R535" s="32">
        <v>8</v>
      </c>
      <c r="S535" s="32">
        <v>6</v>
      </c>
      <c r="T535" s="143"/>
      <c r="U535" s="143"/>
      <c r="V535" s="32" t="s">
        <v>36</v>
      </c>
      <c r="W535" s="32" t="s">
        <v>37</v>
      </c>
      <c r="X535" s="32">
        <v>1</v>
      </c>
      <c r="Y535" s="143"/>
      <c r="Z535" s="143"/>
      <c r="AA535" s="145"/>
      <c r="AB535" s="145"/>
      <c r="AC535" s="141"/>
      <c r="AD535" s="141"/>
      <c r="AE535" s="141"/>
    </row>
    <row r="536" spans="1:337" ht="15" thickBot="1" x14ac:dyDescent="0.4">
      <c r="A536" s="45" t="s">
        <v>31</v>
      </c>
      <c r="B536" s="45" t="s">
        <v>38</v>
      </c>
      <c r="C536" s="46">
        <v>46281</v>
      </c>
      <c r="D536" s="47"/>
      <c r="E536" s="47"/>
      <c r="F536" s="47"/>
      <c r="G536" s="142"/>
      <c r="H536" s="142"/>
      <c r="I536" s="142"/>
      <c r="J536" s="142"/>
      <c r="K536" s="142"/>
      <c r="L536" s="47">
        <v>2</v>
      </c>
      <c r="M536" s="47"/>
      <c r="N536" s="47"/>
      <c r="O536" s="47"/>
      <c r="P536" s="47"/>
      <c r="Q536" s="47"/>
      <c r="R536" s="47"/>
      <c r="S536" s="47"/>
      <c r="T536" s="144"/>
      <c r="U536" s="144"/>
      <c r="V536" s="45"/>
      <c r="W536" s="45"/>
      <c r="X536" s="47"/>
      <c r="Y536" s="144"/>
      <c r="Z536" s="144"/>
      <c r="AA536" s="146"/>
      <c r="AB536" s="146"/>
      <c r="AC536" s="142"/>
      <c r="AD536" s="142"/>
      <c r="AE536" s="142"/>
    </row>
    <row r="537" spans="1:337" s="53" customFormat="1" ht="15" thickBot="1" x14ac:dyDescent="0.4">
      <c r="A537" s="49"/>
      <c r="B537" s="49"/>
      <c r="C537" s="50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49"/>
      <c r="U537" s="49"/>
      <c r="V537" s="49"/>
      <c r="W537" s="49"/>
      <c r="X537" s="51"/>
      <c r="Y537" s="49"/>
      <c r="Z537" s="49"/>
      <c r="AA537" s="52"/>
      <c r="AB537" s="52"/>
      <c r="AC537" s="51"/>
      <c r="AD537" s="51"/>
      <c r="AE537" s="51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/>
      <c r="FH537"/>
      <c r="FI537"/>
      <c r="FJ537"/>
      <c r="FK537"/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/>
      <c r="KA537"/>
      <c r="KB537"/>
      <c r="KC537"/>
      <c r="KD537"/>
      <c r="KE537"/>
      <c r="KF537"/>
      <c r="KG537"/>
      <c r="KH537"/>
      <c r="KI537"/>
      <c r="KJ537"/>
      <c r="KK537"/>
      <c r="KL537"/>
      <c r="KM537"/>
      <c r="KN537"/>
      <c r="KO537"/>
      <c r="KP537"/>
      <c r="KQ537"/>
      <c r="KR537"/>
      <c r="KS537"/>
      <c r="KT537"/>
      <c r="KU537"/>
      <c r="KV537"/>
      <c r="KW537"/>
      <c r="KX537"/>
      <c r="KY537"/>
      <c r="KZ537"/>
      <c r="LA537"/>
      <c r="LB537"/>
      <c r="LC537"/>
      <c r="LD537"/>
      <c r="LE537"/>
      <c r="LF537"/>
      <c r="LG537"/>
      <c r="LH537"/>
      <c r="LI537"/>
      <c r="LJ537"/>
      <c r="LK537"/>
      <c r="LL537"/>
      <c r="LM537"/>
      <c r="LN537"/>
      <c r="LO537"/>
      <c r="LP537"/>
      <c r="LQ537"/>
      <c r="LR537"/>
      <c r="LS537"/>
      <c r="LT537"/>
      <c r="LU537"/>
      <c r="LV537"/>
      <c r="LW537"/>
      <c r="LX537"/>
      <c r="LY537"/>
    </row>
    <row r="538" spans="1:337" x14ac:dyDescent="0.35">
      <c r="A538" s="41" t="s">
        <v>31</v>
      </c>
      <c r="B538" s="41" t="s">
        <v>32</v>
      </c>
      <c r="C538" s="42">
        <v>46282</v>
      </c>
      <c r="D538" s="43">
        <v>0</v>
      </c>
      <c r="E538" s="43">
        <v>20</v>
      </c>
      <c r="F538" s="43">
        <v>20</v>
      </c>
      <c r="G538" s="43">
        <v>28</v>
      </c>
      <c r="H538" s="43">
        <v>40</v>
      </c>
      <c r="I538" s="43">
        <v>10</v>
      </c>
      <c r="J538" s="43">
        <v>21449</v>
      </c>
      <c r="K538" s="43">
        <f>SUM(L538:L540)</f>
        <v>6</v>
      </c>
      <c r="L538" s="43">
        <v>2</v>
      </c>
      <c r="M538" s="43"/>
      <c r="N538" s="43">
        <v>4</v>
      </c>
      <c r="O538" s="43">
        <v>3</v>
      </c>
      <c r="P538" s="43">
        <v>7</v>
      </c>
      <c r="Q538" s="43">
        <v>6</v>
      </c>
      <c r="R538" s="43">
        <v>9</v>
      </c>
      <c r="S538" s="43">
        <v>9</v>
      </c>
      <c r="T538" s="43">
        <v>25</v>
      </c>
      <c r="U538" s="43">
        <v>4</v>
      </c>
      <c r="V538" s="41" t="s">
        <v>33</v>
      </c>
      <c r="W538" s="41" t="s">
        <v>34</v>
      </c>
      <c r="X538" s="41">
        <v>1</v>
      </c>
      <c r="Y538" s="41">
        <v>3</v>
      </c>
      <c r="Z538" s="41">
        <v>322</v>
      </c>
      <c r="AA538" s="44">
        <v>34</v>
      </c>
      <c r="AB538" s="44">
        <v>34</v>
      </c>
      <c r="AC538" s="43">
        <v>45</v>
      </c>
      <c r="AD538" s="43">
        <v>30</v>
      </c>
      <c r="AE538" s="43">
        <v>45</v>
      </c>
    </row>
    <row r="539" spans="1:337" x14ac:dyDescent="0.35">
      <c r="A539" s="32" t="s">
        <v>31</v>
      </c>
      <c r="B539" s="32" t="s">
        <v>35</v>
      </c>
      <c r="C539" s="33">
        <v>46282</v>
      </c>
      <c r="D539" s="34">
        <v>13</v>
      </c>
      <c r="E539" s="34">
        <v>24</v>
      </c>
      <c r="F539" s="34">
        <v>25</v>
      </c>
      <c r="G539" s="141"/>
      <c r="H539" s="141"/>
      <c r="I539" s="141"/>
      <c r="J539" s="141"/>
      <c r="K539" s="141"/>
      <c r="L539" s="34">
        <v>2</v>
      </c>
      <c r="M539" s="34">
        <v>5</v>
      </c>
      <c r="N539" s="34">
        <v>4</v>
      </c>
      <c r="O539" s="34">
        <v>4</v>
      </c>
      <c r="P539" s="32">
        <v>7</v>
      </c>
      <c r="Q539" s="32">
        <v>7</v>
      </c>
      <c r="R539" s="32">
        <v>8</v>
      </c>
      <c r="S539" s="32">
        <v>6</v>
      </c>
      <c r="T539" s="143"/>
      <c r="U539" s="143"/>
      <c r="V539" s="32" t="s">
        <v>36</v>
      </c>
      <c r="W539" s="32" t="s">
        <v>37</v>
      </c>
      <c r="X539" s="32">
        <v>1</v>
      </c>
      <c r="Y539" s="143"/>
      <c r="Z539" s="143"/>
      <c r="AA539" s="145"/>
      <c r="AB539" s="145"/>
      <c r="AC539" s="141"/>
      <c r="AD539" s="141"/>
      <c r="AE539" s="141"/>
    </row>
    <row r="540" spans="1:337" ht="15" thickBot="1" x14ac:dyDescent="0.4">
      <c r="A540" s="45" t="s">
        <v>31</v>
      </c>
      <c r="B540" s="45" t="s">
        <v>38</v>
      </c>
      <c r="C540" s="46">
        <v>46282</v>
      </c>
      <c r="D540" s="47"/>
      <c r="E540" s="47"/>
      <c r="F540" s="47"/>
      <c r="G540" s="142"/>
      <c r="H540" s="142"/>
      <c r="I540" s="142"/>
      <c r="J540" s="142"/>
      <c r="K540" s="142"/>
      <c r="L540" s="47">
        <v>2</v>
      </c>
      <c r="M540" s="47"/>
      <c r="N540" s="47"/>
      <c r="O540" s="47"/>
      <c r="P540" s="47"/>
      <c r="Q540" s="47"/>
      <c r="R540" s="47"/>
      <c r="S540" s="47"/>
      <c r="T540" s="144"/>
      <c r="U540" s="144"/>
      <c r="V540" s="45"/>
      <c r="W540" s="45"/>
      <c r="X540" s="47"/>
      <c r="Y540" s="144"/>
      <c r="Z540" s="144"/>
      <c r="AA540" s="146"/>
      <c r="AB540" s="146"/>
      <c r="AC540" s="142"/>
      <c r="AD540" s="142"/>
      <c r="AE540" s="142"/>
    </row>
    <row r="541" spans="1:337" s="53" customFormat="1" ht="15" thickBot="1" x14ac:dyDescent="0.4">
      <c r="A541" s="49"/>
      <c r="B541" s="49"/>
      <c r="C541" s="50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49"/>
      <c r="U541" s="49"/>
      <c r="V541" s="49"/>
      <c r="W541" s="49"/>
      <c r="X541" s="51"/>
      <c r="Y541" s="49"/>
      <c r="Z541" s="49"/>
      <c r="AA541" s="52"/>
      <c r="AB541" s="52"/>
      <c r="AC541" s="51"/>
      <c r="AD541" s="51"/>
      <c r="AE541" s="5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/>
      <c r="FK541"/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/>
      <c r="JV541"/>
      <c r="JW541"/>
      <c r="JX541"/>
      <c r="JY541"/>
      <c r="JZ541"/>
      <c r="KA541"/>
      <c r="KB541"/>
      <c r="KC541"/>
      <c r="KD541"/>
      <c r="KE541"/>
      <c r="KF541"/>
      <c r="KG541"/>
      <c r="KH541"/>
      <c r="KI541"/>
      <c r="KJ541"/>
      <c r="KK541"/>
      <c r="KL541"/>
      <c r="KM541"/>
      <c r="KN541"/>
      <c r="KO541"/>
      <c r="KP541"/>
      <c r="KQ541"/>
      <c r="KR541"/>
      <c r="KS541"/>
      <c r="KT541"/>
      <c r="KU541"/>
      <c r="KV541"/>
      <c r="KW541"/>
      <c r="KX541"/>
      <c r="KY541"/>
      <c r="KZ541"/>
      <c r="LA541"/>
      <c r="LB541"/>
      <c r="LC541"/>
      <c r="LD541"/>
      <c r="LE541"/>
      <c r="LF541"/>
      <c r="LG541"/>
      <c r="LH541"/>
      <c r="LI541"/>
      <c r="LJ541"/>
      <c r="LK541"/>
      <c r="LL541"/>
      <c r="LM541"/>
      <c r="LN541"/>
      <c r="LO541"/>
      <c r="LP541"/>
      <c r="LQ541"/>
      <c r="LR541"/>
      <c r="LS541"/>
      <c r="LT541"/>
      <c r="LU541"/>
      <c r="LV541"/>
      <c r="LW541"/>
      <c r="LX541"/>
      <c r="LY541"/>
    </row>
    <row r="542" spans="1:337" x14ac:dyDescent="0.35">
      <c r="A542" s="41" t="s">
        <v>31</v>
      </c>
      <c r="B542" s="41" t="s">
        <v>32</v>
      </c>
      <c r="C542" s="42">
        <v>46283</v>
      </c>
      <c r="D542" s="43">
        <v>0</v>
      </c>
      <c r="E542" s="43">
        <v>20</v>
      </c>
      <c r="F542" s="43">
        <v>20</v>
      </c>
      <c r="G542" s="43">
        <v>28</v>
      </c>
      <c r="H542" s="43">
        <v>40</v>
      </c>
      <c r="I542" s="43">
        <v>10</v>
      </c>
      <c r="J542" s="43">
        <v>21449</v>
      </c>
      <c r="K542" s="43">
        <f>SUM(L542:L544)</f>
        <v>6</v>
      </c>
      <c r="L542" s="43">
        <v>2</v>
      </c>
      <c r="M542" s="43"/>
      <c r="N542" s="43">
        <v>4</v>
      </c>
      <c r="O542" s="43">
        <v>3</v>
      </c>
      <c r="P542" s="43">
        <v>7</v>
      </c>
      <c r="Q542" s="43">
        <v>6</v>
      </c>
      <c r="R542" s="43">
        <v>9</v>
      </c>
      <c r="S542" s="43">
        <v>9</v>
      </c>
      <c r="T542" s="43">
        <v>25</v>
      </c>
      <c r="U542" s="43">
        <v>4</v>
      </c>
      <c r="V542" s="41" t="s">
        <v>33</v>
      </c>
      <c r="W542" s="41" t="s">
        <v>34</v>
      </c>
      <c r="X542" s="41">
        <v>1</v>
      </c>
      <c r="Y542" s="41">
        <v>3</v>
      </c>
      <c r="Z542" s="41">
        <v>322</v>
      </c>
      <c r="AA542" s="44">
        <v>34</v>
      </c>
      <c r="AB542" s="44">
        <v>34</v>
      </c>
      <c r="AC542" s="43">
        <v>45</v>
      </c>
      <c r="AD542" s="43">
        <v>30</v>
      </c>
      <c r="AE542" s="43">
        <v>45</v>
      </c>
    </row>
    <row r="543" spans="1:337" x14ac:dyDescent="0.35">
      <c r="A543" s="32" t="s">
        <v>31</v>
      </c>
      <c r="B543" s="32" t="s">
        <v>35</v>
      </c>
      <c r="C543" s="33">
        <v>46283</v>
      </c>
      <c r="D543" s="34">
        <v>13</v>
      </c>
      <c r="E543" s="34">
        <v>24</v>
      </c>
      <c r="F543" s="34">
        <v>25</v>
      </c>
      <c r="G543" s="141"/>
      <c r="H543" s="141"/>
      <c r="I543" s="141"/>
      <c r="J543" s="141"/>
      <c r="K543" s="141"/>
      <c r="L543" s="34">
        <v>2</v>
      </c>
      <c r="M543" s="34">
        <v>5</v>
      </c>
      <c r="N543" s="34">
        <v>4</v>
      </c>
      <c r="O543" s="34">
        <v>4</v>
      </c>
      <c r="P543" s="32">
        <v>7</v>
      </c>
      <c r="Q543" s="32">
        <v>7</v>
      </c>
      <c r="R543" s="32">
        <v>8</v>
      </c>
      <c r="S543" s="32">
        <v>6</v>
      </c>
      <c r="T543" s="143"/>
      <c r="U543" s="143"/>
      <c r="V543" s="32" t="s">
        <v>36</v>
      </c>
      <c r="W543" s="32" t="s">
        <v>37</v>
      </c>
      <c r="X543" s="32">
        <v>1</v>
      </c>
      <c r="Y543" s="143"/>
      <c r="Z543" s="143"/>
      <c r="AA543" s="145"/>
      <c r="AB543" s="145"/>
      <c r="AC543" s="141"/>
      <c r="AD543" s="141"/>
      <c r="AE543" s="141"/>
    </row>
    <row r="544" spans="1:337" ht="15" thickBot="1" x14ac:dyDescent="0.4">
      <c r="A544" s="45" t="s">
        <v>31</v>
      </c>
      <c r="B544" s="45" t="s">
        <v>38</v>
      </c>
      <c r="C544" s="46">
        <v>46283</v>
      </c>
      <c r="D544" s="47"/>
      <c r="E544" s="47"/>
      <c r="F544" s="47"/>
      <c r="G544" s="142"/>
      <c r="H544" s="142"/>
      <c r="I544" s="142"/>
      <c r="J544" s="142"/>
      <c r="K544" s="142"/>
      <c r="L544" s="47">
        <v>2</v>
      </c>
      <c r="M544" s="47"/>
      <c r="N544" s="47"/>
      <c r="O544" s="47"/>
      <c r="P544" s="47"/>
      <c r="Q544" s="47"/>
      <c r="R544" s="47"/>
      <c r="S544" s="47"/>
      <c r="T544" s="144"/>
      <c r="U544" s="144"/>
      <c r="V544" s="45"/>
      <c r="W544" s="45"/>
      <c r="X544" s="47"/>
      <c r="Y544" s="144"/>
      <c r="Z544" s="144"/>
      <c r="AA544" s="146"/>
      <c r="AB544" s="146"/>
      <c r="AC544" s="142"/>
      <c r="AD544" s="142"/>
      <c r="AE544" s="142"/>
    </row>
    <row r="545" spans="1:337" s="53" customFormat="1" ht="15" thickBot="1" x14ac:dyDescent="0.4">
      <c r="A545" s="49"/>
      <c r="B545" s="49"/>
      <c r="C545" s="50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49"/>
      <c r="U545" s="49"/>
      <c r="V545" s="49"/>
      <c r="W545" s="49"/>
      <c r="X545" s="51"/>
      <c r="Y545" s="49"/>
      <c r="Z545" s="49"/>
      <c r="AA545" s="52"/>
      <c r="AB545" s="52"/>
      <c r="AC545" s="51"/>
      <c r="AD545" s="51"/>
      <c r="AE545" s="51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/>
      <c r="FE545"/>
      <c r="FF545"/>
      <c r="FG545"/>
      <c r="FH545"/>
      <c r="FI545"/>
      <c r="FJ545"/>
      <c r="FK545"/>
      <c r="FL545"/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  <c r="GL545"/>
      <c r="GM545"/>
      <c r="GN545"/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/>
      <c r="JN545"/>
      <c r="JO545"/>
      <c r="JP545"/>
      <c r="JQ545"/>
      <c r="JR545"/>
      <c r="JS545"/>
      <c r="JT545"/>
      <c r="JU545"/>
      <c r="JV545"/>
      <c r="JW545"/>
      <c r="JX545"/>
      <c r="JY545"/>
      <c r="JZ545"/>
      <c r="KA545"/>
      <c r="KB545"/>
      <c r="KC545"/>
      <c r="KD545"/>
      <c r="KE545"/>
      <c r="KF545"/>
      <c r="KG545"/>
      <c r="KH545"/>
      <c r="KI545"/>
      <c r="KJ545"/>
      <c r="KK545"/>
      <c r="KL545"/>
      <c r="KM545"/>
      <c r="KN545"/>
      <c r="KO545"/>
      <c r="KP545"/>
      <c r="KQ545"/>
      <c r="KR545"/>
      <c r="KS545"/>
      <c r="KT545"/>
      <c r="KU545"/>
      <c r="KV545"/>
      <c r="KW545"/>
      <c r="KX545"/>
      <c r="KY545"/>
      <c r="KZ545"/>
      <c r="LA545"/>
      <c r="LB545"/>
      <c r="LC545"/>
      <c r="LD545"/>
      <c r="LE545"/>
      <c r="LF545"/>
      <c r="LG545"/>
      <c r="LH545"/>
      <c r="LI545"/>
      <c r="LJ545"/>
      <c r="LK545"/>
      <c r="LL545"/>
      <c r="LM545"/>
      <c r="LN545"/>
      <c r="LO545"/>
      <c r="LP545"/>
      <c r="LQ545"/>
      <c r="LR545"/>
      <c r="LS545"/>
      <c r="LT545"/>
      <c r="LU545"/>
      <c r="LV545"/>
      <c r="LW545"/>
      <c r="LX545"/>
      <c r="LY545"/>
    </row>
    <row r="546" spans="1:337" x14ac:dyDescent="0.35">
      <c r="A546" s="41" t="s">
        <v>31</v>
      </c>
      <c r="B546" s="41" t="s">
        <v>32</v>
      </c>
      <c r="C546" s="42">
        <v>46286</v>
      </c>
      <c r="D546" s="43">
        <v>0</v>
      </c>
      <c r="E546" s="43">
        <v>20</v>
      </c>
      <c r="F546" s="43">
        <v>20</v>
      </c>
      <c r="G546" s="43">
        <v>28</v>
      </c>
      <c r="H546" s="43">
        <v>40</v>
      </c>
      <c r="I546" s="43">
        <v>10</v>
      </c>
      <c r="J546" s="43">
        <v>21449</v>
      </c>
      <c r="K546" s="43">
        <f>SUM(L546:L548)</f>
        <v>6</v>
      </c>
      <c r="L546" s="43">
        <v>2</v>
      </c>
      <c r="M546" s="43"/>
      <c r="N546" s="43">
        <v>4</v>
      </c>
      <c r="O546" s="43">
        <v>3</v>
      </c>
      <c r="P546" s="43">
        <v>7</v>
      </c>
      <c r="Q546" s="43">
        <v>6</v>
      </c>
      <c r="R546" s="43">
        <v>9</v>
      </c>
      <c r="S546" s="43">
        <v>9</v>
      </c>
      <c r="T546" s="43">
        <v>25</v>
      </c>
      <c r="U546" s="43">
        <v>4</v>
      </c>
      <c r="V546" s="41" t="s">
        <v>33</v>
      </c>
      <c r="W546" s="41" t="s">
        <v>34</v>
      </c>
      <c r="X546" s="41">
        <v>1</v>
      </c>
      <c r="Y546" s="41">
        <v>3</v>
      </c>
      <c r="Z546" s="41">
        <v>322</v>
      </c>
      <c r="AA546" s="44">
        <v>34</v>
      </c>
      <c r="AB546" s="44">
        <v>34</v>
      </c>
      <c r="AC546" s="43">
        <v>45</v>
      </c>
      <c r="AD546" s="43">
        <v>30</v>
      </c>
      <c r="AE546" s="43">
        <v>45</v>
      </c>
    </row>
    <row r="547" spans="1:337" x14ac:dyDescent="0.35">
      <c r="A547" s="32" t="s">
        <v>31</v>
      </c>
      <c r="B547" s="32" t="s">
        <v>35</v>
      </c>
      <c r="C547" s="33">
        <v>46286</v>
      </c>
      <c r="D547" s="34">
        <v>13</v>
      </c>
      <c r="E547" s="34">
        <v>24</v>
      </c>
      <c r="F547" s="34">
        <v>25</v>
      </c>
      <c r="G547" s="141"/>
      <c r="H547" s="141"/>
      <c r="I547" s="141"/>
      <c r="J547" s="141"/>
      <c r="K547" s="141"/>
      <c r="L547" s="34">
        <v>2</v>
      </c>
      <c r="M547" s="34">
        <v>5</v>
      </c>
      <c r="N547" s="34">
        <v>4</v>
      </c>
      <c r="O547" s="34">
        <v>4</v>
      </c>
      <c r="P547" s="32">
        <v>7</v>
      </c>
      <c r="Q547" s="32">
        <v>7</v>
      </c>
      <c r="R547" s="32">
        <v>8</v>
      </c>
      <c r="S547" s="32">
        <v>6</v>
      </c>
      <c r="T547" s="143"/>
      <c r="U547" s="143"/>
      <c r="V547" s="32" t="s">
        <v>36</v>
      </c>
      <c r="W547" s="32" t="s">
        <v>37</v>
      </c>
      <c r="X547" s="32">
        <v>1</v>
      </c>
      <c r="Y547" s="143"/>
      <c r="Z547" s="143"/>
      <c r="AA547" s="145"/>
      <c r="AB547" s="145"/>
      <c r="AC547" s="141"/>
      <c r="AD547" s="141"/>
      <c r="AE547" s="141"/>
    </row>
    <row r="548" spans="1:337" ht="15" thickBot="1" x14ac:dyDescent="0.4">
      <c r="A548" s="45" t="s">
        <v>31</v>
      </c>
      <c r="B548" s="45" t="s">
        <v>38</v>
      </c>
      <c r="C548" s="46">
        <v>46286</v>
      </c>
      <c r="D548" s="47"/>
      <c r="E548" s="47"/>
      <c r="F548" s="47"/>
      <c r="G548" s="142"/>
      <c r="H548" s="142"/>
      <c r="I548" s="142"/>
      <c r="J548" s="142"/>
      <c r="K548" s="142"/>
      <c r="L548" s="47">
        <v>2</v>
      </c>
      <c r="M548" s="47"/>
      <c r="N548" s="47"/>
      <c r="O548" s="47"/>
      <c r="P548" s="47"/>
      <c r="Q548" s="47"/>
      <c r="R548" s="47"/>
      <c r="S548" s="47"/>
      <c r="T548" s="144"/>
      <c r="U548" s="144"/>
      <c r="V548" s="45"/>
      <c r="W548" s="45"/>
      <c r="X548" s="47"/>
      <c r="Y548" s="144"/>
      <c r="Z548" s="144"/>
      <c r="AA548" s="146"/>
      <c r="AB548" s="146"/>
      <c r="AC548" s="142"/>
      <c r="AD548" s="142"/>
      <c r="AE548" s="142"/>
    </row>
    <row r="549" spans="1:337" s="53" customFormat="1" ht="15" thickBot="1" x14ac:dyDescent="0.4">
      <c r="A549" s="49"/>
      <c r="B549" s="49"/>
      <c r="C549" s="50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49"/>
      <c r="U549" s="49"/>
      <c r="V549" s="49"/>
      <c r="W549" s="49"/>
      <c r="X549" s="51"/>
      <c r="Y549" s="49"/>
      <c r="Z549" s="49"/>
      <c r="AA549" s="52"/>
      <c r="AB549" s="52"/>
      <c r="AC549" s="51"/>
      <c r="AD549" s="51"/>
      <c r="AE549" s="51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/>
      <c r="FC549"/>
      <c r="FD549"/>
      <c r="FE549"/>
      <c r="FF549"/>
      <c r="FG549"/>
      <c r="FH549"/>
      <c r="FI549"/>
      <c r="FJ549"/>
      <c r="FK549"/>
      <c r="FL549"/>
      <c r="FM549"/>
      <c r="FN549"/>
      <c r="FO549"/>
      <c r="FP549"/>
      <c r="FQ549"/>
      <c r="FR549"/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  <c r="GL549"/>
      <c r="GM549"/>
      <c r="GN549"/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/>
      <c r="JJ549"/>
      <c r="JK549"/>
      <c r="JL549"/>
      <c r="JM549"/>
      <c r="JN549"/>
      <c r="JO549"/>
      <c r="JP549"/>
      <c r="JQ549"/>
      <c r="JR549"/>
      <c r="JS549"/>
      <c r="JT549"/>
      <c r="JU549"/>
      <c r="JV549"/>
      <c r="JW549"/>
      <c r="JX549"/>
      <c r="JY549"/>
      <c r="JZ549"/>
      <c r="KA549"/>
      <c r="KB549"/>
      <c r="KC549"/>
      <c r="KD549"/>
      <c r="KE549"/>
      <c r="KF549"/>
      <c r="KG549"/>
      <c r="KH549"/>
      <c r="KI549"/>
      <c r="KJ549"/>
      <c r="KK549"/>
      <c r="KL549"/>
      <c r="KM549"/>
      <c r="KN549"/>
      <c r="KO549"/>
      <c r="KP549"/>
      <c r="KQ549"/>
      <c r="KR549"/>
      <c r="KS549"/>
      <c r="KT549"/>
      <c r="KU549"/>
      <c r="KV549"/>
      <c r="KW549"/>
      <c r="KX549"/>
      <c r="KY549"/>
      <c r="KZ549"/>
      <c r="LA549"/>
      <c r="LB549"/>
      <c r="LC549"/>
      <c r="LD549"/>
      <c r="LE549"/>
      <c r="LF549"/>
      <c r="LG549"/>
      <c r="LH549"/>
      <c r="LI549"/>
      <c r="LJ549"/>
      <c r="LK549"/>
      <c r="LL549"/>
      <c r="LM549"/>
      <c r="LN549"/>
      <c r="LO549"/>
      <c r="LP549"/>
      <c r="LQ549"/>
      <c r="LR549"/>
      <c r="LS549"/>
      <c r="LT549"/>
      <c r="LU549"/>
      <c r="LV549"/>
      <c r="LW549"/>
      <c r="LX549"/>
      <c r="LY549"/>
    </row>
    <row r="550" spans="1:337" x14ac:dyDescent="0.35">
      <c r="A550" s="41" t="s">
        <v>31</v>
      </c>
      <c r="B550" s="41" t="s">
        <v>32</v>
      </c>
      <c r="C550" s="42">
        <v>46287</v>
      </c>
      <c r="D550" s="43">
        <v>0</v>
      </c>
      <c r="E550" s="43">
        <v>20</v>
      </c>
      <c r="F550" s="43">
        <v>20</v>
      </c>
      <c r="G550" s="43">
        <v>28</v>
      </c>
      <c r="H550" s="43">
        <v>40</v>
      </c>
      <c r="I550" s="43">
        <v>10</v>
      </c>
      <c r="J550" s="43">
        <v>21449</v>
      </c>
      <c r="K550" s="43">
        <f>SUM(L550:L552)</f>
        <v>6</v>
      </c>
      <c r="L550" s="43">
        <v>2</v>
      </c>
      <c r="M550" s="43"/>
      <c r="N550" s="43">
        <v>4</v>
      </c>
      <c r="O550" s="43">
        <v>3</v>
      </c>
      <c r="P550" s="43">
        <v>7</v>
      </c>
      <c r="Q550" s="43">
        <v>6</v>
      </c>
      <c r="R550" s="43">
        <v>9</v>
      </c>
      <c r="S550" s="43">
        <v>9</v>
      </c>
      <c r="T550" s="43">
        <v>25</v>
      </c>
      <c r="U550" s="43">
        <v>4</v>
      </c>
      <c r="V550" s="41" t="s">
        <v>33</v>
      </c>
      <c r="W550" s="41" t="s">
        <v>34</v>
      </c>
      <c r="X550" s="41">
        <v>1</v>
      </c>
      <c r="Y550" s="41">
        <v>3</v>
      </c>
      <c r="Z550" s="41">
        <v>322</v>
      </c>
      <c r="AA550" s="44">
        <v>34</v>
      </c>
      <c r="AB550" s="44">
        <v>34</v>
      </c>
      <c r="AC550" s="43">
        <v>45</v>
      </c>
      <c r="AD550" s="43">
        <v>30</v>
      </c>
      <c r="AE550" s="43">
        <v>45</v>
      </c>
    </row>
    <row r="551" spans="1:337" x14ac:dyDescent="0.35">
      <c r="A551" s="32" t="s">
        <v>31</v>
      </c>
      <c r="B551" s="32" t="s">
        <v>35</v>
      </c>
      <c r="C551" s="33">
        <v>46287</v>
      </c>
      <c r="D551" s="34">
        <v>13</v>
      </c>
      <c r="E551" s="34">
        <v>24</v>
      </c>
      <c r="F551" s="34">
        <v>25</v>
      </c>
      <c r="G551" s="141"/>
      <c r="H551" s="141"/>
      <c r="I551" s="141"/>
      <c r="J551" s="141"/>
      <c r="K551" s="141"/>
      <c r="L551" s="34">
        <v>2</v>
      </c>
      <c r="M551" s="34">
        <v>5</v>
      </c>
      <c r="N551" s="34">
        <v>4</v>
      </c>
      <c r="O551" s="34">
        <v>4</v>
      </c>
      <c r="P551" s="32">
        <v>7</v>
      </c>
      <c r="Q551" s="32">
        <v>7</v>
      </c>
      <c r="R551" s="32">
        <v>8</v>
      </c>
      <c r="S551" s="32">
        <v>6</v>
      </c>
      <c r="T551" s="143"/>
      <c r="U551" s="143"/>
      <c r="V551" s="32" t="s">
        <v>36</v>
      </c>
      <c r="W551" s="32" t="s">
        <v>37</v>
      </c>
      <c r="X551" s="32">
        <v>1</v>
      </c>
      <c r="Y551" s="143"/>
      <c r="Z551" s="143"/>
      <c r="AA551" s="145"/>
      <c r="AB551" s="145"/>
      <c r="AC551" s="141"/>
      <c r="AD551" s="141"/>
      <c r="AE551" s="141"/>
    </row>
    <row r="552" spans="1:337" ht="15" thickBot="1" x14ac:dyDescent="0.4">
      <c r="A552" s="45" t="s">
        <v>31</v>
      </c>
      <c r="B552" s="45" t="s">
        <v>38</v>
      </c>
      <c r="C552" s="46">
        <v>46287</v>
      </c>
      <c r="D552" s="47"/>
      <c r="E552" s="47"/>
      <c r="F552" s="47"/>
      <c r="G552" s="142"/>
      <c r="H552" s="142"/>
      <c r="I552" s="142"/>
      <c r="J552" s="142"/>
      <c r="K552" s="142"/>
      <c r="L552" s="47">
        <v>2</v>
      </c>
      <c r="M552" s="47"/>
      <c r="N552" s="47"/>
      <c r="O552" s="47"/>
      <c r="P552" s="47"/>
      <c r="Q552" s="47"/>
      <c r="R552" s="47"/>
      <c r="S552" s="47"/>
      <c r="T552" s="144"/>
      <c r="U552" s="144"/>
      <c r="V552" s="45"/>
      <c r="W552" s="45"/>
      <c r="X552" s="47"/>
      <c r="Y552" s="144"/>
      <c r="Z552" s="144"/>
      <c r="AA552" s="146"/>
      <c r="AB552" s="146"/>
      <c r="AC552" s="142"/>
      <c r="AD552" s="142"/>
      <c r="AE552" s="142"/>
    </row>
    <row r="553" spans="1:337" s="53" customFormat="1" ht="15" thickBot="1" x14ac:dyDescent="0.4">
      <c r="A553" s="49"/>
      <c r="B553" s="49"/>
      <c r="C553" s="50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49"/>
      <c r="U553" s="49"/>
      <c r="V553" s="49"/>
      <c r="W553" s="49"/>
      <c r="X553" s="51"/>
      <c r="Y553" s="49"/>
      <c r="Z553" s="49"/>
      <c r="AA553" s="52"/>
      <c r="AB553" s="52"/>
      <c r="AC553" s="51"/>
      <c r="AD553" s="51"/>
      <c r="AE553" s="51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/>
      <c r="FK553"/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/>
      <c r="JN553"/>
      <c r="JO553"/>
      <c r="JP553"/>
      <c r="JQ553"/>
      <c r="JR553"/>
      <c r="JS553"/>
      <c r="JT553"/>
      <c r="JU553"/>
      <c r="JV553"/>
      <c r="JW553"/>
      <c r="JX553"/>
      <c r="JY553"/>
      <c r="JZ553"/>
      <c r="KA553"/>
      <c r="KB553"/>
      <c r="KC553"/>
      <c r="KD553"/>
      <c r="KE553"/>
      <c r="KF553"/>
      <c r="KG553"/>
      <c r="KH553"/>
      <c r="KI553"/>
      <c r="KJ553"/>
      <c r="KK553"/>
      <c r="KL553"/>
      <c r="KM553"/>
      <c r="KN553"/>
      <c r="KO553"/>
      <c r="KP553"/>
      <c r="KQ553"/>
      <c r="KR553"/>
      <c r="KS553"/>
      <c r="KT553"/>
      <c r="KU553"/>
      <c r="KV553"/>
      <c r="KW553"/>
      <c r="KX553"/>
      <c r="KY553"/>
      <c r="KZ553"/>
      <c r="LA553"/>
      <c r="LB553"/>
      <c r="LC553"/>
      <c r="LD553"/>
      <c r="LE553"/>
      <c r="LF553"/>
      <c r="LG553"/>
      <c r="LH553"/>
      <c r="LI553"/>
      <c r="LJ553"/>
      <c r="LK553"/>
      <c r="LL553"/>
      <c r="LM553"/>
      <c r="LN553"/>
      <c r="LO553"/>
      <c r="LP553"/>
      <c r="LQ553"/>
      <c r="LR553"/>
      <c r="LS553"/>
      <c r="LT553"/>
      <c r="LU553"/>
      <c r="LV553"/>
      <c r="LW553"/>
      <c r="LX553"/>
      <c r="LY553"/>
    </row>
    <row r="554" spans="1:337" x14ac:dyDescent="0.35">
      <c r="A554" s="41" t="s">
        <v>31</v>
      </c>
      <c r="B554" s="41" t="s">
        <v>32</v>
      </c>
      <c r="C554" s="42">
        <v>46288</v>
      </c>
      <c r="D554" s="43">
        <v>0</v>
      </c>
      <c r="E554" s="43">
        <v>20</v>
      </c>
      <c r="F554" s="43">
        <v>20</v>
      </c>
      <c r="G554" s="43">
        <v>28</v>
      </c>
      <c r="H554" s="43">
        <v>40</v>
      </c>
      <c r="I554" s="43">
        <v>10</v>
      </c>
      <c r="J554" s="43">
        <v>21449</v>
      </c>
      <c r="K554" s="43">
        <f>SUM(L554:L556)</f>
        <v>6</v>
      </c>
      <c r="L554" s="43">
        <v>2</v>
      </c>
      <c r="M554" s="43"/>
      <c r="N554" s="43">
        <v>4</v>
      </c>
      <c r="O554" s="43">
        <v>3</v>
      </c>
      <c r="P554" s="43">
        <v>7</v>
      </c>
      <c r="Q554" s="43">
        <v>6</v>
      </c>
      <c r="R554" s="43">
        <v>9</v>
      </c>
      <c r="S554" s="43">
        <v>9</v>
      </c>
      <c r="T554" s="43">
        <v>20</v>
      </c>
      <c r="U554" s="43">
        <v>3</v>
      </c>
      <c r="V554" s="41" t="s">
        <v>33</v>
      </c>
      <c r="W554" s="41" t="s">
        <v>34</v>
      </c>
      <c r="X554" s="41">
        <v>1</v>
      </c>
      <c r="Y554" s="41">
        <v>3</v>
      </c>
      <c r="Z554" s="41">
        <v>322</v>
      </c>
      <c r="AA554" s="44">
        <v>34</v>
      </c>
      <c r="AB554" s="44">
        <v>34</v>
      </c>
      <c r="AC554" s="43">
        <v>45</v>
      </c>
      <c r="AD554" s="43">
        <v>30</v>
      </c>
      <c r="AE554" s="43">
        <v>45</v>
      </c>
    </row>
    <row r="555" spans="1:337" x14ac:dyDescent="0.35">
      <c r="A555" s="32" t="s">
        <v>31</v>
      </c>
      <c r="B555" s="32" t="s">
        <v>35</v>
      </c>
      <c r="C555" s="33">
        <v>46288</v>
      </c>
      <c r="D555" s="34">
        <v>13</v>
      </c>
      <c r="E555" s="34">
        <v>24</v>
      </c>
      <c r="F555" s="34">
        <v>25</v>
      </c>
      <c r="G555" s="141"/>
      <c r="H555" s="141"/>
      <c r="I555" s="141"/>
      <c r="J555" s="141"/>
      <c r="K555" s="141"/>
      <c r="L555" s="34">
        <v>2</v>
      </c>
      <c r="M555" s="34">
        <v>5</v>
      </c>
      <c r="N555" s="34">
        <v>4</v>
      </c>
      <c r="O555" s="34">
        <v>4</v>
      </c>
      <c r="P555" s="32">
        <v>7</v>
      </c>
      <c r="Q555" s="32">
        <v>7</v>
      </c>
      <c r="R555" s="32">
        <v>8</v>
      </c>
      <c r="S555" s="32">
        <v>6</v>
      </c>
      <c r="T555" s="143"/>
      <c r="U555" s="143"/>
      <c r="V555" s="32" t="s">
        <v>36</v>
      </c>
      <c r="W555" s="32" t="s">
        <v>37</v>
      </c>
      <c r="X555" s="32">
        <v>1</v>
      </c>
      <c r="Y555" s="143"/>
      <c r="Z555" s="143"/>
      <c r="AA555" s="145"/>
      <c r="AB555" s="145"/>
      <c r="AC555" s="141"/>
      <c r="AD555" s="141"/>
      <c r="AE555" s="141"/>
    </row>
    <row r="556" spans="1:337" ht="15" thickBot="1" x14ac:dyDescent="0.4">
      <c r="A556" s="45" t="s">
        <v>31</v>
      </c>
      <c r="B556" s="45" t="s">
        <v>38</v>
      </c>
      <c r="C556" s="46">
        <v>46288</v>
      </c>
      <c r="D556" s="47"/>
      <c r="E556" s="47"/>
      <c r="F556" s="47"/>
      <c r="G556" s="142"/>
      <c r="H556" s="142"/>
      <c r="I556" s="142"/>
      <c r="J556" s="142"/>
      <c r="K556" s="142"/>
      <c r="L556" s="47">
        <v>2</v>
      </c>
      <c r="M556" s="47"/>
      <c r="N556" s="47"/>
      <c r="O556" s="47"/>
      <c r="P556" s="47"/>
      <c r="Q556" s="47"/>
      <c r="R556" s="47"/>
      <c r="S556" s="47"/>
      <c r="T556" s="144"/>
      <c r="U556" s="144"/>
      <c r="V556" s="45"/>
      <c r="W556" s="45"/>
      <c r="X556" s="47"/>
      <c r="Y556" s="144"/>
      <c r="Z556" s="144"/>
      <c r="AA556" s="146"/>
      <c r="AB556" s="146"/>
      <c r="AC556" s="142"/>
      <c r="AD556" s="142"/>
      <c r="AE556" s="142"/>
    </row>
    <row r="557" spans="1:337" s="53" customFormat="1" ht="15" thickBot="1" x14ac:dyDescent="0.4">
      <c r="A557" s="49"/>
      <c r="B557" s="49"/>
      <c r="C557" s="50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49"/>
      <c r="U557" s="49"/>
      <c r="V557" s="49"/>
      <c r="W557" s="49"/>
      <c r="X557" s="51"/>
      <c r="Y557" s="49"/>
      <c r="Z557" s="49"/>
      <c r="AA557" s="52"/>
      <c r="AB557" s="52"/>
      <c r="AC557" s="51"/>
      <c r="AD557" s="51"/>
      <c r="AE557" s="51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/>
      <c r="FK557"/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/>
      <c r="JN557"/>
      <c r="JO557"/>
      <c r="JP557"/>
      <c r="JQ557"/>
      <c r="JR557"/>
      <c r="JS557"/>
      <c r="JT557"/>
      <c r="JU557"/>
      <c r="JV557"/>
      <c r="JW557"/>
      <c r="JX557"/>
      <c r="JY557"/>
      <c r="JZ557"/>
      <c r="KA557"/>
      <c r="KB557"/>
      <c r="KC557"/>
      <c r="KD557"/>
      <c r="KE557"/>
      <c r="KF557"/>
      <c r="KG557"/>
      <c r="KH557"/>
      <c r="KI557"/>
      <c r="KJ557"/>
      <c r="KK557"/>
      <c r="KL557"/>
      <c r="KM557"/>
      <c r="KN557"/>
      <c r="KO557"/>
      <c r="KP557"/>
      <c r="KQ557"/>
      <c r="KR557"/>
      <c r="KS557"/>
      <c r="KT557"/>
      <c r="KU557"/>
      <c r="KV557"/>
      <c r="KW557"/>
      <c r="KX557"/>
      <c r="KY557"/>
      <c r="KZ557"/>
      <c r="LA557"/>
      <c r="LB557"/>
      <c r="LC557"/>
      <c r="LD557"/>
      <c r="LE557"/>
      <c r="LF557"/>
      <c r="LG557"/>
      <c r="LH557"/>
      <c r="LI557"/>
      <c r="LJ557"/>
      <c r="LK557"/>
      <c r="LL557"/>
      <c r="LM557"/>
      <c r="LN557"/>
      <c r="LO557"/>
      <c r="LP557"/>
      <c r="LQ557"/>
      <c r="LR557"/>
      <c r="LS557"/>
      <c r="LT557"/>
      <c r="LU557"/>
      <c r="LV557"/>
      <c r="LW557"/>
      <c r="LX557"/>
      <c r="LY557"/>
    </row>
    <row r="558" spans="1:337" x14ac:dyDescent="0.35">
      <c r="A558" s="41" t="s">
        <v>31</v>
      </c>
      <c r="B558" s="41" t="s">
        <v>32</v>
      </c>
      <c r="C558" s="42">
        <v>46289</v>
      </c>
      <c r="D558" s="43">
        <v>0</v>
      </c>
      <c r="E558" s="43">
        <v>20</v>
      </c>
      <c r="F558" s="43">
        <v>20</v>
      </c>
      <c r="G558" s="43">
        <v>28</v>
      </c>
      <c r="H558" s="43">
        <v>40</v>
      </c>
      <c r="I558" s="43">
        <v>10</v>
      </c>
      <c r="J558" s="43">
        <v>21449</v>
      </c>
      <c r="K558" s="43">
        <f>SUM(L558:L560)</f>
        <v>6</v>
      </c>
      <c r="L558" s="43">
        <v>2</v>
      </c>
      <c r="M558" s="43"/>
      <c r="N558" s="43">
        <v>4</v>
      </c>
      <c r="O558" s="43">
        <v>3</v>
      </c>
      <c r="P558" s="43">
        <v>7</v>
      </c>
      <c r="Q558" s="43">
        <v>6</v>
      </c>
      <c r="R558" s="43">
        <v>9</v>
      </c>
      <c r="S558" s="43">
        <v>9</v>
      </c>
      <c r="T558" s="43">
        <v>25</v>
      </c>
      <c r="U558" s="43">
        <v>4</v>
      </c>
      <c r="V558" s="41" t="s">
        <v>33</v>
      </c>
      <c r="W558" s="41" t="s">
        <v>34</v>
      </c>
      <c r="X558" s="41">
        <v>1</v>
      </c>
      <c r="Y558" s="41">
        <v>3</v>
      </c>
      <c r="Z558" s="41">
        <v>322</v>
      </c>
      <c r="AA558" s="44">
        <v>34</v>
      </c>
      <c r="AB558" s="44">
        <v>34</v>
      </c>
      <c r="AC558" s="43">
        <v>45</v>
      </c>
      <c r="AD558" s="43">
        <v>30</v>
      </c>
      <c r="AE558" s="43">
        <v>45</v>
      </c>
    </row>
    <row r="559" spans="1:337" x14ac:dyDescent="0.35">
      <c r="A559" s="32" t="s">
        <v>31</v>
      </c>
      <c r="B559" s="32" t="s">
        <v>35</v>
      </c>
      <c r="C559" s="33">
        <v>46289</v>
      </c>
      <c r="D559" s="34">
        <v>13</v>
      </c>
      <c r="E559" s="34">
        <v>24</v>
      </c>
      <c r="F559" s="34">
        <v>25</v>
      </c>
      <c r="G559" s="141"/>
      <c r="H559" s="141"/>
      <c r="I559" s="141"/>
      <c r="J559" s="141"/>
      <c r="K559" s="141"/>
      <c r="L559" s="34">
        <v>2</v>
      </c>
      <c r="M559" s="34">
        <v>5</v>
      </c>
      <c r="N559" s="34">
        <v>4</v>
      </c>
      <c r="O559" s="34">
        <v>4</v>
      </c>
      <c r="P559" s="32">
        <v>7</v>
      </c>
      <c r="Q559" s="32">
        <v>7</v>
      </c>
      <c r="R559" s="32">
        <v>8</v>
      </c>
      <c r="S559" s="32">
        <v>6</v>
      </c>
      <c r="T559" s="143"/>
      <c r="U559" s="143"/>
      <c r="V559" s="32" t="s">
        <v>36</v>
      </c>
      <c r="W559" s="32" t="s">
        <v>37</v>
      </c>
      <c r="X559" s="32">
        <v>1</v>
      </c>
      <c r="Y559" s="143"/>
      <c r="Z559" s="143"/>
      <c r="AA559" s="145"/>
      <c r="AB559" s="145"/>
      <c r="AC559" s="141"/>
      <c r="AD559" s="141"/>
      <c r="AE559" s="141"/>
    </row>
    <row r="560" spans="1:337" ht="15" thickBot="1" x14ac:dyDescent="0.4">
      <c r="A560" s="45" t="s">
        <v>31</v>
      </c>
      <c r="B560" s="45" t="s">
        <v>38</v>
      </c>
      <c r="C560" s="46">
        <v>46289</v>
      </c>
      <c r="D560" s="47"/>
      <c r="E560" s="47"/>
      <c r="F560" s="47"/>
      <c r="G560" s="142"/>
      <c r="H560" s="142"/>
      <c r="I560" s="142"/>
      <c r="J560" s="142"/>
      <c r="K560" s="142"/>
      <c r="L560" s="47">
        <v>2</v>
      </c>
      <c r="M560" s="47"/>
      <c r="N560" s="47"/>
      <c r="O560" s="47"/>
      <c r="P560" s="47"/>
      <c r="Q560" s="47"/>
      <c r="R560" s="47"/>
      <c r="S560" s="47"/>
      <c r="T560" s="144"/>
      <c r="U560" s="144"/>
      <c r="V560" s="45"/>
      <c r="W560" s="45"/>
      <c r="X560" s="47"/>
      <c r="Y560" s="144"/>
      <c r="Z560" s="144"/>
      <c r="AA560" s="146"/>
      <c r="AB560" s="146"/>
      <c r="AC560" s="142"/>
      <c r="AD560" s="142"/>
      <c r="AE560" s="142"/>
    </row>
    <row r="561" spans="1:337" s="53" customFormat="1" ht="15" thickBot="1" x14ac:dyDescent="0.4">
      <c r="A561" s="49"/>
      <c r="B561" s="49"/>
      <c r="C561" s="50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49"/>
      <c r="U561" s="49"/>
      <c r="V561" s="49"/>
      <c r="W561" s="49"/>
      <c r="X561" s="51"/>
      <c r="Y561" s="49"/>
      <c r="Z561" s="49"/>
      <c r="AA561" s="52"/>
      <c r="AB561" s="52"/>
      <c r="AC561" s="51"/>
      <c r="AD561" s="51"/>
      <c r="AE561" s="5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/>
      <c r="FE561"/>
      <c r="FF561"/>
      <c r="FG561"/>
      <c r="FH561"/>
      <c r="FI561"/>
      <c r="FJ561"/>
      <c r="FK561"/>
      <c r="FL561"/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/>
      <c r="JN561"/>
      <c r="JO561"/>
      <c r="JP561"/>
      <c r="JQ561"/>
      <c r="JR561"/>
      <c r="JS561"/>
      <c r="JT561"/>
      <c r="JU561"/>
      <c r="JV561"/>
      <c r="JW561"/>
      <c r="JX561"/>
      <c r="JY561"/>
      <c r="JZ561"/>
      <c r="KA561"/>
      <c r="KB561"/>
      <c r="KC561"/>
      <c r="KD561"/>
      <c r="KE561"/>
      <c r="KF561"/>
      <c r="KG561"/>
      <c r="KH561"/>
      <c r="KI561"/>
      <c r="KJ561"/>
      <c r="KK561"/>
      <c r="KL561"/>
      <c r="KM561"/>
      <c r="KN561"/>
      <c r="KO561"/>
      <c r="KP561"/>
      <c r="KQ561"/>
      <c r="KR561"/>
      <c r="KS561"/>
      <c r="KT561"/>
      <c r="KU561"/>
      <c r="KV561"/>
      <c r="KW561"/>
      <c r="KX561"/>
      <c r="KY561"/>
      <c r="KZ561"/>
      <c r="LA561"/>
      <c r="LB561"/>
      <c r="LC561"/>
      <c r="LD561"/>
      <c r="LE561"/>
      <c r="LF561"/>
      <c r="LG561"/>
      <c r="LH561"/>
      <c r="LI561"/>
      <c r="LJ561"/>
      <c r="LK561"/>
      <c r="LL561"/>
      <c r="LM561"/>
      <c r="LN561"/>
      <c r="LO561"/>
      <c r="LP561"/>
      <c r="LQ561"/>
      <c r="LR561"/>
      <c r="LS561"/>
      <c r="LT561"/>
      <c r="LU561"/>
      <c r="LV561"/>
      <c r="LW561"/>
      <c r="LX561"/>
      <c r="LY561"/>
    </row>
    <row r="562" spans="1:337" x14ac:dyDescent="0.35">
      <c r="A562" s="41" t="s">
        <v>31</v>
      </c>
      <c r="B562" s="41" t="s">
        <v>32</v>
      </c>
      <c r="C562" s="42">
        <v>46290</v>
      </c>
      <c r="D562" s="43">
        <v>0</v>
      </c>
      <c r="E562" s="43">
        <v>20</v>
      </c>
      <c r="F562" s="43">
        <v>20</v>
      </c>
      <c r="G562" s="43">
        <v>28</v>
      </c>
      <c r="H562" s="43">
        <v>40</v>
      </c>
      <c r="I562" s="43">
        <v>10</v>
      </c>
      <c r="J562" s="43">
        <v>21449</v>
      </c>
      <c r="K562" s="43">
        <f>SUM(L562:L564)</f>
        <v>6</v>
      </c>
      <c r="L562" s="43">
        <v>2</v>
      </c>
      <c r="M562" s="43"/>
      <c r="N562" s="43">
        <v>4</v>
      </c>
      <c r="O562" s="43">
        <v>3</v>
      </c>
      <c r="P562" s="43">
        <v>7</v>
      </c>
      <c r="Q562" s="43">
        <v>6</v>
      </c>
      <c r="R562" s="43">
        <v>9</v>
      </c>
      <c r="S562" s="43">
        <v>9</v>
      </c>
      <c r="T562" s="43">
        <v>25</v>
      </c>
      <c r="U562" s="43">
        <v>4</v>
      </c>
      <c r="V562" s="41" t="s">
        <v>33</v>
      </c>
      <c r="W562" s="41" t="s">
        <v>34</v>
      </c>
      <c r="X562" s="41">
        <v>1</v>
      </c>
      <c r="Y562" s="41">
        <v>3</v>
      </c>
      <c r="Z562" s="41">
        <v>322</v>
      </c>
      <c r="AA562" s="44">
        <v>34</v>
      </c>
      <c r="AB562" s="44">
        <v>34</v>
      </c>
      <c r="AC562" s="43">
        <v>45</v>
      </c>
      <c r="AD562" s="43">
        <v>30</v>
      </c>
      <c r="AE562" s="43">
        <v>45</v>
      </c>
    </row>
    <row r="563" spans="1:337" x14ac:dyDescent="0.35">
      <c r="A563" s="32" t="s">
        <v>31</v>
      </c>
      <c r="B563" s="32" t="s">
        <v>35</v>
      </c>
      <c r="C563" s="33">
        <v>46290</v>
      </c>
      <c r="D563" s="34">
        <v>13</v>
      </c>
      <c r="E563" s="34">
        <v>24</v>
      </c>
      <c r="F563" s="34">
        <v>25</v>
      </c>
      <c r="G563" s="141"/>
      <c r="H563" s="141"/>
      <c r="I563" s="141"/>
      <c r="J563" s="141"/>
      <c r="K563" s="141"/>
      <c r="L563" s="34">
        <v>2</v>
      </c>
      <c r="M563" s="34">
        <v>5</v>
      </c>
      <c r="N563" s="34">
        <v>4</v>
      </c>
      <c r="O563" s="34">
        <v>4</v>
      </c>
      <c r="P563" s="32">
        <v>7</v>
      </c>
      <c r="Q563" s="32">
        <v>7</v>
      </c>
      <c r="R563" s="32">
        <v>8</v>
      </c>
      <c r="S563" s="32">
        <v>6</v>
      </c>
      <c r="T563" s="143"/>
      <c r="U563" s="143"/>
      <c r="V563" s="32" t="s">
        <v>36</v>
      </c>
      <c r="W563" s="32" t="s">
        <v>37</v>
      </c>
      <c r="X563" s="32">
        <v>1</v>
      </c>
      <c r="Y563" s="143"/>
      <c r="Z563" s="143"/>
      <c r="AA563" s="145"/>
      <c r="AB563" s="145"/>
      <c r="AC563" s="141"/>
      <c r="AD563" s="141"/>
      <c r="AE563" s="141"/>
    </row>
    <row r="564" spans="1:337" ht="15" thickBot="1" x14ac:dyDescent="0.4">
      <c r="A564" s="45" t="s">
        <v>31</v>
      </c>
      <c r="B564" s="45" t="s">
        <v>38</v>
      </c>
      <c r="C564" s="46">
        <v>46290</v>
      </c>
      <c r="D564" s="47"/>
      <c r="E564" s="47"/>
      <c r="F564" s="47"/>
      <c r="G564" s="142"/>
      <c r="H564" s="142"/>
      <c r="I564" s="142"/>
      <c r="J564" s="142"/>
      <c r="K564" s="142"/>
      <c r="L564" s="47">
        <v>2</v>
      </c>
      <c r="M564" s="47"/>
      <c r="N564" s="47"/>
      <c r="O564" s="47"/>
      <c r="P564" s="47"/>
      <c r="Q564" s="47"/>
      <c r="R564" s="47"/>
      <c r="S564" s="47"/>
      <c r="T564" s="144"/>
      <c r="U564" s="144"/>
      <c r="V564" s="45"/>
      <c r="W564" s="45"/>
      <c r="X564" s="47"/>
      <c r="Y564" s="144"/>
      <c r="Z564" s="144"/>
      <c r="AA564" s="146"/>
      <c r="AB564" s="146"/>
      <c r="AC564" s="142"/>
      <c r="AD564" s="142"/>
      <c r="AE564" s="142"/>
    </row>
    <row r="565" spans="1:337" s="53" customFormat="1" ht="15" thickBot="1" x14ac:dyDescent="0.4">
      <c r="A565" s="49"/>
      <c r="B565" s="49"/>
      <c r="C565" s="50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49"/>
      <c r="U565" s="49"/>
      <c r="V565" s="49"/>
      <c r="W565" s="49"/>
      <c r="X565" s="51"/>
      <c r="Y565" s="49"/>
      <c r="Z565" s="49"/>
      <c r="AA565" s="52"/>
      <c r="AB565" s="52"/>
      <c r="AC565" s="51"/>
      <c r="AD565" s="51"/>
      <c r="AE565" s="51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/>
      <c r="JV565"/>
      <c r="JW565"/>
      <c r="JX565"/>
      <c r="JY565"/>
      <c r="JZ565"/>
      <c r="KA565"/>
      <c r="KB565"/>
      <c r="KC565"/>
      <c r="KD565"/>
      <c r="KE565"/>
      <c r="KF565"/>
      <c r="KG565"/>
      <c r="KH565"/>
      <c r="KI565"/>
      <c r="KJ565"/>
      <c r="KK565"/>
      <c r="KL565"/>
      <c r="KM565"/>
      <c r="KN565"/>
      <c r="KO565"/>
      <c r="KP565"/>
      <c r="KQ565"/>
      <c r="KR565"/>
      <c r="KS565"/>
      <c r="KT565"/>
      <c r="KU565"/>
      <c r="KV565"/>
      <c r="KW565"/>
      <c r="KX565"/>
      <c r="KY565"/>
      <c r="KZ565"/>
      <c r="LA565"/>
      <c r="LB565"/>
      <c r="LC565"/>
      <c r="LD565"/>
      <c r="LE565"/>
      <c r="LF565"/>
      <c r="LG565"/>
      <c r="LH565"/>
      <c r="LI565"/>
      <c r="LJ565"/>
      <c r="LK565"/>
      <c r="LL565"/>
      <c r="LM565"/>
      <c r="LN565"/>
      <c r="LO565"/>
      <c r="LP565"/>
      <c r="LQ565"/>
      <c r="LR565"/>
      <c r="LS565"/>
      <c r="LT565"/>
      <c r="LU565"/>
      <c r="LV565"/>
      <c r="LW565"/>
      <c r="LX565"/>
      <c r="LY565"/>
    </row>
    <row r="566" spans="1:337" x14ac:dyDescent="0.35">
      <c r="A566" s="41" t="s">
        <v>31</v>
      </c>
      <c r="B566" s="41" t="s">
        <v>32</v>
      </c>
      <c r="C566" s="42">
        <v>46293</v>
      </c>
      <c r="D566" s="43">
        <v>0</v>
      </c>
      <c r="E566" s="43">
        <v>20</v>
      </c>
      <c r="F566" s="43">
        <v>20</v>
      </c>
      <c r="G566" s="43">
        <v>28</v>
      </c>
      <c r="H566" s="43">
        <v>40</v>
      </c>
      <c r="I566" s="43">
        <v>10</v>
      </c>
      <c r="J566" s="43">
        <v>21449</v>
      </c>
      <c r="K566" s="43">
        <f>SUM(L566:L568)</f>
        <v>6</v>
      </c>
      <c r="L566" s="43">
        <v>2</v>
      </c>
      <c r="M566" s="43"/>
      <c r="N566" s="43">
        <v>4</v>
      </c>
      <c r="O566" s="43">
        <v>3</v>
      </c>
      <c r="P566" s="43">
        <v>7</v>
      </c>
      <c r="Q566" s="43">
        <v>6</v>
      </c>
      <c r="R566" s="43">
        <v>9</v>
      </c>
      <c r="S566" s="43">
        <v>9</v>
      </c>
      <c r="T566" s="43">
        <v>25</v>
      </c>
      <c r="U566" s="43">
        <v>4</v>
      </c>
      <c r="V566" s="41" t="s">
        <v>33</v>
      </c>
      <c r="W566" s="41" t="s">
        <v>34</v>
      </c>
      <c r="X566" s="41">
        <v>1</v>
      </c>
      <c r="Y566" s="41">
        <v>3</v>
      </c>
      <c r="Z566" s="41">
        <v>322</v>
      </c>
      <c r="AA566" s="44">
        <v>34</v>
      </c>
      <c r="AB566" s="44">
        <v>34</v>
      </c>
      <c r="AC566" s="43">
        <v>45</v>
      </c>
      <c r="AD566" s="43">
        <v>30</v>
      </c>
      <c r="AE566" s="43">
        <v>45</v>
      </c>
    </row>
    <row r="567" spans="1:337" x14ac:dyDescent="0.35">
      <c r="A567" s="32" t="s">
        <v>31</v>
      </c>
      <c r="B567" s="32" t="s">
        <v>35</v>
      </c>
      <c r="C567" s="33">
        <v>46293</v>
      </c>
      <c r="D567" s="34">
        <v>13</v>
      </c>
      <c r="E567" s="34">
        <v>24</v>
      </c>
      <c r="F567" s="34">
        <v>25</v>
      </c>
      <c r="G567" s="141"/>
      <c r="H567" s="141"/>
      <c r="I567" s="141"/>
      <c r="J567" s="141"/>
      <c r="K567" s="141"/>
      <c r="L567" s="34">
        <v>2</v>
      </c>
      <c r="M567" s="34">
        <v>5</v>
      </c>
      <c r="N567" s="34">
        <v>4</v>
      </c>
      <c r="O567" s="34">
        <v>4</v>
      </c>
      <c r="P567" s="32">
        <v>7</v>
      </c>
      <c r="Q567" s="32">
        <v>7</v>
      </c>
      <c r="R567" s="32">
        <v>8</v>
      </c>
      <c r="S567" s="32">
        <v>6</v>
      </c>
      <c r="T567" s="143"/>
      <c r="U567" s="143"/>
      <c r="V567" s="32" t="s">
        <v>36</v>
      </c>
      <c r="W567" s="32" t="s">
        <v>37</v>
      </c>
      <c r="X567" s="32">
        <v>1</v>
      </c>
      <c r="Y567" s="143"/>
      <c r="Z567" s="143"/>
      <c r="AA567" s="145"/>
      <c r="AB567" s="145"/>
      <c r="AC567" s="141"/>
      <c r="AD567" s="141"/>
      <c r="AE567" s="141"/>
    </row>
    <row r="568" spans="1:337" ht="15" thickBot="1" x14ac:dyDescent="0.4">
      <c r="A568" s="45" t="s">
        <v>31</v>
      </c>
      <c r="B568" s="45" t="s">
        <v>38</v>
      </c>
      <c r="C568" s="46">
        <v>46293</v>
      </c>
      <c r="D568" s="47"/>
      <c r="E568" s="47"/>
      <c r="F568" s="47"/>
      <c r="G568" s="142"/>
      <c r="H568" s="142"/>
      <c r="I568" s="142"/>
      <c r="J568" s="142"/>
      <c r="K568" s="142"/>
      <c r="L568" s="47">
        <v>2</v>
      </c>
      <c r="M568" s="47"/>
      <c r="N568" s="47"/>
      <c r="O568" s="47"/>
      <c r="P568" s="47"/>
      <c r="Q568" s="47"/>
      <c r="R568" s="47"/>
      <c r="S568" s="47"/>
      <c r="T568" s="144"/>
      <c r="U568" s="144"/>
      <c r="V568" s="45"/>
      <c r="W568" s="45"/>
      <c r="X568" s="47"/>
      <c r="Y568" s="144"/>
      <c r="Z568" s="144"/>
      <c r="AA568" s="146"/>
      <c r="AB568" s="146"/>
      <c r="AC568" s="142"/>
      <c r="AD568" s="142"/>
      <c r="AE568" s="142"/>
    </row>
    <row r="569" spans="1:337" s="53" customFormat="1" ht="15" thickBot="1" x14ac:dyDescent="0.4">
      <c r="A569" s="49"/>
      <c r="B569" s="49"/>
      <c r="C569" s="50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49"/>
      <c r="U569" s="49"/>
      <c r="V569" s="49"/>
      <c r="W569" s="49"/>
      <c r="X569" s="51"/>
      <c r="Y569" s="49"/>
      <c r="Z569" s="49"/>
      <c r="AA569" s="52"/>
      <c r="AB569" s="52"/>
      <c r="AC569" s="51"/>
      <c r="AD569" s="51"/>
      <c r="AE569" s="51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/>
      <c r="FH569"/>
      <c r="FI569"/>
      <c r="FJ569"/>
      <c r="FK569"/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/>
      <c r="IX569"/>
      <c r="IY569"/>
      <c r="IZ569"/>
      <c r="JA569"/>
      <c r="JB569"/>
      <c r="JC569"/>
      <c r="JD569"/>
      <c r="JE569"/>
      <c r="JF569"/>
      <c r="JG569"/>
      <c r="JH569"/>
      <c r="JI569"/>
      <c r="JJ569"/>
      <c r="JK569"/>
      <c r="JL569"/>
      <c r="JM569"/>
      <c r="JN569"/>
      <c r="JO569"/>
      <c r="JP569"/>
      <c r="JQ569"/>
      <c r="JR569"/>
      <c r="JS569"/>
      <c r="JT569"/>
      <c r="JU569"/>
      <c r="JV569"/>
      <c r="JW569"/>
      <c r="JX569"/>
      <c r="JY569"/>
      <c r="JZ569"/>
      <c r="KA569"/>
      <c r="KB569"/>
      <c r="KC569"/>
      <c r="KD569"/>
      <c r="KE569"/>
      <c r="KF569"/>
      <c r="KG569"/>
      <c r="KH569"/>
      <c r="KI569"/>
      <c r="KJ569"/>
      <c r="KK569"/>
      <c r="KL569"/>
      <c r="KM569"/>
      <c r="KN569"/>
      <c r="KO569"/>
      <c r="KP569"/>
      <c r="KQ569"/>
      <c r="KR569"/>
      <c r="KS569"/>
      <c r="KT569"/>
      <c r="KU569"/>
      <c r="KV569"/>
      <c r="KW569"/>
      <c r="KX569"/>
      <c r="KY569"/>
      <c r="KZ569"/>
      <c r="LA569"/>
      <c r="LB569"/>
      <c r="LC569"/>
      <c r="LD569"/>
      <c r="LE569"/>
      <c r="LF569"/>
      <c r="LG569"/>
      <c r="LH569"/>
      <c r="LI569"/>
      <c r="LJ569"/>
      <c r="LK569"/>
      <c r="LL569"/>
      <c r="LM569"/>
      <c r="LN569"/>
      <c r="LO569"/>
      <c r="LP569"/>
      <c r="LQ569"/>
      <c r="LR569"/>
      <c r="LS569"/>
      <c r="LT569"/>
      <c r="LU569"/>
      <c r="LV569"/>
      <c r="LW569"/>
      <c r="LX569"/>
      <c r="LY569"/>
    </row>
    <row r="570" spans="1:337" x14ac:dyDescent="0.35">
      <c r="A570" s="41" t="s">
        <v>31</v>
      </c>
      <c r="B570" s="41" t="s">
        <v>32</v>
      </c>
      <c r="C570" s="42">
        <v>46294</v>
      </c>
      <c r="D570" s="43">
        <v>0</v>
      </c>
      <c r="E570" s="43">
        <v>20</v>
      </c>
      <c r="F570" s="43">
        <v>20</v>
      </c>
      <c r="G570" s="43">
        <v>28</v>
      </c>
      <c r="H570" s="43">
        <v>40</v>
      </c>
      <c r="I570" s="43">
        <v>10</v>
      </c>
      <c r="J570" s="43">
        <v>21449</v>
      </c>
      <c r="K570" s="43">
        <f>SUM(L570:L572)</f>
        <v>6</v>
      </c>
      <c r="L570" s="43">
        <v>2</v>
      </c>
      <c r="M570" s="43"/>
      <c r="N570" s="43">
        <v>4</v>
      </c>
      <c r="O570" s="43">
        <v>3</v>
      </c>
      <c r="P570" s="43">
        <v>7</v>
      </c>
      <c r="Q570" s="43">
        <v>6</v>
      </c>
      <c r="R570" s="43">
        <v>9</v>
      </c>
      <c r="S570" s="43">
        <v>9</v>
      </c>
      <c r="T570" s="43">
        <v>25</v>
      </c>
      <c r="U570" s="43">
        <v>4</v>
      </c>
      <c r="V570" s="41" t="s">
        <v>33</v>
      </c>
      <c r="W570" s="41" t="s">
        <v>34</v>
      </c>
      <c r="X570" s="41">
        <v>1</v>
      </c>
      <c r="Y570" s="41">
        <v>3</v>
      </c>
      <c r="Z570" s="41">
        <v>322</v>
      </c>
      <c r="AA570" s="44">
        <v>34</v>
      </c>
      <c r="AB570" s="44">
        <v>34</v>
      </c>
      <c r="AC570" s="43">
        <v>45</v>
      </c>
      <c r="AD570" s="43">
        <v>30</v>
      </c>
      <c r="AE570" s="43">
        <v>45</v>
      </c>
    </row>
    <row r="571" spans="1:337" x14ac:dyDescent="0.35">
      <c r="A571" s="32" t="s">
        <v>31</v>
      </c>
      <c r="B571" s="32" t="s">
        <v>35</v>
      </c>
      <c r="C571" s="33">
        <v>46294</v>
      </c>
      <c r="D571" s="34">
        <v>13</v>
      </c>
      <c r="E571" s="34">
        <v>24</v>
      </c>
      <c r="F571" s="34">
        <v>25</v>
      </c>
      <c r="G571" s="141"/>
      <c r="H571" s="141"/>
      <c r="I571" s="141"/>
      <c r="J571" s="141"/>
      <c r="K571" s="141"/>
      <c r="L571" s="34">
        <v>2</v>
      </c>
      <c r="M571" s="34">
        <v>5</v>
      </c>
      <c r="N571" s="34">
        <v>4</v>
      </c>
      <c r="O571" s="34">
        <v>4</v>
      </c>
      <c r="P571" s="32">
        <v>7</v>
      </c>
      <c r="Q571" s="32">
        <v>7</v>
      </c>
      <c r="R571" s="32">
        <v>8</v>
      </c>
      <c r="S571" s="32">
        <v>6</v>
      </c>
      <c r="T571" s="143"/>
      <c r="U571" s="143"/>
      <c r="V571" s="32" t="s">
        <v>36</v>
      </c>
      <c r="W571" s="32" t="s">
        <v>37</v>
      </c>
      <c r="X571" s="32">
        <v>1</v>
      </c>
      <c r="Y571" s="143"/>
      <c r="Z571" s="143"/>
      <c r="AA571" s="145"/>
      <c r="AB571" s="145"/>
      <c r="AC571" s="141"/>
      <c r="AD571" s="141"/>
      <c r="AE571" s="141"/>
    </row>
    <row r="572" spans="1:337" ht="15" thickBot="1" x14ac:dyDescent="0.4">
      <c r="A572" s="45" t="s">
        <v>31</v>
      </c>
      <c r="B572" s="45" t="s">
        <v>38</v>
      </c>
      <c r="C572" s="46">
        <v>46294</v>
      </c>
      <c r="D572" s="47"/>
      <c r="E572" s="47"/>
      <c r="F572" s="47"/>
      <c r="G572" s="142"/>
      <c r="H572" s="142"/>
      <c r="I572" s="142"/>
      <c r="J572" s="142"/>
      <c r="K572" s="142"/>
      <c r="L572" s="47">
        <v>2</v>
      </c>
      <c r="M572" s="47"/>
      <c r="N572" s="47"/>
      <c r="O572" s="47"/>
      <c r="P572" s="47"/>
      <c r="Q572" s="47"/>
      <c r="R572" s="47"/>
      <c r="S572" s="47"/>
      <c r="T572" s="144"/>
      <c r="U572" s="144"/>
      <c r="V572" s="45"/>
      <c r="W572" s="45"/>
      <c r="X572" s="47"/>
      <c r="Y572" s="144"/>
      <c r="Z572" s="144"/>
      <c r="AA572" s="146"/>
      <c r="AB572" s="146"/>
      <c r="AC572" s="142"/>
      <c r="AD572" s="142"/>
      <c r="AE572" s="142"/>
    </row>
    <row r="573" spans="1:337" s="53" customFormat="1" ht="15" thickBot="1" x14ac:dyDescent="0.4">
      <c r="A573" s="49"/>
      <c r="B573" s="49"/>
      <c r="C573" s="50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49"/>
      <c r="U573" s="49"/>
      <c r="V573" s="49"/>
      <c r="W573" s="49"/>
      <c r="X573" s="51"/>
      <c r="Y573" s="49"/>
      <c r="Z573" s="49"/>
      <c r="AA573" s="52"/>
      <c r="AB573" s="52"/>
      <c r="AC573" s="51"/>
      <c r="AD573" s="51"/>
      <c r="AE573" s="51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/>
      <c r="FK573"/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/>
      <c r="JN573"/>
      <c r="JO573"/>
      <c r="JP573"/>
      <c r="JQ573"/>
      <c r="JR573"/>
      <c r="JS573"/>
      <c r="JT573"/>
      <c r="JU573"/>
      <c r="JV573"/>
      <c r="JW573"/>
      <c r="JX573"/>
      <c r="JY573"/>
      <c r="JZ573"/>
      <c r="KA573"/>
      <c r="KB573"/>
      <c r="KC573"/>
      <c r="KD573"/>
      <c r="KE573"/>
      <c r="KF573"/>
      <c r="KG573"/>
      <c r="KH573"/>
      <c r="KI573"/>
      <c r="KJ573"/>
      <c r="KK573"/>
      <c r="KL573"/>
      <c r="KM573"/>
      <c r="KN573"/>
      <c r="KO573"/>
      <c r="KP573"/>
      <c r="KQ573"/>
      <c r="KR573"/>
      <c r="KS573"/>
      <c r="KT573"/>
      <c r="KU573"/>
      <c r="KV573"/>
      <c r="KW573"/>
      <c r="KX573"/>
      <c r="KY573"/>
      <c r="KZ573"/>
      <c r="LA573"/>
      <c r="LB573"/>
      <c r="LC573"/>
      <c r="LD573"/>
      <c r="LE573"/>
      <c r="LF573"/>
      <c r="LG573"/>
      <c r="LH573"/>
      <c r="LI573"/>
      <c r="LJ573"/>
      <c r="LK573"/>
      <c r="LL573"/>
      <c r="LM573"/>
      <c r="LN573"/>
      <c r="LO573"/>
      <c r="LP573"/>
      <c r="LQ573"/>
      <c r="LR573"/>
      <c r="LS573"/>
      <c r="LT573"/>
      <c r="LU573"/>
      <c r="LV573"/>
      <c r="LW573"/>
      <c r="LX573"/>
      <c r="LY573"/>
    </row>
    <row r="574" spans="1:337" x14ac:dyDescent="0.35">
      <c r="A574" s="41" t="s">
        <v>31</v>
      </c>
      <c r="B574" s="41" t="s">
        <v>32</v>
      </c>
      <c r="C574" s="42">
        <v>46295</v>
      </c>
      <c r="D574" s="43">
        <v>0</v>
      </c>
      <c r="E574" s="43">
        <v>20</v>
      </c>
      <c r="F574" s="43">
        <v>20</v>
      </c>
      <c r="G574" s="43">
        <v>28</v>
      </c>
      <c r="H574" s="43">
        <v>40</v>
      </c>
      <c r="I574" s="43">
        <v>10</v>
      </c>
      <c r="J574" s="43">
        <v>21449</v>
      </c>
      <c r="K574" s="43">
        <f>SUM(L574:L576)</f>
        <v>6</v>
      </c>
      <c r="L574" s="43">
        <v>2</v>
      </c>
      <c r="M574" s="43"/>
      <c r="N574" s="43">
        <v>4</v>
      </c>
      <c r="O574" s="43">
        <v>3</v>
      </c>
      <c r="P574" s="43">
        <v>7</v>
      </c>
      <c r="Q574" s="43">
        <v>6</v>
      </c>
      <c r="R574" s="43">
        <v>9</v>
      </c>
      <c r="S574" s="43">
        <v>9</v>
      </c>
      <c r="T574" s="43">
        <v>25</v>
      </c>
      <c r="U574" s="43">
        <v>4</v>
      </c>
      <c r="V574" s="41" t="s">
        <v>33</v>
      </c>
      <c r="W574" s="41" t="s">
        <v>34</v>
      </c>
      <c r="X574" s="41">
        <v>1</v>
      </c>
      <c r="Y574" s="41">
        <v>3</v>
      </c>
      <c r="Z574" s="41">
        <v>322</v>
      </c>
      <c r="AA574" s="44">
        <v>34</v>
      </c>
      <c r="AB574" s="44">
        <v>34</v>
      </c>
      <c r="AC574" s="43">
        <v>45</v>
      </c>
      <c r="AD574" s="43">
        <v>30</v>
      </c>
      <c r="AE574" s="43">
        <v>45</v>
      </c>
    </row>
    <row r="575" spans="1:337" x14ac:dyDescent="0.35">
      <c r="A575" s="32" t="s">
        <v>31</v>
      </c>
      <c r="B575" s="32" t="s">
        <v>35</v>
      </c>
      <c r="C575" s="33">
        <v>46295</v>
      </c>
      <c r="D575" s="34">
        <v>13</v>
      </c>
      <c r="E575" s="34">
        <v>24</v>
      </c>
      <c r="F575" s="34">
        <v>25</v>
      </c>
      <c r="G575" s="141"/>
      <c r="H575" s="141"/>
      <c r="I575" s="141"/>
      <c r="J575" s="141"/>
      <c r="K575" s="141"/>
      <c r="L575" s="34">
        <v>2</v>
      </c>
      <c r="M575" s="34">
        <v>5</v>
      </c>
      <c r="N575" s="34">
        <v>4</v>
      </c>
      <c r="O575" s="34">
        <v>4</v>
      </c>
      <c r="P575" s="32">
        <v>7</v>
      </c>
      <c r="Q575" s="32">
        <v>7</v>
      </c>
      <c r="R575" s="32">
        <v>8</v>
      </c>
      <c r="S575" s="32">
        <v>6</v>
      </c>
      <c r="T575" s="143"/>
      <c r="U575" s="143"/>
      <c r="V575" s="32" t="s">
        <v>36</v>
      </c>
      <c r="W575" s="32" t="s">
        <v>37</v>
      </c>
      <c r="X575" s="32">
        <v>1</v>
      </c>
      <c r="Y575" s="143"/>
      <c r="Z575" s="143"/>
      <c r="AA575" s="145"/>
      <c r="AB575" s="145"/>
      <c r="AC575" s="141"/>
      <c r="AD575" s="141"/>
      <c r="AE575" s="141"/>
    </row>
    <row r="576" spans="1:337" ht="15" thickBot="1" x14ac:dyDescent="0.4">
      <c r="A576" s="45" t="s">
        <v>31</v>
      </c>
      <c r="B576" s="45" t="s">
        <v>38</v>
      </c>
      <c r="C576" s="46">
        <v>46295</v>
      </c>
      <c r="D576" s="47"/>
      <c r="E576" s="47"/>
      <c r="F576" s="47"/>
      <c r="G576" s="142"/>
      <c r="H576" s="142"/>
      <c r="I576" s="142"/>
      <c r="J576" s="142"/>
      <c r="K576" s="142"/>
      <c r="L576" s="47">
        <v>2</v>
      </c>
      <c r="M576" s="47"/>
      <c r="N576" s="47"/>
      <c r="O576" s="47"/>
      <c r="P576" s="47"/>
      <c r="Q576" s="47"/>
      <c r="R576" s="47"/>
      <c r="S576" s="47"/>
      <c r="T576" s="144"/>
      <c r="U576" s="144"/>
      <c r="V576" s="45"/>
      <c r="W576" s="45"/>
      <c r="X576" s="47"/>
      <c r="Y576" s="144"/>
      <c r="Z576" s="144"/>
      <c r="AA576" s="146"/>
      <c r="AB576" s="146"/>
      <c r="AC576" s="142"/>
      <c r="AD576" s="142"/>
      <c r="AE576" s="142"/>
    </row>
    <row r="577" spans="1:337" s="53" customFormat="1" ht="15" thickBot="1" x14ac:dyDescent="0.4">
      <c r="A577" s="49"/>
      <c r="B577" s="49"/>
      <c r="C577" s="50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49"/>
      <c r="U577" s="49"/>
      <c r="V577" s="49"/>
      <c r="W577" s="49"/>
      <c r="X577" s="51"/>
      <c r="Y577" s="49"/>
      <c r="Z577" s="49"/>
      <c r="AA577" s="52"/>
      <c r="AB577" s="52"/>
      <c r="AC577" s="51"/>
      <c r="AD577" s="51"/>
      <c r="AE577" s="51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/>
      <c r="FG577"/>
      <c r="FH577"/>
      <c r="FI577"/>
      <c r="FJ577"/>
      <c r="FK577"/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/>
      <c r="JP577"/>
      <c r="JQ577"/>
      <c r="JR577"/>
      <c r="JS577"/>
      <c r="JT577"/>
      <c r="JU577"/>
      <c r="JV577"/>
      <c r="JW577"/>
      <c r="JX577"/>
      <c r="JY577"/>
      <c r="JZ577"/>
      <c r="KA577"/>
      <c r="KB577"/>
      <c r="KC577"/>
      <c r="KD577"/>
      <c r="KE577"/>
      <c r="KF577"/>
      <c r="KG577"/>
      <c r="KH577"/>
      <c r="KI577"/>
      <c r="KJ577"/>
      <c r="KK577"/>
      <c r="KL577"/>
      <c r="KM577"/>
      <c r="KN577"/>
      <c r="KO577"/>
      <c r="KP577"/>
      <c r="KQ577"/>
      <c r="KR577"/>
      <c r="KS577"/>
      <c r="KT577"/>
      <c r="KU577"/>
      <c r="KV577"/>
      <c r="KW577"/>
      <c r="KX577"/>
      <c r="KY577"/>
      <c r="KZ577"/>
      <c r="LA577"/>
      <c r="LB577"/>
      <c r="LC577"/>
      <c r="LD577"/>
      <c r="LE577"/>
      <c r="LF577"/>
      <c r="LG577"/>
      <c r="LH577"/>
      <c r="LI577"/>
      <c r="LJ577"/>
      <c r="LK577"/>
      <c r="LL577"/>
      <c r="LM577"/>
      <c r="LN577"/>
      <c r="LO577"/>
      <c r="LP577"/>
      <c r="LQ577"/>
      <c r="LR577"/>
      <c r="LS577"/>
      <c r="LT577"/>
      <c r="LU577"/>
      <c r="LV577"/>
      <c r="LW577"/>
      <c r="LX577"/>
      <c r="LY577"/>
    </row>
    <row r="578" spans="1:337" x14ac:dyDescent="0.35">
      <c r="A578" s="41" t="s">
        <v>31</v>
      </c>
      <c r="B578" s="41" t="s">
        <v>32</v>
      </c>
      <c r="C578" s="42">
        <v>46296</v>
      </c>
      <c r="D578" s="43">
        <v>0</v>
      </c>
      <c r="E578" s="43">
        <v>20</v>
      </c>
      <c r="F578" s="43">
        <v>20</v>
      </c>
      <c r="G578" s="43">
        <v>28</v>
      </c>
      <c r="H578" s="43">
        <v>40</v>
      </c>
      <c r="I578" s="43">
        <v>10</v>
      </c>
      <c r="J578" s="43">
        <v>21449</v>
      </c>
      <c r="K578" s="43">
        <f>SUM(L578:L580)</f>
        <v>6</v>
      </c>
      <c r="L578" s="43">
        <v>2</v>
      </c>
      <c r="M578" s="43"/>
      <c r="N578" s="43">
        <v>4</v>
      </c>
      <c r="O578" s="43">
        <v>3</v>
      </c>
      <c r="P578" s="43">
        <v>7</v>
      </c>
      <c r="Q578" s="43">
        <v>6</v>
      </c>
      <c r="R578" s="43">
        <v>9</v>
      </c>
      <c r="S578" s="43">
        <v>9</v>
      </c>
      <c r="T578" s="43">
        <v>20</v>
      </c>
      <c r="U578" s="43">
        <v>3</v>
      </c>
      <c r="V578" s="41" t="s">
        <v>33</v>
      </c>
      <c r="W578" s="41" t="s">
        <v>34</v>
      </c>
      <c r="X578" s="41">
        <v>1</v>
      </c>
      <c r="Y578" s="41">
        <v>3</v>
      </c>
      <c r="Z578" s="41">
        <v>322</v>
      </c>
      <c r="AA578" s="44">
        <v>34</v>
      </c>
      <c r="AB578" s="44">
        <v>34</v>
      </c>
      <c r="AC578" s="43">
        <v>45</v>
      </c>
      <c r="AD578" s="43">
        <v>30</v>
      </c>
      <c r="AE578" s="43">
        <v>45</v>
      </c>
    </row>
    <row r="579" spans="1:337" x14ac:dyDescent="0.35">
      <c r="A579" s="32" t="s">
        <v>31</v>
      </c>
      <c r="B579" s="32" t="s">
        <v>35</v>
      </c>
      <c r="C579" s="33">
        <v>46296</v>
      </c>
      <c r="D579" s="34">
        <v>13</v>
      </c>
      <c r="E579" s="34">
        <v>24</v>
      </c>
      <c r="F579" s="34">
        <v>25</v>
      </c>
      <c r="G579" s="141"/>
      <c r="H579" s="141"/>
      <c r="I579" s="141"/>
      <c r="J579" s="141"/>
      <c r="K579" s="141"/>
      <c r="L579" s="34">
        <v>2</v>
      </c>
      <c r="M579" s="34">
        <v>5</v>
      </c>
      <c r="N579" s="34">
        <v>4</v>
      </c>
      <c r="O579" s="34">
        <v>4</v>
      </c>
      <c r="P579" s="32">
        <v>7</v>
      </c>
      <c r="Q579" s="32">
        <v>7</v>
      </c>
      <c r="R579" s="32">
        <v>8</v>
      </c>
      <c r="S579" s="32">
        <v>6</v>
      </c>
      <c r="T579" s="143"/>
      <c r="U579" s="143"/>
      <c r="V579" s="32" t="s">
        <v>36</v>
      </c>
      <c r="W579" s="32" t="s">
        <v>37</v>
      </c>
      <c r="X579" s="32">
        <v>1</v>
      </c>
      <c r="Y579" s="143"/>
      <c r="Z579" s="143"/>
      <c r="AA579" s="145"/>
      <c r="AB579" s="145"/>
      <c r="AC579" s="141"/>
      <c r="AD579" s="141"/>
      <c r="AE579" s="141"/>
    </row>
    <row r="580" spans="1:337" ht="15" thickBot="1" x14ac:dyDescent="0.4">
      <c r="A580" s="45" t="s">
        <v>31</v>
      </c>
      <c r="B580" s="45" t="s">
        <v>38</v>
      </c>
      <c r="C580" s="46">
        <v>46296</v>
      </c>
      <c r="D580" s="47"/>
      <c r="E580" s="47"/>
      <c r="F580" s="47"/>
      <c r="G580" s="142"/>
      <c r="H580" s="142"/>
      <c r="I580" s="142"/>
      <c r="J580" s="142"/>
      <c r="K580" s="142"/>
      <c r="L580" s="47">
        <v>2</v>
      </c>
      <c r="M580" s="47"/>
      <c r="N580" s="47"/>
      <c r="O580" s="47"/>
      <c r="P580" s="47"/>
      <c r="Q580" s="47"/>
      <c r="R580" s="47"/>
      <c r="S580" s="47"/>
      <c r="T580" s="144"/>
      <c r="U580" s="144"/>
      <c r="V580" s="45"/>
      <c r="W580" s="45"/>
      <c r="X580" s="47"/>
      <c r="Y580" s="144"/>
      <c r="Z580" s="144"/>
      <c r="AA580" s="146"/>
      <c r="AB580" s="146"/>
      <c r="AC580" s="142"/>
      <c r="AD580" s="142"/>
      <c r="AE580" s="142"/>
    </row>
    <row r="581" spans="1:337" s="53" customFormat="1" ht="15" thickBot="1" x14ac:dyDescent="0.4">
      <c r="A581" s="49"/>
      <c r="B581" s="49"/>
      <c r="C581" s="50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49"/>
      <c r="U581" s="49"/>
      <c r="V581" s="49"/>
      <c r="W581" s="49"/>
      <c r="X581" s="51"/>
      <c r="Y581" s="49"/>
      <c r="Z581" s="49"/>
      <c r="AA581" s="52"/>
      <c r="AB581" s="52"/>
      <c r="AC581" s="51"/>
      <c r="AD581" s="51"/>
      <c r="AE581" s="5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/>
      <c r="FH581"/>
      <c r="FI581"/>
      <c r="FJ581"/>
      <c r="FK581"/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/>
      <c r="JT581"/>
      <c r="JU581"/>
      <c r="JV581"/>
      <c r="JW581"/>
      <c r="JX581"/>
      <c r="JY581"/>
      <c r="JZ581"/>
      <c r="KA581"/>
      <c r="KB581"/>
      <c r="KC581"/>
      <c r="KD581"/>
      <c r="KE581"/>
      <c r="KF581"/>
      <c r="KG581"/>
      <c r="KH581"/>
      <c r="KI581"/>
      <c r="KJ581"/>
      <c r="KK581"/>
      <c r="KL581"/>
      <c r="KM581"/>
      <c r="KN581"/>
      <c r="KO581"/>
      <c r="KP581"/>
      <c r="KQ581"/>
      <c r="KR581"/>
      <c r="KS581"/>
      <c r="KT581"/>
      <c r="KU581"/>
      <c r="KV581"/>
      <c r="KW581"/>
      <c r="KX581"/>
      <c r="KY581"/>
      <c r="KZ581"/>
      <c r="LA581"/>
      <c r="LB581"/>
      <c r="LC581"/>
      <c r="LD581"/>
      <c r="LE581"/>
      <c r="LF581"/>
      <c r="LG581"/>
      <c r="LH581"/>
      <c r="LI581"/>
      <c r="LJ581"/>
      <c r="LK581"/>
      <c r="LL581"/>
      <c r="LM581"/>
      <c r="LN581"/>
      <c r="LO581"/>
      <c r="LP581"/>
      <c r="LQ581"/>
      <c r="LR581"/>
      <c r="LS581"/>
      <c r="LT581"/>
      <c r="LU581"/>
      <c r="LV581"/>
      <c r="LW581"/>
      <c r="LX581"/>
      <c r="LY581"/>
    </row>
    <row r="582" spans="1:337" x14ac:dyDescent="0.35">
      <c r="A582" s="41" t="s">
        <v>31</v>
      </c>
      <c r="B582" s="41" t="s">
        <v>32</v>
      </c>
      <c r="C582" s="42">
        <v>46297</v>
      </c>
      <c r="D582" s="43">
        <v>0</v>
      </c>
      <c r="E582" s="43">
        <v>20</v>
      </c>
      <c r="F582" s="43">
        <v>20</v>
      </c>
      <c r="G582" s="43">
        <v>28</v>
      </c>
      <c r="H582" s="43">
        <v>40</v>
      </c>
      <c r="I582" s="43">
        <v>10</v>
      </c>
      <c r="J582" s="43">
        <v>21449</v>
      </c>
      <c r="K582" s="43">
        <f>SUM(L582:L584)</f>
        <v>6</v>
      </c>
      <c r="L582" s="43">
        <v>2</v>
      </c>
      <c r="M582" s="43"/>
      <c r="N582" s="43">
        <v>4</v>
      </c>
      <c r="O582" s="43">
        <v>3</v>
      </c>
      <c r="P582" s="43">
        <v>7</v>
      </c>
      <c r="Q582" s="43">
        <v>6</v>
      </c>
      <c r="R582" s="43">
        <v>9</v>
      </c>
      <c r="S582" s="43">
        <v>9</v>
      </c>
      <c r="T582" s="43">
        <v>25</v>
      </c>
      <c r="U582" s="43">
        <v>4</v>
      </c>
      <c r="V582" s="41" t="s">
        <v>33</v>
      </c>
      <c r="W582" s="41" t="s">
        <v>34</v>
      </c>
      <c r="X582" s="41">
        <v>1</v>
      </c>
      <c r="Y582" s="41">
        <v>3</v>
      </c>
      <c r="Z582" s="41">
        <v>322</v>
      </c>
      <c r="AA582" s="44">
        <v>34</v>
      </c>
      <c r="AB582" s="44">
        <v>34</v>
      </c>
      <c r="AC582" s="43">
        <v>45</v>
      </c>
      <c r="AD582" s="43">
        <v>30</v>
      </c>
      <c r="AE582" s="43">
        <v>45</v>
      </c>
    </row>
    <row r="583" spans="1:337" x14ac:dyDescent="0.35">
      <c r="A583" s="32" t="s">
        <v>31</v>
      </c>
      <c r="B583" s="32" t="s">
        <v>35</v>
      </c>
      <c r="C583" s="33">
        <v>46297</v>
      </c>
      <c r="D583" s="34">
        <v>13</v>
      </c>
      <c r="E583" s="34">
        <v>24</v>
      </c>
      <c r="F583" s="34">
        <v>25</v>
      </c>
      <c r="G583" s="141"/>
      <c r="H583" s="141"/>
      <c r="I583" s="141"/>
      <c r="J583" s="141"/>
      <c r="K583" s="141"/>
      <c r="L583" s="34">
        <v>2</v>
      </c>
      <c r="M583" s="34">
        <v>5</v>
      </c>
      <c r="N583" s="34">
        <v>4</v>
      </c>
      <c r="O583" s="34">
        <v>4</v>
      </c>
      <c r="P583" s="32">
        <v>7</v>
      </c>
      <c r="Q583" s="32">
        <v>7</v>
      </c>
      <c r="R583" s="32">
        <v>8</v>
      </c>
      <c r="S583" s="32">
        <v>6</v>
      </c>
      <c r="T583" s="143"/>
      <c r="U583" s="143"/>
      <c r="V583" s="32" t="s">
        <v>36</v>
      </c>
      <c r="W583" s="32" t="s">
        <v>37</v>
      </c>
      <c r="X583" s="32">
        <v>1</v>
      </c>
      <c r="Y583" s="143"/>
      <c r="Z583" s="143"/>
      <c r="AA583" s="145"/>
      <c r="AB583" s="145"/>
      <c r="AC583" s="141"/>
      <c r="AD583" s="141"/>
      <c r="AE583" s="141"/>
    </row>
    <row r="584" spans="1:337" ht="15" thickBot="1" x14ac:dyDescent="0.4">
      <c r="A584" s="45" t="s">
        <v>31</v>
      </c>
      <c r="B584" s="45" t="s">
        <v>38</v>
      </c>
      <c r="C584" s="46">
        <v>46297</v>
      </c>
      <c r="D584" s="47"/>
      <c r="E584" s="47"/>
      <c r="F584" s="47"/>
      <c r="G584" s="142"/>
      <c r="H584" s="142"/>
      <c r="I584" s="142"/>
      <c r="J584" s="142"/>
      <c r="K584" s="142"/>
      <c r="L584" s="47">
        <v>2</v>
      </c>
      <c r="M584" s="47"/>
      <c r="N584" s="47"/>
      <c r="O584" s="47"/>
      <c r="P584" s="47"/>
      <c r="Q584" s="47"/>
      <c r="R584" s="47"/>
      <c r="S584" s="47"/>
      <c r="T584" s="144"/>
      <c r="U584" s="144"/>
      <c r="V584" s="45"/>
      <c r="W584" s="45"/>
      <c r="X584" s="47"/>
      <c r="Y584" s="144"/>
      <c r="Z584" s="144"/>
      <c r="AA584" s="146"/>
      <c r="AB584" s="146"/>
      <c r="AC584" s="142"/>
      <c r="AD584" s="142"/>
      <c r="AE584" s="142"/>
    </row>
    <row r="585" spans="1:337" s="53" customFormat="1" ht="15" thickBot="1" x14ac:dyDescent="0.4">
      <c r="A585" s="49"/>
      <c r="B585" s="49"/>
      <c r="C585" s="50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49"/>
      <c r="U585" s="49"/>
      <c r="V585" s="49"/>
      <c r="W585" s="49"/>
      <c r="X585" s="51"/>
      <c r="Y585" s="49"/>
      <c r="Z585" s="49"/>
      <c r="AA585" s="52"/>
      <c r="AB585" s="52"/>
      <c r="AC585" s="51"/>
      <c r="AD585" s="51"/>
      <c r="AE585" s="51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/>
      <c r="FK585"/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/>
      <c r="JV585"/>
      <c r="JW585"/>
      <c r="JX585"/>
      <c r="JY585"/>
      <c r="JZ585"/>
      <c r="KA585"/>
      <c r="KB585"/>
      <c r="KC585"/>
      <c r="KD585"/>
      <c r="KE585"/>
      <c r="KF585"/>
      <c r="KG585"/>
      <c r="KH585"/>
      <c r="KI585"/>
      <c r="KJ585"/>
      <c r="KK585"/>
      <c r="KL585"/>
      <c r="KM585"/>
      <c r="KN585"/>
      <c r="KO585"/>
      <c r="KP585"/>
      <c r="KQ585"/>
      <c r="KR585"/>
      <c r="KS585"/>
      <c r="KT585"/>
      <c r="KU585"/>
      <c r="KV585"/>
      <c r="KW585"/>
      <c r="KX585"/>
      <c r="KY585"/>
      <c r="KZ585"/>
      <c r="LA585"/>
      <c r="LB585"/>
      <c r="LC585"/>
      <c r="LD585"/>
      <c r="LE585"/>
      <c r="LF585"/>
      <c r="LG585"/>
      <c r="LH585"/>
      <c r="LI585"/>
      <c r="LJ585"/>
      <c r="LK585"/>
      <c r="LL585"/>
      <c r="LM585"/>
      <c r="LN585"/>
      <c r="LO585"/>
      <c r="LP585"/>
      <c r="LQ585"/>
      <c r="LR585"/>
      <c r="LS585"/>
      <c r="LT585"/>
      <c r="LU585"/>
      <c r="LV585"/>
      <c r="LW585"/>
      <c r="LX585"/>
      <c r="LY585"/>
    </row>
    <row r="586" spans="1:337" x14ac:dyDescent="0.35">
      <c r="A586" s="41" t="s">
        <v>31</v>
      </c>
      <c r="B586" s="41" t="s">
        <v>32</v>
      </c>
      <c r="C586" s="42">
        <v>46300</v>
      </c>
      <c r="D586" s="43">
        <v>0</v>
      </c>
      <c r="E586" s="43">
        <v>20</v>
      </c>
      <c r="F586" s="43">
        <v>20</v>
      </c>
      <c r="G586" s="43">
        <v>28</v>
      </c>
      <c r="H586" s="43">
        <v>40</v>
      </c>
      <c r="I586" s="43">
        <v>10</v>
      </c>
      <c r="J586" s="43">
        <v>21449</v>
      </c>
      <c r="K586" s="43">
        <f>SUM(L586:L588)</f>
        <v>6</v>
      </c>
      <c r="L586" s="43">
        <v>2</v>
      </c>
      <c r="M586" s="43"/>
      <c r="N586" s="43">
        <v>4</v>
      </c>
      <c r="O586" s="43">
        <v>3</v>
      </c>
      <c r="P586" s="43">
        <v>7</v>
      </c>
      <c r="Q586" s="43">
        <v>6</v>
      </c>
      <c r="R586" s="43">
        <v>9</v>
      </c>
      <c r="S586" s="43">
        <v>9</v>
      </c>
      <c r="T586" s="43">
        <v>25</v>
      </c>
      <c r="U586" s="43">
        <v>4</v>
      </c>
      <c r="V586" s="41" t="s">
        <v>33</v>
      </c>
      <c r="W586" s="41" t="s">
        <v>34</v>
      </c>
      <c r="X586" s="41">
        <v>1</v>
      </c>
      <c r="Y586" s="41">
        <v>3</v>
      </c>
      <c r="Z586" s="41">
        <v>322</v>
      </c>
      <c r="AA586" s="44">
        <v>34</v>
      </c>
      <c r="AB586" s="44">
        <v>34</v>
      </c>
      <c r="AC586" s="43">
        <v>45</v>
      </c>
      <c r="AD586" s="43">
        <v>30</v>
      </c>
      <c r="AE586" s="43">
        <v>45</v>
      </c>
    </row>
    <row r="587" spans="1:337" x14ac:dyDescent="0.35">
      <c r="A587" s="32" t="s">
        <v>31</v>
      </c>
      <c r="B587" s="32" t="s">
        <v>35</v>
      </c>
      <c r="C587" s="33">
        <v>46300</v>
      </c>
      <c r="D587" s="34">
        <v>13</v>
      </c>
      <c r="E587" s="34">
        <v>24</v>
      </c>
      <c r="F587" s="34">
        <v>25</v>
      </c>
      <c r="G587" s="141"/>
      <c r="H587" s="141"/>
      <c r="I587" s="141"/>
      <c r="J587" s="141"/>
      <c r="K587" s="141"/>
      <c r="L587" s="34">
        <v>2</v>
      </c>
      <c r="M587" s="34">
        <v>5</v>
      </c>
      <c r="N587" s="34">
        <v>4</v>
      </c>
      <c r="O587" s="34">
        <v>4</v>
      </c>
      <c r="P587" s="32">
        <v>7</v>
      </c>
      <c r="Q587" s="32">
        <v>7</v>
      </c>
      <c r="R587" s="32">
        <v>8</v>
      </c>
      <c r="S587" s="32">
        <v>6</v>
      </c>
      <c r="T587" s="143"/>
      <c r="U587" s="143"/>
      <c r="V587" s="32" t="s">
        <v>36</v>
      </c>
      <c r="W587" s="32" t="s">
        <v>37</v>
      </c>
      <c r="X587" s="32">
        <v>1</v>
      </c>
      <c r="Y587" s="143"/>
      <c r="Z587" s="143"/>
      <c r="AA587" s="145"/>
      <c r="AB587" s="145"/>
      <c r="AC587" s="141"/>
      <c r="AD587" s="141"/>
      <c r="AE587" s="141"/>
    </row>
    <row r="588" spans="1:337" ht="15" thickBot="1" x14ac:dyDescent="0.4">
      <c r="A588" s="45" t="s">
        <v>31</v>
      </c>
      <c r="B588" s="45" t="s">
        <v>38</v>
      </c>
      <c r="C588" s="46">
        <v>46300</v>
      </c>
      <c r="D588" s="47"/>
      <c r="E588" s="47"/>
      <c r="F588" s="47"/>
      <c r="G588" s="142"/>
      <c r="H588" s="142"/>
      <c r="I588" s="142"/>
      <c r="J588" s="142"/>
      <c r="K588" s="142"/>
      <c r="L588" s="47">
        <v>2</v>
      </c>
      <c r="M588" s="47"/>
      <c r="N588" s="47"/>
      <c r="O588" s="47"/>
      <c r="P588" s="47"/>
      <c r="Q588" s="47"/>
      <c r="R588" s="47"/>
      <c r="S588" s="47"/>
      <c r="T588" s="144"/>
      <c r="U588" s="144"/>
      <c r="V588" s="45"/>
      <c r="W588" s="45"/>
      <c r="X588" s="47"/>
      <c r="Y588" s="144"/>
      <c r="Z588" s="144"/>
      <c r="AA588" s="146"/>
      <c r="AB588" s="146"/>
      <c r="AC588" s="142"/>
      <c r="AD588" s="142"/>
      <c r="AE588" s="142"/>
    </row>
    <row r="589" spans="1:337" s="53" customFormat="1" ht="15" thickBot="1" x14ac:dyDescent="0.4">
      <c r="A589" s="49"/>
      <c r="B589" s="49"/>
      <c r="C589" s="50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49"/>
      <c r="U589" s="49"/>
      <c r="V589" s="49"/>
      <c r="W589" s="49"/>
      <c r="X589" s="51"/>
      <c r="Y589" s="49"/>
      <c r="Z589" s="49"/>
      <c r="AA589" s="52"/>
      <c r="AB589" s="52"/>
      <c r="AC589" s="51"/>
      <c r="AD589" s="51"/>
      <c r="AE589" s="51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/>
      <c r="FK589"/>
      <c r="FL589"/>
      <c r="FM589"/>
      <c r="FN589"/>
      <c r="FO589"/>
      <c r="FP589"/>
      <c r="FQ589"/>
      <c r="FR589"/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/>
      <c r="KA589"/>
      <c r="KB589"/>
      <c r="KC589"/>
      <c r="KD589"/>
      <c r="KE589"/>
      <c r="KF589"/>
      <c r="KG589"/>
      <c r="KH589"/>
      <c r="KI589"/>
      <c r="KJ589"/>
      <c r="KK589"/>
      <c r="KL589"/>
      <c r="KM589"/>
      <c r="KN589"/>
      <c r="KO589"/>
      <c r="KP589"/>
      <c r="KQ589"/>
      <c r="KR589"/>
      <c r="KS589"/>
      <c r="KT589"/>
      <c r="KU589"/>
      <c r="KV589"/>
      <c r="KW589"/>
      <c r="KX589"/>
      <c r="KY589"/>
      <c r="KZ589"/>
      <c r="LA589"/>
      <c r="LB589"/>
      <c r="LC589"/>
      <c r="LD589"/>
      <c r="LE589"/>
      <c r="LF589"/>
      <c r="LG589"/>
      <c r="LH589"/>
      <c r="LI589"/>
      <c r="LJ589"/>
      <c r="LK589"/>
      <c r="LL589"/>
      <c r="LM589"/>
      <c r="LN589"/>
      <c r="LO589"/>
      <c r="LP589"/>
      <c r="LQ589"/>
      <c r="LR589"/>
      <c r="LS589"/>
      <c r="LT589"/>
      <c r="LU589"/>
      <c r="LV589"/>
      <c r="LW589"/>
      <c r="LX589"/>
      <c r="LY589"/>
    </row>
    <row r="590" spans="1:337" x14ac:dyDescent="0.35">
      <c r="A590" s="41" t="s">
        <v>31</v>
      </c>
      <c r="B590" s="41" t="s">
        <v>32</v>
      </c>
      <c r="C590" s="42">
        <v>46301</v>
      </c>
      <c r="D590" s="43">
        <v>0</v>
      </c>
      <c r="E590" s="43">
        <v>20</v>
      </c>
      <c r="F590" s="43">
        <v>20</v>
      </c>
      <c r="G590" s="43">
        <v>28</v>
      </c>
      <c r="H590" s="43">
        <v>40</v>
      </c>
      <c r="I590" s="43">
        <v>10</v>
      </c>
      <c r="J590" s="43">
        <v>21449</v>
      </c>
      <c r="K590" s="43">
        <f>SUM(L590:L592)</f>
        <v>6</v>
      </c>
      <c r="L590" s="43">
        <v>2</v>
      </c>
      <c r="M590" s="43"/>
      <c r="N590" s="43">
        <v>4</v>
      </c>
      <c r="O590" s="43">
        <v>3</v>
      </c>
      <c r="P590" s="43">
        <v>7</v>
      </c>
      <c r="Q590" s="43">
        <v>6</v>
      </c>
      <c r="R590" s="43">
        <v>9</v>
      </c>
      <c r="S590" s="43">
        <v>9</v>
      </c>
      <c r="T590" s="43">
        <v>25</v>
      </c>
      <c r="U590" s="43">
        <v>4</v>
      </c>
      <c r="V590" s="41" t="s">
        <v>33</v>
      </c>
      <c r="W590" s="41" t="s">
        <v>34</v>
      </c>
      <c r="X590" s="41">
        <v>1</v>
      </c>
      <c r="Y590" s="41">
        <v>3</v>
      </c>
      <c r="Z590" s="41">
        <v>322</v>
      </c>
      <c r="AA590" s="44">
        <v>34</v>
      </c>
      <c r="AB590" s="44">
        <v>34</v>
      </c>
      <c r="AC590" s="43">
        <v>45</v>
      </c>
      <c r="AD590" s="43">
        <v>30</v>
      </c>
      <c r="AE590" s="43">
        <v>45</v>
      </c>
    </row>
    <row r="591" spans="1:337" x14ac:dyDescent="0.35">
      <c r="A591" s="32" t="s">
        <v>31</v>
      </c>
      <c r="B591" s="32" t="s">
        <v>35</v>
      </c>
      <c r="C591" s="33">
        <v>46301</v>
      </c>
      <c r="D591" s="34">
        <v>13</v>
      </c>
      <c r="E591" s="34">
        <v>24</v>
      </c>
      <c r="F591" s="34">
        <v>25</v>
      </c>
      <c r="G591" s="141"/>
      <c r="H591" s="141"/>
      <c r="I591" s="141"/>
      <c r="J591" s="141"/>
      <c r="K591" s="141"/>
      <c r="L591" s="34">
        <v>2</v>
      </c>
      <c r="M591" s="34">
        <v>5</v>
      </c>
      <c r="N591" s="34">
        <v>4</v>
      </c>
      <c r="O591" s="34">
        <v>4</v>
      </c>
      <c r="P591" s="32">
        <v>7</v>
      </c>
      <c r="Q591" s="32">
        <v>7</v>
      </c>
      <c r="R591" s="32">
        <v>8</v>
      </c>
      <c r="S591" s="32">
        <v>6</v>
      </c>
      <c r="T591" s="143"/>
      <c r="U591" s="143"/>
      <c r="V591" s="32" t="s">
        <v>36</v>
      </c>
      <c r="W591" s="32" t="s">
        <v>37</v>
      </c>
      <c r="X591" s="32">
        <v>1</v>
      </c>
      <c r="Y591" s="143"/>
      <c r="Z591" s="143"/>
      <c r="AA591" s="145"/>
      <c r="AB591" s="145"/>
      <c r="AC591" s="141"/>
      <c r="AD591" s="141"/>
      <c r="AE591" s="141"/>
    </row>
    <row r="592" spans="1:337" ht="15" thickBot="1" x14ac:dyDescent="0.4">
      <c r="A592" s="45" t="s">
        <v>31</v>
      </c>
      <c r="B592" s="45" t="s">
        <v>38</v>
      </c>
      <c r="C592" s="46">
        <v>46301</v>
      </c>
      <c r="D592" s="47"/>
      <c r="E592" s="47"/>
      <c r="F592" s="47"/>
      <c r="G592" s="142"/>
      <c r="H592" s="142"/>
      <c r="I592" s="142"/>
      <c r="J592" s="142"/>
      <c r="K592" s="142"/>
      <c r="L592" s="47">
        <v>2</v>
      </c>
      <c r="M592" s="47"/>
      <c r="N592" s="47"/>
      <c r="O592" s="47"/>
      <c r="P592" s="47"/>
      <c r="Q592" s="47"/>
      <c r="R592" s="47"/>
      <c r="S592" s="47"/>
      <c r="T592" s="144"/>
      <c r="U592" s="144"/>
      <c r="V592" s="45"/>
      <c r="W592" s="45"/>
      <c r="X592" s="47"/>
      <c r="Y592" s="144"/>
      <c r="Z592" s="144"/>
      <c r="AA592" s="146"/>
      <c r="AB592" s="146"/>
      <c r="AC592" s="142"/>
      <c r="AD592" s="142"/>
      <c r="AE592" s="142"/>
    </row>
    <row r="593" spans="1:337" s="53" customFormat="1" ht="15" thickBot="1" x14ac:dyDescent="0.4">
      <c r="A593" s="49"/>
      <c r="B593" s="49"/>
      <c r="C593" s="50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49"/>
      <c r="U593" s="49"/>
      <c r="V593" s="49"/>
      <c r="W593" s="49"/>
      <c r="X593" s="51"/>
      <c r="Y593" s="49"/>
      <c r="Z593" s="49"/>
      <c r="AA593" s="52"/>
      <c r="AB593" s="52"/>
      <c r="AC593" s="51"/>
      <c r="AD593" s="51"/>
      <c r="AE593" s="51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/>
      <c r="FH593"/>
      <c r="FI593"/>
      <c r="FJ593"/>
      <c r="FK593"/>
      <c r="FL593"/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/>
      <c r="JP593"/>
      <c r="JQ593"/>
      <c r="JR593"/>
      <c r="JS593"/>
      <c r="JT593"/>
      <c r="JU593"/>
      <c r="JV593"/>
      <c r="JW593"/>
      <c r="JX593"/>
      <c r="JY593"/>
      <c r="JZ593"/>
      <c r="KA593"/>
      <c r="KB593"/>
      <c r="KC593"/>
      <c r="KD593"/>
      <c r="KE593"/>
      <c r="KF593"/>
      <c r="KG593"/>
      <c r="KH593"/>
      <c r="KI593"/>
      <c r="KJ593"/>
      <c r="KK593"/>
      <c r="KL593"/>
      <c r="KM593"/>
      <c r="KN593"/>
      <c r="KO593"/>
      <c r="KP593"/>
      <c r="KQ593"/>
      <c r="KR593"/>
      <c r="KS593"/>
      <c r="KT593"/>
      <c r="KU593"/>
      <c r="KV593"/>
      <c r="KW593"/>
      <c r="KX593"/>
      <c r="KY593"/>
      <c r="KZ593"/>
      <c r="LA593"/>
      <c r="LB593"/>
      <c r="LC593"/>
      <c r="LD593"/>
      <c r="LE593"/>
      <c r="LF593"/>
      <c r="LG593"/>
      <c r="LH593"/>
      <c r="LI593"/>
      <c r="LJ593"/>
      <c r="LK593"/>
      <c r="LL593"/>
      <c r="LM593"/>
      <c r="LN593"/>
      <c r="LO593"/>
      <c r="LP593"/>
      <c r="LQ593"/>
      <c r="LR593"/>
      <c r="LS593"/>
      <c r="LT593"/>
      <c r="LU593"/>
      <c r="LV593"/>
      <c r="LW593"/>
      <c r="LX593"/>
      <c r="LY593"/>
    </row>
    <row r="594" spans="1:337" x14ac:dyDescent="0.35">
      <c r="A594" s="41" t="s">
        <v>31</v>
      </c>
      <c r="B594" s="41" t="s">
        <v>32</v>
      </c>
      <c r="C594" s="42">
        <v>46302</v>
      </c>
      <c r="D594" s="43">
        <v>0</v>
      </c>
      <c r="E594" s="43">
        <v>20</v>
      </c>
      <c r="F594" s="43">
        <v>20</v>
      </c>
      <c r="G594" s="43">
        <v>28</v>
      </c>
      <c r="H594" s="43">
        <v>40</v>
      </c>
      <c r="I594" s="43">
        <v>10</v>
      </c>
      <c r="J594" s="43">
        <v>21449</v>
      </c>
      <c r="K594" s="43">
        <f>SUM(L594:L596)</f>
        <v>6</v>
      </c>
      <c r="L594" s="43">
        <v>2</v>
      </c>
      <c r="M594" s="43"/>
      <c r="N594" s="43">
        <v>4</v>
      </c>
      <c r="O594" s="43">
        <v>3</v>
      </c>
      <c r="P594" s="43">
        <v>7</v>
      </c>
      <c r="Q594" s="43">
        <v>6</v>
      </c>
      <c r="R594" s="43">
        <v>9</v>
      </c>
      <c r="S594" s="43">
        <v>9</v>
      </c>
      <c r="T594" s="43">
        <v>25</v>
      </c>
      <c r="U594" s="43">
        <v>4</v>
      </c>
      <c r="V594" s="41" t="s">
        <v>33</v>
      </c>
      <c r="W594" s="41" t="s">
        <v>34</v>
      </c>
      <c r="X594" s="41">
        <v>1</v>
      </c>
      <c r="Y594" s="41">
        <v>3</v>
      </c>
      <c r="Z594" s="41">
        <v>322</v>
      </c>
      <c r="AA594" s="44">
        <v>34</v>
      </c>
      <c r="AB594" s="44">
        <v>34</v>
      </c>
      <c r="AC594" s="43">
        <v>45</v>
      </c>
      <c r="AD594" s="43">
        <v>30</v>
      </c>
      <c r="AE594" s="43">
        <v>45</v>
      </c>
    </row>
    <row r="595" spans="1:337" x14ac:dyDescent="0.35">
      <c r="A595" s="32" t="s">
        <v>31</v>
      </c>
      <c r="B595" s="32" t="s">
        <v>35</v>
      </c>
      <c r="C595" s="33">
        <v>46302</v>
      </c>
      <c r="D595" s="34">
        <v>13</v>
      </c>
      <c r="E595" s="34">
        <v>24</v>
      </c>
      <c r="F595" s="34">
        <v>25</v>
      </c>
      <c r="G595" s="141"/>
      <c r="H595" s="141"/>
      <c r="I595" s="141"/>
      <c r="J595" s="141"/>
      <c r="K595" s="141"/>
      <c r="L595" s="34">
        <v>2</v>
      </c>
      <c r="M595" s="34">
        <v>5</v>
      </c>
      <c r="N595" s="34">
        <v>4</v>
      </c>
      <c r="O595" s="34">
        <v>4</v>
      </c>
      <c r="P595" s="32">
        <v>7</v>
      </c>
      <c r="Q595" s="32">
        <v>7</v>
      </c>
      <c r="R595" s="32">
        <v>8</v>
      </c>
      <c r="S595" s="32">
        <v>6</v>
      </c>
      <c r="T595" s="143"/>
      <c r="U595" s="143"/>
      <c r="V595" s="32" t="s">
        <v>36</v>
      </c>
      <c r="W595" s="32" t="s">
        <v>37</v>
      </c>
      <c r="X595" s="32">
        <v>1</v>
      </c>
      <c r="Y595" s="143"/>
      <c r="Z595" s="143"/>
      <c r="AA595" s="145"/>
      <c r="AB595" s="145"/>
      <c r="AC595" s="141"/>
      <c r="AD595" s="141"/>
      <c r="AE595" s="141"/>
    </row>
    <row r="596" spans="1:337" ht="15" thickBot="1" x14ac:dyDescent="0.4">
      <c r="A596" s="45" t="s">
        <v>31</v>
      </c>
      <c r="B596" s="45" t="s">
        <v>38</v>
      </c>
      <c r="C596" s="46">
        <v>46302</v>
      </c>
      <c r="D596" s="47"/>
      <c r="E596" s="47"/>
      <c r="F596" s="47"/>
      <c r="G596" s="142"/>
      <c r="H596" s="142"/>
      <c r="I596" s="142"/>
      <c r="J596" s="142"/>
      <c r="K596" s="142"/>
      <c r="L596" s="47">
        <v>2</v>
      </c>
      <c r="M596" s="47"/>
      <c r="N596" s="47"/>
      <c r="O596" s="47"/>
      <c r="P596" s="47"/>
      <c r="Q596" s="47"/>
      <c r="R596" s="47"/>
      <c r="S596" s="47"/>
      <c r="T596" s="144"/>
      <c r="U596" s="144"/>
      <c r="V596" s="45"/>
      <c r="W596" s="45"/>
      <c r="X596" s="47"/>
      <c r="Y596" s="144"/>
      <c r="Z596" s="144"/>
      <c r="AA596" s="146"/>
      <c r="AB596" s="146"/>
      <c r="AC596" s="142"/>
      <c r="AD596" s="142"/>
      <c r="AE596" s="142"/>
    </row>
    <row r="597" spans="1:337" s="53" customFormat="1" ht="15" thickBot="1" x14ac:dyDescent="0.4">
      <c r="A597" s="49"/>
      <c r="B597" s="49"/>
      <c r="C597" s="50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49"/>
      <c r="U597" s="49"/>
      <c r="V597" s="49"/>
      <c r="W597" s="49"/>
      <c r="X597" s="51"/>
      <c r="Y597" s="49"/>
      <c r="Z597" s="49"/>
      <c r="AA597" s="52"/>
      <c r="AB597" s="52"/>
      <c r="AC597" s="51"/>
      <c r="AD597" s="51"/>
      <c r="AE597" s="51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/>
      <c r="FC597"/>
      <c r="FD597"/>
      <c r="FE597"/>
      <c r="FF597"/>
      <c r="FG597"/>
      <c r="FH597"/>
      <c r="FI597"/>
      <c r="FJ597"/>
      <c r="FK597"/>
      <c r="FL597"/>
      <c r="FM597"/>
      <c r="FN597"/>
      <c r="FO597"/>
      <c r="FP597"/>
      <c r="FQ597"/>
      <c r="FR597"/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/>
      <c r="JT597"/>
      <c r="JU597"/>
      <c r="JV597"/>
      <c r="JW597"/>
      <c r="JX597"/>
      <c r="JY597"/>
      <c r="JZ597"/>
      <c r="KA597"/>
      <c r="KB597"/>
      <c r="KC597"/>
      <c r="KD597"/>
      <c r="KE597"/>
      <c r="KF597"/>
      <c r="KG597"/>
      <c r="KH597"/>
      <c r="KI597"/>
      <c r="KJ597"/>
      <c r="KK597"/>
      <c r="KL597"/>
      <c r="KM597"/>
      <c r="KN597"/>
      <c r="KO597"/>
      <c r="KP597"/>
      <c r="KQ597"/>
      <c r="KR597"/>
      <c r="KS597"/>
      <c r="KT597"/>
      <c r="KU597"/>
      <c r="KV597"/>
      <c r="KW597"/>
      <c r="KX597"/>
      <c r="KY597"/>
      <c r="KZ597"/>
      <c r="LA597"/>
      <c r="LB597"/>
      <c r="LC597"/>
      <c r="LD597"/>
      <c r="LE597"/>
      <c r="LF597"/>
      <c r="LG597"/>
      <c r="LH597"/>
      <c r="LI597"/>
      <c r="LJ597"/>
      <c r="LK597"/>
      <c r="LL597"/>
      <c r="LM597"/>
      <c r="LN597"/>
      <c r="LO597"/>
      <c r="LP597"/>
      <c r="LQ597"/>
      <c r="LR597"/>
      <c r="LS597"/>
      <c r="LT597"/>
      <c r="LU597"/>
      <c r="LV597"/>
      <c r="LW597"/>
      <c r="LX597"/>
      <c r="LY597"/>
    </row>
    <row r="598" spans="1:337" x14ac:dyDescent="0.35">
      <c r="A598" s="41" t="s">
        <v>31</v>
      </c>
      <c r="B598" s="41" t="s">
        <v>32</v>
      </c>
      <c r="C598" s="42">
        <v>46303</v>
      </c>
      <c r="D598" s="43">
        <v>0</v>
      </c>
      <c r="E598" s="43">
        <v>20</v>
      </c>
      <c r="F598" s="43">
        <v>20</v>
      </c>
      <c r="G598" s="43">
        <v>28</v>
      </c>
      <c r="H598" s="43">
        <v>40</v>
      </c>
      <c r="I598" s="43">
        <v>10</v>
      </c>
      <c r="J598" s="43">
        <v>21449</v>
      </c>
      <c r="K598" s="43">
        <f>SUM(L598:L600)</f>
        <v>6</v>
      </c>
      <c r="L598" s="43">
        <v>2</v>
      </c>
      <c r="M598" s="43"/>
      <c r="N598" s="43">
        <v>4</v>
      </c>
      <c r="O598" s="43">
        <v>3</v>
      </c>
      <c r="P598" s="43">
        <v>7</v>
      </c>
      <c r="Q598" s="43">
        <v>6</v>
      </c>
      <c r="R598" s="43">
        <v>9</v>
      </c>
      <c r="S598" s="43">
        <v>9</v>
      </c>
      <c r="T598" s="43">
        <v>25</v>
      </c>
      <c r="U598" s="43">
        <v>4</v>
      </c>
      <c r="V598" s="41" t="s">
        <v>33</v>
      </c>
      <c r="W598" s="41" t="s">
        <v>34</v>
      </c>
      <c r="X598" s="41">
        <v>1</v>
      </c>
      <c r="Y598" s="41">
        <v>3</v>
      </c>
      <c r="Z598" s="41">
        <v>322</v>
      </c>
      <c r="AA598" s="44">
        <v>34</v>
      </c>
      <c r="AB598" s="44">
        <v>34</v>
      </c>
      <c r="AC598" s="43">
        <v>45</v>
      </c>
      <c r="AD598" s="43">
        <v>30</v>
      </c>
      <c r="AE598" s="43">
        <v>45</v>
      </c>
    </row>
    <row r="599" spans="1:337" x14ac:dyDescent="0.35">
      <c r="A599" s="32" t="s">
        <v>31</v>
      </c>
      <c r="B599" s="32" t="s">
        <v>35</v>
      </c>
      <c r="C599" s="33">
        <v>46303</v>
      </c>
      <c r="D599" s="34">
        <v>13</v>
      </c>
      <c r="E599" s="34">
        <v>24</v>
      </c>
      <c r="F599" s="34">
        <v>25</v>
      </c>
      <c r="G599" s="141"/>
      <c r="H599" s="141"/>
      <c r="I599" s="141"/>
      <c r="J599" s="141"/>
      <c r="K599" s="141"/>
      <c r="L599" s="34">
        <v>2</v>
      </c>
      <c r="M599" s="34">
        <v>5</v>
      </c>
      <c r="N599" s="34">
        <v>4</v>
      </c>
      <c r="O599" s="34">
        <v>4</v>
      </c>
      <c r="P599" s="32">
        <v>7</v>
      </c>
      <c r="Q599" s="32">
        <v>7</v>
      </c>
      <c r="R599" s="32">
        <v>8</v>
      </c>
      <c r="S599" s="32">
        <v>6</v>
      </c>
      <c r="T599" s="143"/>
      <c r="U599" s="143"/>
      <c r="V599" s="32" t="s">
        <v>36</v>
      </c>
      <c r="W599" s="32" t="s">
        <v>37</v>
      </c>
      <c r="X599" s="32">
        <v>1</v>
      </c>
      <c r="Y599" s="143"/>
      <c r="Z599" s="143"/>
      <c r="AA599" s="145"/>
      <c r="AB599" s="145"/>
      <c r="AC599" s="141"/>
      <c r="AD599" s="141"/>
      <c r="AE599" s="141"/>
    </row>
    <row r="600" spans="1:337" ht="15" thickBot="1" x14ac:dyDescent="0.4">
      <c r="A600" s="45" t="s">
        <v>31</v>
      </c>
      <c r="B600" s="45" t="s">
        <v>38</v>
      </c>
      <c r="C600" s="46">
        <v>46303</v>
      </c>
      <c r="D600" s="47"/>
      <c r="E600" s="47"/>
      <c r="F600" s="47"/>
      <c r="G600" s="142"/>
      <c r="H600" s="142"/>
      <c r="I600" s="142"/>
      <c r="J600" s="142"/>
      <c r="K600" s="142"/>
      <c r="L600" s="47">
        <v>2</v>
      </c>
      <c r="M600" s="47"/>
      <c r="N600" s="47"/>
      <c r="O600" s="47"/>
      <c r="P600" s="47"/>
      <c r="Q600" s="47"/>
      <c r="R600" s="47"/>
      <c r="S600" s="47"/>
      <c r="T600" s="144"/>
      <c r="U600" s="144"/>
      <c r="V600" s="45"/>
      <c r="W600" s="45"/>
      <c r="X600" s="47"/>
      <c r="Y600" s="144"/>
      <c r="Z600" s="144"/>
      <c r="AA600" s="146"/>
      <c r="AB600" s="146"/>
      <c r="AC600" s="142"/>
      <c r="AD600" s="142"/>
      <c r="AE600" s="142"/>
    </row>
    <row r="601" spans="1:337" s="53" customFormat="1" ht="15" thickBot="1" x14ac:dyDescent="0.4">
      <c r="A601" s="49"/>
      <c r="B601" s="49"/>
      <c r="C601" s="50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49"/>
      <c r="U601" s="49"/>
      <c r="V601" s="49"/>
      <c r="W601" s="49"/>
      <c r="X601" s="51"/>
      <c r="Y601" s="49"/>
      <c r="Z601" s="49"/>
      <c r="AA601" s="52"/>
      <c r="AB601" s="52"/>
      <c r="AC601" s="51"/>
      <c r="AD601" s="51"/>
      <c r="AE601" s="5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/>
      <c r="FH601"/>
      <c r="FI601"/>
      <c r="FJ601"/>
      <c r="FK601"/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/>
      <c r="JT601"/>
      <c r="JU601"/>
      <c r="JV601"/>
      <c r="JW601"/>
      <c r="JX601"/>
      <c r="JY601"/>
      <c r="JZ601"/>
      <c r="KA601"/>
      <c r="KB601"/>
      <c r="KC601"/>
      <c r="KD601"/>
      <c r="KE601"/>
      <c r="KF601"/>
      <c r="KG601"/>
      <c r="KH601"/>
      <c r="KI601"/>
      <c r="KJ601"/>
      <c r="KK601"/>
      <c r="KL601"/>
      <c r="KM601"/>
      <c r="KN601"/>
      <c r="KO601"/>
      <c r="KP601"/>
      <c r="KQ601"/>
      <c r="KR601"/>
      <c r="KS601"/>
      <c r="KT601"/>
      <c r="KU601"/>
      <c r="KV601"/>
      <c r="KW601"/>
      <c r="KX601"/>
      <c r="KY601"/>
      <c r="KZ601"/>
      <c r="LA601"/>
      <c r="LB601"/>
      <c r="LC601"/>
      <c r="LD601"/>
      <c r="LE601"/>
      <c r="LF601"/>
      <c r="LG601"/>
      <c r="LH601"/>
      <c r="LI601"/>
      <c r="LJ601"/>
      <c r="LK601"/>
      <c r="LL601"/>
      <c r="LM601"/>
      <c r="LN601"/>
      <c r="LO601"/>
      <c r="LP601"/>
      <c r="LQ601"/>
      <c r="LR601"/>
      <c r="LS601"/>
      <c r="LT601"/>
      <c r="LU601"/>
      <c r="LV601"/>
      <c r="LW601"/>
      <c r="LX601"/>
      <c r="LY601"/>
    </row>
    <row r="602" spans="1:337" x14ac:dyDescent="0.35">
      <c r="A602" s="41" t="s">
        <v>31</v>
      </c>
      <c r="B602" s="41" t="s">
        <v>32</v>
      </c>
      <c r="C602" s="42">
        <v>46304</v>
      </c>
      <c r="D602" s="43">
        <v>0</v>
      </c>
      <c r="E602" s="43">
        <v>20</v>
      </c>
      <c r="F602" s="43">
        <v>20</v>
      </c>
      <c r="G602" s="43">
        <v>28</v>
      </c>
      <c r="H602" s="43">
        <v>40</v>
      </c>
      <c r="I602" s="43">
        <v>10</v>
      </c>
      <c r="J602" s="43">
        <v>21449</v>
      </c>
      <c r="K602" s="43">
        <f>SUM(L602:L604)</f>
        <v>6</v>
      </c>
      <c r="L602" s="43">
        <v>2</v>
      </c>
      <c r="M602" s="43"/>
      <c r="N602" s="43">
        <v>4</v>
      </c>
      <c r="O602" s="43">
        <v>3</v>
      </c>
      <c r="P602" s="43">
        <v>7</v>
      </c>
      <c r="Q602" s="43">
        <v>6</v>
      </c>
      <c r="R602" s="43">
        <v>9</v>
      </c>
      <c r="S602" s="43">
        <v>9</v>
      </c>
      <c r="T602" s="43">
        <v>20</v>
      </c>
      <c r="U602" s="43">
        <v>3</v>
      </c>
      <c r="V602" s="41" t="s">
        <v>33</v>
      </c>
      <c r="W602" s="41" t="s">
        <v>34</v>
      </c>
      <c r="X602" s="41">
        <v>1</v>
      </c>
      <c r="Y602" s="41">
        <v>3</v>
      </c>
      <c r="Z602" s="41">
        <v>322</v>
      </c>
      <c r="AA602" s="44">
        <v>34</v>
      </c>
      <c r="AB602" s="44">
        <v>34</v>
      </c>
      <c r="AC602" s="43">
        <v>45</v>
      </c>
      <c r="AD602" s="43">
        <v>30</v>
      </c>
      <c r="AE602" s="43">
        <v>45</v>
      </c>
    </row>
    <row r="603" spans="1:337" x14ac:dyDescent="0.35">
      <c r="A603" s="32" t="s">
        <v>31</v>
      </c>
      <c r="B603" s="32" t="s">
        <v>35</v>
      </c>
      <c r="C603" s="33">
        <v>46304</v>
      </c>
      <c r="D603" s="34">
        <v>13</v>
      </c>
      <c r="E603" s="34">
        <v>24</v>
      </c>
      <c r="F603" s="34">
        <v>25</v>
      </c>
      <c r="G603" s="141"/>
      <c r="H603" s="141"/>
      <c r="I603" s="141"/>
      <c r="J603" s="141"/>
      <c r="K603" s="141"/>
      <c r="L603" s="34">
        <v>2</v>
      </c>
      <c r="M603" s="34">
        <v>5</v>
      </c>
      <c r="N603" s="34">
        <v>4</v>
      </c>
      <c r="O603" s="34">
        <v>4</v>
      </c>
      <c r="P603" s="32">
        <v>7</v>
      </c>
      <c r="Q603" s="32">
        <v>7</v>
      </c>
      <c r="R603" s="32">
        <v>8</v>
      </c>
      <c r="S603" s="32">
        <v>6</v>
      </c>
      <c r="T603" s="143"/>
      <c r="U603" s="143"/>
      <c r="V603" s="32" t="s">
        <v>36</v>
      </c>
      <c r="W603" s="32" t="s">
        <v>37</v>
      </c>
      <c r="X603" s="32">
        <v>1</v>
      </c>
      <c r="Y603" s="143"/>
      <c r="Z603" s="143"/>
      <c r="AA603" s="145"/>
      <c r="AB603" s="145"/>
      <c r="AC603" s="141"/>
      <c r="AD603" s="141"/>
      <c r="AE603" s="141"/>
    </row>
    <row r="604" spans="1:337" ht="15" thickBot="1" x14ac:dyDescent="0.4">
      <c r="A604" s="45" t="s">
        <v>31</v>
      </c>
      <c r="B604" s="45" t="s">
        <v>38</v>
      </c>
      <c r="C604" s="46">
        <v>46304</v>
      </c>
      <c r="D604" s="47"/>
      <c r="E604" s="47"/>
      <c r="F604" s="47"/>
      <c r="G604" s="142"/>
      <c r="H604" s="142"/>
      <c r="I604" s="142"/>
      <c r="J604" s="142"/>
      <c r="K604" s="142"/>
      <c r="L604" s="47">
        <v>2</v>
      </c>
      <c r="M604" s="47"/>
      <c r="N604" s="47"/>
      <c r="O604" s="47"/>
      <c r="P604" s="47"/>
      <c r="Q604" s="47"/>
      <c r="R604" s="47"/>
      <c r="S604" s="47"/>
      <c r="T604" s="144"/>
      <c r="U604" s="144"/>
      <c r="V604" s="45"/>
      <c r="W604" s="45"/>
      <c r="X604" s="47"/>
      <c r="Y604" s="144"/>
      <c r="Z604" s="144"/>
      <c r="AA604" s="146"/>
      <c r="AB604" s="146"/>
      <c r="AC604" s="142"/>
      <c r="AD604" s="142"/>
      <c r="AE604" s="142"/>
    </row>
    <row r="605" spans="1:337" s="53" customFormat="1" ht="15" thickBot="1" x14ac:dyDescent="0.4">
      <c r="A605" s="49"/>
      <c r="B605" s="49"/>
      <c r="C605" s="50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49"/>
      <c r="U605" s="49"/>
      <c r="V605" s="49"/>
      <c r="W605" s="49"/>
      <c r="X605" s="51"/>
      <c r="Y605" s="49"/>
      <c r="Z605" s="49"/>
      <c r="AA605" s="52"/>
      <c r="AB605" s="52"/>
      <c r="AC605" s="51"/>
      <c r="AD605" s="51"/>
      <c r="AE605" s="51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/>
      <c r="FH605"/>
      <c r="FI605"/>
      <c r="FJ605"/>
      <c r="FK605"/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/>
      <c r="JT605"/>
      <c r="JU605"/>
      <c r="JV605"/>
      <c r="JW605"/>
      <c r="JX605"/>
      <c r="JY605"/>
      <c r="JZ605"/>
      <c r="KA605"/>
      <c r="KB605"/>
      <c r="KC605"/>
      <c r="KD605"/>
      <c r="KE605"/>
      <c r="KF605"/>
      <c r="KG605"/>
      <c r="KH605"/>
      <c r="KI605"/>
      <c r="KJ605"/>
      <c r="KK605"/>
      <c r="KL605"/>
      <c r="KM605"/>
      <c r="KN605"/>
      <c r="KO605"/>
      <c r="KP605"/>
      <c r="KQ605"/>
      <c r="KR605"/>
      <c r="KS605"/>
      <c r="KT605"/>
      <c r="KU605"/>
      <c r="KV605"/>
      <c r="KW605"/>
      <c r="KX605"/>
      <c r="KY605"/>
      <c r="KZ605"/>
      <c r="LA605"/>
      <c r="LB605"/>
      <c r="LC605"/>
      <c r="LD605"/>
      <c r="LE605"/>
      <c r="LF605"/>
      <c r="LG605"/>
      <c r="LH605"/>
      <c r="LI605"/>
      <c r="LJ605"/>
      <c r="LK605"/>
      <c r="LL605"/>
      <c r="LM605"/>
      <c r="LN605"/>
      <c r="LO605"/>
      <c r="LP605"/>
      <c r="LQ605"/>
      <c r="LR605"/>
      <c r="LS605"/>
      <c r="LT605"/>
      <c r="LU605"/>
      <c r="LV605"/>
      <c r="LW605"/>
      <c r="LX605"/>
      <c r="LY605"/>
    </row>
    <row r="606" spans="1:337" x14ac:dyDescent="0.35">
      <c r="A606" s="41" t="s">
        <v>31</v>
      </c>
      <c r="B606" s="41" t="s">
        <v>32</v>
      </c>
      <c r="C606" s="42">
        <v>46307</v>
      </c>
      <c r="D606" s="43">
        <v>0</v>
      </c>
      <c r="E606" s="43">
        <v>20</v>
      </c>
      <c r="F606" s="43">
        <v>20</v>
      </c>
      <c r="G606" s="43">
        <v>28</v>
      </c>
      <c r="H606" s="43">
        <v>40</v>
      </c>
      <c r="I606" s="43">
        <v>10</v>
      </c>
      <c r="J606" s="43">
        <v>21449</v>
      </c>
      <c r="K606" s="43">
        <f>SUM(L606:L608)</f>
        <v>6</v>
      </c>
      <c r="L606" s="43">
        <v>2</v>
      </c>
      <c r="M606" s="43"/>
      <c r="N606" s="43">
        <v>4</v>
      </c>
      <c r="O606" s="43">
        <v>3</v>
      </c>
      <c r="P606" s="43">
        <v>7</v>
      </c>
      <c r="Q606" s="43">
        <v>6</v>
      </c>
      <c r="R606" s="43">
        <v>9</v>
      </c>
      <c r="S606" s="43">
        <v>9</v>
      </c>
      <c r="T606" s="43">
        <v>25</v>
      </c>
      <c r="U606" s="43">
        <v>4</v>
      </c>
      <c r="V606" s="41" t="s">
        <v>33</v>
      </c>
      <c r="W606" s="41" t="s">
        <v>34</v>
      </c>
      <c r="X606" s="41">
        <v>1</v>
      </c>
      <c r="Y606" s="41">
        <v>3</v>
      </c>
      <c r="Z606" s="41">
        <v>322</v>
      </c>
      <c r="AA606" s="44">
        <v>34</v>
      </c>
      <c r="AB606" s="44">
        <v>34</v>
      </c>
      <c r="AC606" s="43">
        <v>45</v>
      </c>
      <c r="AD606" s="43">
        <v>30</v>
      </c>
      <c r="AE606" s="43">
        <v>45</v>
      </c>
    </row>
    <row r="607" spans="1:337" x14ac:dyDescent="0.35">
      <c r="A607" s="32" t="s">
        <v>31</v>
      </c>
      <c r="B607" s="32" t="s">
        <v>35</v>
      </c>
      <c r="C607" s="33">
        <v>46307</v>
      </c>
      <c r="D607" s="34">
        <v>13</v>
      </c>
      <c r="E607" s="34">
        <v>24</v>
      </c>
      <c r="F607" s="34">
        <v>25</v>
      </c>
      <c r="G607" s="141"/>
      <c r="H607" s="141"/>
      <c r="I607" s="141"/>
      <c r="J607" s="141"/>
      <c r="K607" s="141"/>
      <c r="L607" s="34">
        <v>2</v>
      </c>
      <c r="M607" s="34">
        <v>5</v>
      </c>
      <c r="N607" s="34">
        <v>4</v>
      </c>
      <c r="O607" s="34">
        <v>4</v>
      </c>
      <c r="P607" s="32">
        <v>7</v>
      </c>
      <c r="Q607" s="32">
        <v>7</v>
      </c>
      <c r="R607" s="32">
        <v>8</v>
      </c>
      <c r="S607" s="32">
        <v>6</v>
      </c>
      <c r="T607" s="143"/>
      <c r="U607" s="143"/>
      <c r="V607" s="32" t="s">
        <v>36</v>
      </c>
      <c r="W607" s="32" t="s">
        <v>37</v>
      </c>
      <c r="X607" s="32">
        <v>1</v>
      </c>
      <c r="Y607" s="143"/>
      <c r="Z607" s="143"/>
      <c r="AA607" s="145"/>
      <c r="AB607" s="145"/>
      <c r="AC607" s="141"/>
      <c r="AD607" s="141"/>
      <c r="AE607" s="141"/>
    </row>
    <row r="608" spans="1:337" ht="15" thickBot="1" x14ac:dyDescent="0.4">
      <c r="A608" s="45" t="s">
        <v>31</v>
      </c>
      <c r="B608" s="45" t="s">
        <v>38</v>
      </c>
      <c r="C608" s="46">
        <v>46307</v>
      </c>
      <c r="D608" s="47"/>
      <c r="E608" s="47"/>
      <c r="F608" s="47"/>
      <c r="G608" s="142"/>
      <c r="H608" s="142"/>
      <c r="I608" s="142"/>
      <c r="J608" s="142"/>
      <c r="K608" s="142"/>
      <c r="L608" s="47">
        <v>2</v>
      </c>
      <c r="M608" s="47"/>
      <c r="N608" s="47"/>
      <c r="O608" s="47"/>
      <c r="P608" s="47"/>
      <c r="Q608" s="47"/>
      <c r="R608" s="47"/>
      <c r="S608" s="47"/>
      <c r="T608" s="144"/>
      <c r="U608" s="144"/>
      <c r="V608" s="45"/>
      <c r="W608" s="45"/>
      <c r="X608" s="47"/>
      <c r="Y608" s="144"/>
      <c r="Z608" s="144"/>
      <c r="AA608" s="146"/>
      <c r="AB608" s="146"/>
      <c r="AC608" s="142"/>
      <c r="AD608" s="142"/>
      <c r="AE608" s="142"/>
    </row>
    <row r="609" spans="1:337" s="53" customFormat="1" ht="15" thickBot="1" x14ac:dyDescent="0.4">
      <c r="A609" s="49"/>
      <c r="B609" s="49"/>
      <c r="C609" s="50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49"/>
      <c r="U609" s="49"/>
      <c r="V609" s="49"/>
      <c r="W609" s="49"/>
      <c r="X609" s="51"/>
      <c r="Y609" s="49"/>
      <c r="Z609" s="49"/>
      <c r="AA609" s="52"/>
      <c r="AB609" s="52"/>
      <c r="AC609" s="51"/>
      <c r="AD609" s="51"/>
      <c r="AE609" s="51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/>
      <c r="FH609"/>
      <c r="FI609"/>
      <c r="FJ609"/>
      <c r="FK609"/>
      <c r="FL609"/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/>
      <c r="JJ609"/>
      <c r="JK609"/>
      <c r="JL609"/>
      <c r="JM609"/>
      <c r="JN609"/>
      <c r="JO609"/>
      <c r="JP609"/>
      <c r="JQ609"/>
      <c r="JR609"/>
      <c r="JS609"/>
      <c r="JT609"/>
      <c r="JU609"/>
      <c r="JV609"/>
      <c r="JW609"/>
      <c r="JX609"/>
      <c r="JY609"/>
      <c r="JZ609"/>
      <c r="KA609"/>
      <c r="KB609"/>
      <c r="KC609"/>
      <c r="KD609"/>
      <c r="KE609"/>
      <c r="KF609"/>
      <c r="KG609"/>
      <c r="KH609"/>
      <c r="KI609"/>
      <c r="KJ609"/>
      <c r="KK609"/>
      <c r="KL609"/>
      <c r="KM609"/>
      <c r="KN609"/>
      <c r="KO609"/>
      <c r="KP609"/>
      <c r="KQ609"/>
      <c r="KR609"/>
      <c r="KS609"/>
      <c r="KT609"/>
      <c r="KU609"/>
      <c r="KV609"/>
      <c r="KW609"/>
      <c r="KX609"/>
      <c r="KY609"/>
      <c r="KZ609"/>
      <c r="LA609"/>
      <c r="LB609"/>
      <c r="LC609"/>
      <c r="LD609"/>
      <c r="LE609"/>
      <c r="LF609"/>
      <c r="LG609"/>
      <c r="LH609"/>
      <c r="LI609"/>
      <c r="LJ609"/>
      <c r="LK609"/>
      <c r="LL609"/>
      <c r="LM609"/>
      <c r="LN609"/>
      <c r="LO609"/>
      <c r="LP609"/>
      <c r="LQ609"/>
      <c r="LR609"/>
      <c r="LS609"/>
      <c r="LT609"/>
      <c r="LU609"/>
      <c r="LV609"/>
      <c r="LW609"/>
      <c r="LX609"/>
      <c r="LY609"/>
    </row>
    <row r="610" spans="1:337" x14ac:dyDescent="0.35">
      <c r="A610" s="41" t="s">
        <v>31</v>
      </c>
      <c r="B610" s="41" t="s">
        <v>32</v>
      </c>
      <c r="C610" s="42">
        <v>46308</v>
      </c>
      <c r="D610" s="43">
        <v>0</v>
      </c>
      <c r="E610" s="43">
        <v>20</v>
      </c>
      <c r="F610" s="43">
        <v>20</v>
      </c>
      <c r="G610" s="43">
        <v>28</v>
      </c>
      <c r="H610" s="43">
        <v>40</v>
      </c>
      <c r="I610" s="43">
        <v>10</v>
      </c>
      <c r="J610" s="43">
        <v>21449</v>
      </c>
      <c r="K610" s="43">
        <f>SUM(L610:L612)</f>
        <v>6</v>
      </c>
      <c r="L610" s="43">
        <v>2</v>
      </c>
      <c r="M610" s="43"/>
      <c r="N610" s="43">
        <v>4</v>
      </c>
      <c r="O610" s="43">
        <v>3</v>
      </c>
      <c r="P610" s="43">
        <v>7</v>
      </c>
      <c r="Q610" s="43">
        <v>6</v>
      </c>
      <c r="R610" s="43">
        <v>9</v>
      </c>
      <c r="S610" s="43">
        <v>9</v>
      </c>
      <c r="T610" s="43">
        <v>25</v>
      </c>
      <c r="U610" s="43">
        <v>4</v>
      </c>
      <c r="V610" s="41" t="s">
        <v>33</v>
      </c>
      <c r="W610" s="41" t="s">
        <v>34</v>
      </c>
      <c r="X610" s="41">
        <v>1</v>
      </c>
      <c r="Y610" s="41">
        <v>3</v>
      </c>
      <c r="Z610" s="41">
        <v>322</v>
      </c>
      <c r="AA610" s="44">
        <v>34</v>
      </c>
      <c r="AB610" s="44">
        <v>34</v>
      </c>
      <c r="AC610" s="43">
        <v>45</v>
      </c>
      <c r="AD610" s="43">
        <v>30</v>
      </c>
      <c r="AE610" s="43">
        <v>45</v>
      </c>
    </row>
    <row r="611" spans="1:337" x14ac:dyDescent="0.35">
      <c r="A611" s="32" t="s">
        <v>31</v>
      </c>
      <c r="B611" s="32" t="s">
        <v>35</v>
      </c>
      <c r="C611" s="33">
        <v>46308</v>
      </c>
      <c r="D611" s="34">
        <v>13</v>
      </c>
      <c r="E611" s="34">
        <v>24</v>
      </c>
      <c r="F611" s="34">
        <v>25</v>
      </c>
      <c r="G611" s="141"/>
      <c r="H611" s="141"/>
      <c r="I611" s="141"/>
      <c r="J611" s="141"/>
      <c r="K611" s="141"/>
      <c r="L611" s="34">
        <v>2</v>
      </c>
      <c r="M611" s="34">
        <v>5</v>
      </c>
      <c r="N611" s="34">
        <v>4</v>
      </c>
      <c r="O611" s="34">
        <v>4</v>
      </c>
      <c r="P611" s="32">
        <v>7</v>
      </c>
      <c r="Q611" s="32">
        <v>7</v>
      </c>
      <c r="R611" s="32">
        <v>8</v>
      </c>
      <c r="S611" s="32">
        <v>6</v>
      </c>
      <c r="T611" s="143"/>
      <c r="U611" s="143"/>
      <c r="V611" s="32" t="s">
        <v>36</v>
      </c>
      <c r="W611" s="32" t="s">
        <v>37</v>
      </c>
      <c r="X611" s="32">
        <v>1</v>
      </c>
      <c r="Y611" s="143"/>
      <c r="Z611" s="143"/>
      <c r="AA611" s="145"/>
      <c r="AB611" s="145"/>
      <c r="AC611" s="141"/>
      <c r="AD611" s="141"/>
      <c r="AE611" s="141"/>
    </row>
    <row r="612" spans="1:337" ht="15" thickBot="1" x14ac:dyDescent="0.4">
      <c r="A612" s="45" t="s">
        <v>31</v>
      </c>
      <c r="B612" s="45" t="s">
        <v>38</v>
      </c>
      <c r="C612" s="46">
        <v>46308</v>
      </c>
      <c r="D612" s="47"/>
      <c r="E612" s="47"/>
      <c r="F612" s="47"/>
      <c r="G612" s="142"/>
      <c r="H612" s="142"/>
      <c r="I612" s="142"/>
      <c r="J612" s="142"/>
      <c r="K612" s="142"/>
      <c r="L612" s="47">
        <v>2</v>
      </c>
      <c r="M612" s="47"/>
      <c r="N612" s="47"/>
      <c r="O612" s="47"/>
      <c r="P612" s="47"/>
      <c r="Q612" s="47"/>
      <c r="R612" s="47"/>
      <c r="S612" s="47"/>
      <c r="T612" s="144"/>
      <c r="U612" s="144"/>
      <c r="V612" s="45"/>
      <c r="W612" s="45"/>
      <c r="X612" s="47"/>
      <c r="Y612" s="144"/>
      <c r="Z612" s="144"/>
      <c r="AA612" s="146"/>
      <c r="AB612" s="146"/>
      <c r="AC612" s="142"/>
      <c r="AD612" s="142"/>
      <c r="AE612" s="142"/>
    </row>
    <row r="613" spans="1:337" s="53" customFormat="1" ht="15" thickBot="1" x14ac:dyDescent="0.4">
      <c r="A613" s="49"/>
      <c r="B613" s="49"/>
      <c r="C613" s="50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49"/>
      <c r="U613" s="49"/>
      <c r="V613" s="49"/>
      <c r="W613" s="49"/>
      <c r="X613" s="51"/>
      <c r="Y613" s="49"/>
      <c r="Z613" s="49"/>
      <c r="AA613" s="52"/>
      <c r="AB613" s="52"/>
      <c r="AC613" s="51"/>
      <c r="AD613" s="51"/>
      <c r="AE613" s="51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/>
      <c r="FE613"/>
      <c r="FF613"/>
      <c r="FG613"/>
      <c r="FH613"/>
      <c r="FI613"/>
      <c r="FJ613"/>
      <c r="FK613"/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/>
      <c r="JP613"/>
      <c r="JQ613"/>
      <c r="JR613"/>
      <c r="JS613"/>
      <c r="JT613"/>
      <c r="JU613"/>
      <c r="JV613"/>
      <c r="JW613"/>
      <c r="JX613"/>
      <c r="JY613"/>
      <c r="JZ613"/>
      <c r="KA613"/>
      <c r="KB613"/>
      <c r="KC613"/>
      <c r="KD613"/>
      <c r="KE613"/>
      <c r="KF613"/>
      <c r="KG613"/>
      <c r="KH613"/>
      <c r="KI613"/>
      <c r="KJ613"/>
      <c r="KK613"/>
      <c r="KL613"/>
      <c r="KM613"/>
      <c r="KN613"/>
      <c r="KO613"/>
      <c r="KP613"/>
      <c r="KQ613"/>
      <c r="KR613"/>
      <c r="KS613"/>
      <c r="KT613"/>
      <c r="KU613"/>
      <c r="KV613"/>
      <c r="KW613"/>
      <c r="KX613"/>
      <c r="KY613"/>
      <c r="KZ613"/>
      <c r="LA613"/>
      <c r="LB613"/>
      <c r="LC613"/>
      <c r="LD613"/>
      <c r="LE613"/>
      <c r="LF613"/>
      <c r="LG613"/>
      <c r="LH613"/>
      <c r="LI613"/>
      <c r="LJ613"/>
      <c r="LK613"/>
      <c r="LL613"/>
      <c r="LM613"/>
      <c r="LN613"/>
      <c r="LO613"/>
      <c r="LP613"/>
      <c r="LQ613"/>
      <c r="LR613"/>
      <c r="LS613"/>
      <c r="LT613"/>
      <c r="LU613"/>
      <c r="LV613"/>
      <c r="LW613"/>
      <c r="LX613"/>
      <c r="LY613"/>
    </row>
    <row r="614" spans="1:337" x14ac:dyDescent="0.35">
      <c r="A614" s="41" t="s">
        <v>31</v>
      </c>
      <c r="B614" s="41" t="s">
        <v>32</v>
      </c>
      <c r="C614" s="42">
        <v>46309</v>
      </c>
      <c r="D614" s="43">
        <v>0</v>
      </c>
      <c r="E614" s="43">
        <v>20</v>
      </c>
      <c r="F614" s="43">
        <v>20</v>
      </c>
      <c r="G614" s="43">
        <v>28</v>
      </c>
      <c r="H614" s="43">
        <v>40</v>
      </c>
      <c r="I614" s="43">
        <v>10</v>
      </c>
      <c r="J614" s="43">
        <v>21449</v>
      </c>
      <c r="K614" s="43">
        <f>SUM(L614:L616)</f>
        <v>6</v>
      </c>
      <c r="L614" s="43">
        <v>2</v>
      </c>
      <c r="M614" s="43"/>
      <c r="N614" s="43">
        <v>4</v>
      </c>
      <c r="O614" s="43">
        <v>3</v>
      </c>
      <c r="P614" s="43">
        <v>7</v>
      </c>
      <c r="Q614" s="43">
        <v>6</v>
      </c>
      <c r="R614" s="43">
        <v>9</v>
      </c>
      <c r="S614" s="43">
        <v>9</v>
      </c>
      <c r="T614" s="43">
        <v>25</v>
      </c>
      <c r="U614" s="43">
        <v>4</v>
      </c>
      <c r="V614" s="41" t="s">
        <v>33</v>
      </c>
      <c r="W614" s="41" t="s">
        <v>34</v>
      </c>
      <c r="X614" s="41">
        <v>1</v>
      </c>
      <c r="Y614" s="41">
        <v>3</v>
      </c>
      <c r="Z614" s="41">
        <v>322</v>
      </c>
      <c r="AA614" s="44">
        <v>34</v>
      </c>
      <c r="AB614" s="44">
        <v>34</v>
      </c>
      <c r="AC614" s="43">
        <v>45</v>
      </c>
      <c r="AD614" s="43">
        <v>30</v>
      </c>
      <c r="AE614" s="43">
        <v>45</v>
      </c>
    </row>
    <row r="615" spans="1:337" x14ac:dyDescent="0.35">
      <c r="A615" s="32" t="s">
        <v>31</v>
      </c>
      <c r="B615" s="32" t="s">
        <v>35</v>
      </c>
      <c r="C615" s="33">
        <v>46309</v>
      </c>
      <c r="D615" s="34">
        <v>13</v>
      </c>
      <c r="E615" s="34">
        <v>24</v>
      </c>
      <c r="F615" s="34">
        <v>25</v>
      </c>
      <c r="G615" s="141"/>
      <c r="H615" s="141"/>
      <c r="I615" s="141"/>
      <c r="J615" s="141"/>
      <c r="K615" s="141"/>
      <c r="L615" s="34">
        <v>2</v>
      </c>
      <c r="M615" s="34">
        <v>5</v>
      </c>
      <c r="N615" s="34">
        <v>4</v>
      </c>
      <c r="O615" s="34">
        <v>4</v>
      </c>
      <c r="P615" s="32">
        <v>7</v>
      </c>
      <c r="Q615" s="32">
        <v>7</v>
      </c>
      <c r="R615" s="32">
        <v>8</v>
      </c>
      <c r="S615" s="32">
        <v>6</v>
      </c>
      <c r="T615" s="143"/>
      <c r="U615" s="143"/>
      <c r="V615" s="32" t="s">
        <v>36</v>
      </c>
      <c r="W615" s="32" t="s">
        <v>37</v>
      </c>
      <c r="X615" s="32">
        <v>1</v>
      </c>
      <c r="Y615" s="143"/>
      <c r="Z615" s="143"/>
      <c r="AA615" s="145"/>
      <c r="AB615" s="145"/>
      <c r="AC615" s="141"/>
      <c r="AD615" s="141"/>
      <c r="AE615" s="141"/>
    </row>
    <row r="616" spans="1:337" ht="15" thickBot="1" x14ac:dyDescent="0.4">
      <c r="A616" s="45" t="s">
        <v>31</v>
      </c>
      <c r="B616" s="45" t="s">
        <v>38</v>
      </c>
      <c r="C616" s="46">
        <v>46309</v>
      </c>
      <c r="D616" s="47"/>
      <c r="E616" s="47"/>
      <c r="F616" s="47"/>
      <c r="G616" s="142"/>
      <c r="H616" s="142"/>
      <c r="I616" s="142"/>
      <c r="J616" s="142"/>
      <c r="K616" s="142"/>
      <c r="L616" s="47">
        <v>2</v>
      </c>
      <c r="M616" s="47"/>
      <c r="N616" s="47"/>
      <c r="O616" s="47"/>
      <c r="P616" s="47"/>
      <c r="Q616" s="47"/>
      <c r="R616" s="47"/>
      <c r="S616" s="47"/>
      <c r="T616" s="144"/>
      <c r="U616" s="144"/>
      <c r="V616" s="45"/>
      <c r="W616" s="45"/>
      <c r="X616" s="47"/>
      <c r="Y616" s="144"/>
      <c r="Z616" s="144"/>
      <c r="AA616" s="146"/>
      <c r="AB616" s="146"/>
      <c r="AC616" s="142"/>
      <c r="AD616" s="142"/>
      <c r="AE616" s="142"/>
    </row>
    <row r="617" spans="1:337" s="53" customFormat="1" ht="15" thickBot="1" x14ac:dyDescent="0.4">
      <c r="A617" s="49"/>
      <c r="B617" s="49"/>
      <c r="C617" s="50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49"/>
      <c r="U617" s="49"/>
      <c r="V617" s="49"/>
      <c r="W617" s="49"/>
      <c r="X617" s="51"/>
      <c r="Y617" s="49"/>
      <c r="Z617" s="49"/>
      <c r="AA617" s="52"/>
      <c r="AB617" s="52"/>
      <c r="AC617" s="51"/>
      <c r="AD617" s="51"/>
      <c r="AE617" s="51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  <c r="FB617"/>
      <c r="FC617"/>
      <c r="FD617"/>
      <c r="FE617"/>
      <c r="FF617"/>
      <c r="FG617"/>
      <c r="FH617"/>
      <c r="FI617"/>
      <c r="FJ617"/>
      <c r="FK617"/>
      <c r="FL617"/>
      <c r="FM617"/>
      <c r="FN617"/>
      <c r="FO617"/>
      <c r="FP617"/>
      <c r="FQ617"/>
      <c r="FR617"/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/>
      <c r="IX617"/>
      <c r="IY617"/>
      <c r="IZ617"/>
      <c r="JA617"/>
      <c r="JB617"/>
      <c r="JC617"/>
      <c r="JD617"/>
      <c r="JE617"/>
      <c r="JF617"/>
      <c r="JG617"/>
      <c r="JH617"/>
      <c r="JI617"/>
      <c r="JJ617"/>
      <c r="JK617"/>
      <c r="JL617"/>
      <c r="JM617"/>
      <c r="JN617"/>
      <c r="JO617"/>
      <c r="JP617"/>
      <c r="JQ617"/>
      <c r="JR617"/>
      <c r="JS617"/>
      <c r="JT617"/>
      <c r="JU617"/>
      <c r="JV617"/>
      <c r="JW617"/>
      <c r="JX617"/>
      <c r="JY617"/>
      <c r="JZ617"/>
      <c r="KA617"/>
      <c r="KB617"/>
      <c r="KC617"/>
      <c r="KD617"/>
      <c r="KE617"/>
      <c r="KF617"/>
      <c r="KG617"/>
      <c r="KH617"/>
      <c r="KI617"/>
      <c r="KJ617"/>
      <c r="KK617"/>
      <c r="KL617"/>
      <c r="KM617"/>
      <c r="KN617"/>
      <c r="KO617"/>
      <c r="KP617"/>
      <c r="KQ617"/>
      <c r="KR617"/>
      <c r="KS617"/>
      <c r="KT617"/>
      <c r="KU617"/>
      <c r="KV617"/>
      <c r="KW617"/>
      <c r="KX617"/>
      <c r="KY617"/>
      <c r="KZ617"/>
      <c r="LA617"/>
      <c r="LB617"/>
      <c r="LC617"/>
      <c r="LD617"/>
      <c r="LE617"/>
      <c r="LF617"/>
      <c r="LG617"/>
      <c r="LH617"/>
      <c r="LI617"/>
      <c r="LJ617"/>
      <c r="LK617"/>
      <c r="LL617"/>
      <c r="LM617"/>
      <c r="LN617"/>
      <c r="LO617"/>
      <c r="LP617"/>
      <c r="LQ617"/>
      <c r="LR617"/>
      <c r="LS617"/>
      <c r="LT617"/>
      <c r="LU617"/>
      <c r="LV617"/>
      <c r="LW617"/>
      <c r="LX617"/>
      <c r="LY617"/>
    </row>
    <row r="618" spans="1:337" x14ac:dyDescent="0.35">
      <c r="A618" s="41" t="s">
        <v>31</v>
      </c>
      <c r="B618" s="41" t="s">
        <v>32</v>
      </c>
      <c r="C618" s="42">
        <v>46310</v>
      </c>
      <c r="D618" s="43">
        <v>0</v>
      </c>
      <c r="E618" s="43">
        <v>20</v>
      </c>
      <c r="F618" s="43">
        <v>20</v>
      </c>
      <c r="G618" s="43">
        <v>28</v>
      </c>
      <c r="H618" s="43">
        <v>40</v>
      </c>
      <c r="I618" s="43">
        <v>10</v>
      </c>
      <c r="J618" s="43">
        <v>21449</v>
      </c>
      <c r="K618" s="43">
        <f>SUM(L618:L620)</f>
        <v>6</v>
      </c>
      <c r="L618" s="43">
        <v>2</v>
      </c>
      <c r="M618" s="43"/>
      <c r="N618" s="43">
        <v>4</v>
      </c>
      <c r="O618" s="43">
        <v>3</v>
      </c>
      <c r="P618" s="43">
        <v>7</v>
      </c>
      <c r="Q618" s="43">
        <v>6</v>
      </c>
      <c r="R618" s="43">
        <v>9</v>
      </c>
      <c r="S618" s="43">
        <v>9</v>
      </c>
      <c r="T618" s="43">
        <v>25</v>
      </c>
      <c r="U618" s="43">
        <v>4</v>
      </c>
      <c r="V618" s="41" t="s">
        <v>33</v>
      </c>
      <c r="W618" s="41" t="s">
        <v>34</v>
      </c>
      <c r="X618" s="41">
        <v>1</v>
      </c>
      <c r="Y618" s="41">
        <v>3</v>
      </c>
      <c r="Z618" s="41">
        <v>322</v>
      </c>
      <c r="AA618" s="44">
        <v>34</v>
      </c>
      <c r="AB618" s="44">
        <v>34</v>
      </c>
      <c r="AC618" s="43">
        <v>45</v>
      </c>
      <c r="AD618" s="43">
        <v>30</v>
      </c>
      <c r="AE618" s="43">
        <v>45</v>
      </c>
    </row>
    <row r="619" spans="1:337" x14ac:dyDescent="0.35">
      <c r="A619" s="32" t="s">
        <v>31</v>
      </c>
      <c r="B619" s="32" t="s">
        <v>35</v>
      </c>
      <c r="C619" s="33">
        <v>46310</v>
      </c>
      <c r="D619" s="34">
        <v>13</v>
      </c>
      <c r="E619" s="34">
        <v>24</v>
      </c>
      <c r="F619" s="34">
        <v>25</v>
      </c>
      <c r="G619" s="141"/>
      <c r="H619" s="141"/>
      <c r="I619" s="141"/>
      <c r="J619" s="141"/>
      <c r="K619" s="141"/>
      <c r="L619" s="34">
        <v>2</v>
      </c>
      <c r="M619" s="34">
        <v>5</v>
      </c>
      <c r="N619" s="34">
        <v>4</v>
      </c>
      <c r="O619" s="34">
        <v>4</v>
      </c>
      <c r="P619" s="32">
        <v>7</v>
      </c>
      <c r="Q619" s="32">
        <v>7</v>
      </c>
      <c r="R619" s="32">
        <v>8</v>
      </c>
      <c r="S619" s="32">
        <v>6</v>
      </c>
      <c r="T619" s="143"/>
      <c r="U619" s="143"/>
      <c r="V619" s="32" t="s">
        <v>36</v>
      </c>
      <c r="W619" s="32" t="s">
        <v>37</v>
      </c>
      <c r="X619" s="32">
        <v>1</v>
      </c>
      <c r="Y619" s="143"/>
      <c r="Z619" s="143"/>
      <c r="AA619" s="145"/>
      <c r="AB619" s="145"/>
      <c r="AC619" s="141"/>
      <c r="AD619" s="141"/>
      <c r="AE619" s="141"/>
    </row>
    <row r="620" spans="1:337" ht="15" thickBot="1" x14ac:dyDescent="0.4">
      <c r="A620" s="45" t="s">
        <v>31</v>
      </c>
      <c r="B620" s="45" t="s">
        <v>38</v>
      </c>
      <c r="C620" s="46">
        <v>46310</v>
      </c>
      <c r="D620" s="47"/>
      <c r="E620" s="47"/>
      <c r="F620" s="47"/>
      <c r="G620" s="142"/>
      <c r="H620" s="142"/>
      <c r="I620" s="142"/>
      <c r="J620" s="142"/>
      <c r="K620" s="142"/>
      <c r="L620" s="47">
        <v>2</v>
      </c>
      <c r="M620" s="47"/>
      <c r="N620" s="47"/>
      <c r="O620" s="47"/>
      <c r="P620" s="47"/>
      <c r="Q620" s="47"/>
      <c r="R620" s="47"/>
      <c r="S620" s="47"/>
      <c r="T620" s="144"/>
      <c r="U620" s="144"/>
      <c r="V620" s="45"/>
      <c r="W620" s="45"/>
      <c r="X620" s="47"/>
      <c r="Y620" s="144"/>
      <c r="Z620" s="144"/>
      <c r="AA620" s="146"/>
      <c r="AB620" s="146"/>
      <c r="AC620" s="142"/>
      <c r="AD620" s="142"/>
      <c r="AE620" s="142"/>
    </row>
    <row r="621" spans="1:337" s="53" customFormat="1" ht="15" thickBot="1" x14ac:dyDescent="0.4">
      <c r="A621" s="49"/>
      <c r="B621" s="49"/>
      <c r="C621" s="50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49"/>
      <c r="U621" s="49"/>
      <c r="V621" s="49"/>
      <c r="W621" s="49"/>
      <c r="X621" s="51"/>
      <c r="Y621" s="49"/>
      <c r="Z621" s="49"/>
      <c r="AA621" s="52"/>
      <c r="AB621" s="52"/>
      <c r="AC621" s="51"/>
      <c r="AD621" s="51"/>
      <c r="AE621" s="5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/>
      <c r="FC621"/>
      <c r="FD621"/>
      <c r="FE621"/>
      <c r="FF621"/>
      <c r="FG621"/>
      <c r="FH621"/>
      <c r="FI621"/>
      <c r="FJ621"/>
      <c r="FK621"/>
      <c r="FL621"/>
      <c r="FM621"/>
      <c r="FN621"/>
      <c r="FO621"/>
      <c r="FP621"/>
      <c r="FQ621"/>
      <c r="FR621"/>
      <c r="FS621"/>
      <c r="FT621"/>
      <c r="FU621"/>
      <c r="FV621"/>
      <c r="FW621"/>
      <c r="FX621"/>
      <c r="FY621"/>
      <c r="FZ621"/>
      <c r="GA621"/>
      <c r="GB621"/>
      <c r="GC621"/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/>
      <c r="JJ621"/>
      <c r="JK621"/>
      <c r="JL621"/>
      <c r="JM621"/>
      <c r="JN621"/>
      <c r="JO621"/>
      <c r="JP621"/>
      <c r="JQ621"/>
      <c r="JR621"/>
      <c r="JS621"/>
      <c r="JT621"/>
      <c r="JU621"/>
      <c r="JV621"/>
      <c r="JW621"/>
      <c r="JX621"/>
      <c r="JY621"/>
      <c r="JZ621"/>
      <c r="KA621"/>
      <c r="KB621"/>
      <c r="KC621"/>
      <c r="KD621"/>
      <c r="KE621"/>
      <c r="KF621"/>
      <c r="KG621"/>
      <c r="KH621"/>
      <c r="KI621"/>
      <c r="KJ621"/>
      <c r="KK621"/>
      <c r="KL621"/>
      <c r="KM621"/>
      <c r="KN621"/>
      <c r="KO621"/>
      <c r="KP621"/>
      <c r="KQ621"/>
      <c r="KR621"/>
      <c r="KS621"/>
      <c r="KT621"/>
      <c r="KU621"/>
      <c r="KV621"/>
      <c r="KW621"/>
      <c r="KX621"/>
      <c r="KY621"/>
      <c r="KZ621"/>
      <c r="LA621"/>
      <c r="LB621"/>
      <c r="LC621"/>
      <c r="LD621"/>
      <c r="LE621"/>
      <c r="LF621"/>
      <c r="LG621"/>
      <c r="LH621"/>
      <c r="LI621"/>
      <c r="LJ621"/>
      <c r="LK621"/>
      <c r="LL621"/>
      <c r="LM621"/>
      <c r="LN621"/>
      <c r="LO621"/>
      <c r="LP621"/>
      <c r="LQ621"/>
      <c r="LR621"/>
      <c r="LS621"/>
      <c r="LT621"/>
      <c r="LU621"/>
      <c r="LV621"/>
      <c r="LW621"/>
      <c r="LX621"/>
      <c r="LY621"/>
    </row>
    <row r="622" spans="1:337" x14ac:dyDescent="0.35">
      <c r="A622" s="41" t="s">
        <v>31</v>
      </c>
      <c r="B622" s="41" t="s">
        <v>32</v>
      </c>
      <c r="C622" s="42">
        <v>46311</v>
      </c>
      <c r="D622" s="43">
        <v>0</v>
      </c>
      <c r="E622" s="43">
        <v>20</v>
      </c>
      <c r="F622" s="43">
        <v>20</v>
      </c>
      <c r="G622" s="43">
        <v>28</v>
      </c>
      <c r="H622" s="43">
        <v>40</v>
      </c>
      <c r="I622" s="43">
        <v>10</v>
      </c>
      <c r="J622" s="43">
        <v>21449</v>
      </c>
      <c r="K622" s="43">
        <f>SUM(L622:L624)</f>
        <v>6</v>
      </c>
      <c r="L622" s="43">
        <v>2</v>
      </c>
      <c r="M622" s="43"/>
      <c r="N622" s="43">
        <v>4</v>
      </c>
      <c r="O622" s="43">
        <v>3</v>
      </c>
      <c r="P622" s="43">
        <v>7</v>
      </c>
      <c r="Q622" s="43">
        <v>6</v>
      </c>
      <c r="R622" s="43">
        <v>9</v>
      </c>
      <c r="S622" s="43">
        <v>9</v>
      </c>
      <c r="T622" s="43">
        <v>25</v>
      </c>
      <c r="U622" s="43">
        <v>4</v>
      </c>
      <c r="V622" s="41" t="s">
        <v>33</v>
      </c>
      <c r="W622" s="41" t="s">
        <v>34</v>
      </c>
      <c r="X622" s="41">
        <v>1</v>
      </c>
      <c r="Y622" s="41">
        <v>3</v>
      </c>
      <c r="Z622" s="41">
        <v>322</v>
      </c>
      <c r="AA622" s="44">
        <v>34</v>
      </c>
      <c r="AB622" s="44">
        <v>34</v>
      </c>
      <c r="AC622" s="43">
        <v>45</v>
      </c>
      <c r="AD622" s="43">
        <v>30</v>
      </c>
      <c r="AE622" s="43">
        <v>45</v>
      </c>
    </row>
    <row r="623" spans="1:337" x14ac:dyDescent="0.35">
      <c r="A623" s="32" t="s">
        <v>31</v>
      </c>
      <c r="B623" s="32" t="s">
        <v>35</v>
      </c>
      <c r="C623" s="33">
        <v>46311</v>
      </c>
      <c r="D623" s="34">
        <v>13</v>
      </c>
      <c r="E623" s="34">
        <v>24</v>
      </c>
      <c r="F623" s="34">
        <v>25</v>
      </c>
      <c r="G623" s="141"/>
      <c r="H623" s="141"/>
      <c r="I623" s="141"/>
      <c r="J623" s="141"/>
      <c r="K623" s="141"/>
      <c r="L623" s="34">
        <v>2</v>
      </c>
      <c r="M623" s="34">
        <v>5</v>
      </c>
      <c r="N623" s="34">
        <v>4</v>
      </c>
      <c r="O623" s="34">
        <v>4</v>
      </c>
      <c r="P623" s="32">
        <v>7</v>
      </c>
      <c r="Q623" s="32">
        <v>7</v>
      </c>
      <c r="R623" s="32">
        <v>8</v>
      </c>
      <c r="S623" s="32">
        <v>6</v>
      </c>
      <c r="T623" s="143"/>
      <c r="U623" s="143"/>
      <c r="V623" s="32" t="s">
        <v>36</v>
      </c>
      <c r="W623" s="32" t="s">
        <v>37</v>
      </c>
      <c r="X623" s="32">
        <v>1</v>
      </c>
      <c r="Y623" s="143"/>
      <c r="Z623" s="143"/>
      <c r="AA623" s="145"/>
      <c r="AB623" s="145"/>
      <c r="AC623" s="141"/>
      <c r="AD623" s="141"/>
      <c r="AE623" s="141"/>
    </row>
    <row r="624" spans="1:337" ht="15" thickBot="1" x14ac:dyDescent="0.4">
      <c r="A624" s="45" t="s">
        <v>31</v>
      </c>
      <c r="B624" s="45" t="s">
        <v>38</v>
      </c>
      <c r="C624" s="46">
        <v>46311</v>
      </c>
      <c r="D624" s="47"/>
      <c r="E624" s="47"/>
      <c r="F624" s="47"/>
      <c r="G624" s="142"/>
      <c r="H624" s="142"/>
      <c r="I624" s="142"/>
      <c r="J624" s="142"/>
      <c r="K624" s="142"/>
      <c r="L624" s="47">
        <v>2</v>
      </c>
      <c r="M624" s="47"/>
      <c r="N624" s="47"/>
      <c r="O624" s="47"/>
      <c r="P624" s="47"/>
      <c r="Q624" s="47"/>
      <c r="R624" s="47"/>
      <c r="S624" s="47"/>
      <c r="T624" s="144"/>
      <c r="U624" s="144"/>
      <c r="V624" s="45"/>
      <c r="W624" s="45"/>
      <c r="X624" s="47"/>
      <c r="Y624" s="144"/>
      <c r="Z624" s="144"/>
      <c r="AA624" s="146"/>
      <c r="AB624" s="146"/>
      <c r="AC624" s="142"/>
      <c r="AD624" s="142"/>
      <c r="AE624" s="142"/>
    </row>
    <row r="625" spans="1:337" s="53" customFormat="1" ht="15" thickBot="1" x14ac:dyDescent="0.4">
      <c r="A625" s="49"/>
      <c r="B625" s="49"/>
      <c r="C625" s="50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49"/>
      <c r="U625" s="49"/>
      <c r="V625" s="49"/>
      <c r="W625" s="49"/>
      <c r="X625" s="51"/>
      <c r="Y625" s="49"/>
      <c r="Z625" s="49"/>
      <c r="AA625" s="52"/>
      <c r="AB625" s="52"/>
      <c r="AC625" s="51"/>
      <c r="AD625" s="51"/>
      <c r="AE625" s="51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/>
      <c r="FE625"/>
      <c r="FF625"/>
      <c r="FG625"/>
      <c r="FH625"/>
      <c r="FI625"/>
      <c r="FJ625"/>
      <c r="FK625"/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/>
      <c r="JN625"/>
      <c r="JO625"/>
      <c r="JP625"/>
      <c r="JQ625"/>
      <c r="JR625"/>
      <c r="JS625"/>
      <c r="JT625"/>
      <c r="JU625"/>
      <c r="JV625"/>
      <c r="JW625"/>
      <c r="JX625"/>
      <c r="JY625"/>
      <c r="JZ625"/>
      <c r="KA625"/>
      <c r="KB625"/>
      <c r="KC625"/>
      <c r="KD625"/>
      <c r="KE625"/>
      <c r="KF625"/>
      <c r="KG625"/>
      <c r="KH625"/>
      <c r="KI625"/>
      <c r="KJ625"/>
      <c r="KK625"/>
      <c r="KL625"/>
      <c r="KM625"/>
      <c r="KN625"/>
      <c r="KO625"/>
      <c r="KP625"/>
      <c r="KQ625"/>
      <c r="KR625"/>
      <c r="KS625"/>
      <c r="KT625"/>
      <c r="KU625"/>
      <c r="KV625"/>
      <c r="KW625"/>
      <c r="KX625"/>
      <c r="KY625"/>
      <c r="KZ625"/>
      <c r="LA625"/>
      <c r="LB625"/>
      <c r="LC625"/>
      <c r="LD625"/>
      <c r="LE625"/>
      <c r="LF625"/>
      <c r="LG625"/>
      <c r="LH625"/>
      <c r="LI625"/>
      <c r="LJ625"/>
      <c r="LK625"/>
      <c r="LL625"/>
      <c r="LM625"/>
      <c r="LN625"/>
      <c r="LO625"/>
      <c r="LP625"/>
      <c r="LQ625"/>
      <c r="LR625"/>
      <c r="LS625"/>
      <c r="LT625"/>
      <c r="LU625"/>
      <c r="LV625"/>
      <c r="LW625"/>
      <c r="LX625"/>
      <c r="LY625"/>
    </row>
    <row r="626" spans="1:337" x14ac:dyDescent="0.35">
      <c r="A626" s="41" t="s">
        <v>31</v>
      </c>
      <c r="B626" s="41" t="s">
        <v>32</v>
      </c>
      <c r="C626" s="42">
        <v>46314</v>
      </c>
      <c r="D626" s="43">
        <v>0</v>
      </c>
      <c r="E626" s="43">
        <v>20</v>
      </c>
      <c r="F626" s="43">
        <v>20</v>
      </c>
      <c r="G626" s="43">
        <v>28</v>
      </c>
      <c r="H626" s="43">
        <v>40</v>
      </c>
      <c r="I626" s="43">
        <v>10</v>
      </c>
      <c r="J626" s="43">
        <v>21449</v>
      </c>
      <c r="K626" s="43">
        <f>SUM(L626:L628)</f>
        <v>6</v>
      </c>
      <c r="L626" s="43">
        <v>2</v>
      </c>
      <c r="M626" s="43"/>
      <c r="N626" s="43">
        <v>4</v>
      </c>
      <c r="O626" s="43">
        <v>3</v>
      </c>
      <c r="P626" s="43">
        <v>7</v>
      </c>
      <c r="Q626" s="43">
        <v>6</v>
      </c>
      <c r="R626" s="43">
        <v>9</v>
      </c>
      <c r="S626" s="43">
        <v>9</v>
      </c>
      <c r="T626" s="43">
        <v>25</v>
      </c>
      <c r="U626" s="43">
        <v>4</v>
      </c>
      <c r="V626" s="41" t="s">
        <v>33</v>
      </c>
      <c r="W626" s="41" t="s">
        <v>34</v>
      </c>
      <c r="X626" s="41">
        <v>1</v>
      </c>
      <c r="Y626" s="41">
        <v>3</v>
      </c>
      <c r="Z626" s="41">
        <v>322</v>
      </c>
      <c r="AA626" s="44">
        <v>34</v>
      </c>
      <c r="AB626" s="44">
        <v>34</v>
      </c>
      <c r="AC626" s="43">
        <v>45</v>
      </c>
      <c r="AD626" s="43">
        <v>30</v>
      </c>
      <c r="AE626" s="43">
        <v>45</v>
      </c>
    </row>
    <row r="627" spans="1:337" x14ac:dyDescent="0.35">
      <c r="A627" s="32" t="s">
        <v>31</v>
      </c>
      <c r="B627" s="32" t="s">
        <v>35</v>
      </c>
      <c r="C627" s="33">
        <v>46314</v>
      </c>
      <c r="D627" s="34">
        <v>13</v>
      </c>
      <c r="E627" s="34">
        <v>24</v>
      </c>
      <c r="F627" s="34">
        <v>25</v>
      </c>
      <c r="G627" s="141"/>
      <c r="H627" s="141"/>
      <c r="I627" s="141"/>
      <c r="J627" s="141"/>
      <c r="K627" s="141"/>
      <c r="L627" s="34">
        <v>2</v>
      </c>
      <c r="M627" s="34">
        <v>5</v>
      </c>
      <c r="N627" s="34">
        <v>4</v>
      </c>
      <c r="O627" s="34">
        <v>4</v>
      </c>
      <c r="P627" s="32">
        <v>7</v>
      </c>
      <c r="Q627" s="32">
        <v>7</v>
      </c>
      <c r="R627" s="32">
        <v>8</v>
      </c>
      <c r="S627" s="32">
        <v>6</v>
      </c>
      <c r="T627" s="143"/>
      <c r="U627" s="143"/>
      <c r="V627" s="32" t="s">
        <v>36</v>
      </c>
      <c r="W627" s="32" t="s">
        <v>37</v>
      </c>
      <c r="X627" s="32">
        <v>1</v>
      </c>
      <c r="Y627" s="143"/>
      <c r="Z627" s="143"/>
      <c r="AA627" s="145"/>
      <c r="AB627" s="145"/>
      <c r="AC627" s="141"/>
      <c r="AD627" s="141"/>
      <c r="AE627" s="141"/>
    </row>
    <row r="628" spans="1:337" ht="15" thickBot="1" x14ac:dyDescent="0.4">
      <c r="A628" s="45" t="s">
        <v>31</v>
      </c>
      <c r="B628" s="45" t="s">
        <v>38</v>
      </c>
      <c r="C628" s="46">
        <v>46314</v>
      </c>
      <c r="D628" s="47"/>
      <c r="E628" s="47"/>
      <c r="F628" s="47"/>
      <c r="G628" s="142"/>
      <c r="H628" s="142"/>
      <c r="I628" s="142"/>
      <c r="J628" s="142"/>
      <c r="K628" s="142"/>
      <c r="L628" s="47">
        <v>2</v>
      </c>
      <c r="M628" s="47"/>
      <c r="N628" s="47"/>
      <c r="O628" s="47"/>
      <c r="P628" s="47"/>
      <c r="Q628" s="47"/>
      <c r="R628" s="47"/>
      <c r="S628" s="47"/>
      <c r="T628" s="144"/>
      <c r="U628" s="144"/>
      <c r="V628" s="45"/>
      <c r="W628" s="45"/>
      <c r="X628" s="47"/>
      <c r="Y628" s="144"/>
      <c r="Z628" s="144"/>
      <c r="AA628" s="146"/>
      <c r="AB628" s="146"/>
      <c r="AC628" s="142"/>
      <c r="AD628" s="142"/>
      <c r="AE628" s="142"/>
    </row>
    <row r="629" spans="1:337" s="53" customFormat="1" ht="15" thickBot="1" x14ac:dyDescent="0.4">
      <c r="A629" s="49"/>
      <c r="B629" s="49"/>
      <c r="C629" s="50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49"/>
      <c r="U629" s="49"/>
      <c r="V629" s="49"/>
      <c r="W629" s="49"/>
      <c r="X629" s="51"/>
      <c r="Y629" s="49"/>
      <c r="Z629" s="49"/>
      <c r="AA629" s="52"/>
      <c r="AB629" s="52"/>
      <c r="AC629" s="51"/>
      <c r="AD629" s="51"/>
      <c r="AE629" s="51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/>
      <c r="FH629"/>
      <c r="FI629"/>
      <c r="FJ629"/>
      <c r="FK629"/>
      <c r="FL629"/>
      <c r="FM629"/>
      <c r="FN629"/>
      <c r="FO629"/>
      <c r="FP629"/>
      <c r="FQ629"/>
      <c r="FR629"/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/>
      <c r="IX629"/>
      <c r="IY629"/>
      <c r="IZ629"/>
      <c r="JA629"/>
      <c r="JB629"/>
      <c r="JC629"/>
      <c r="JD629"/>
      <c r="JE629"/>
      <c r="JF629"/>
      <c r="JG629"/>
      <c r="JH629"/>
      <c r="JI629"/>
      <c r="JJ629"/>
      <c r="JK629"/>
      <c r="JL629"/>
      <c r="JM629"/>
      <c r="JN629"/>
      <c r="JO629"/>
      <c r="JP629"/>
      <c r="JQ629"/>
      <c r="JR629"/>
      <c r="JS629"/>
      <c r="JT629"/>
      <c r="JU629"/>
      <c r="JV629"/>
      <c r="JW629"/>
      <c r="JX629"/>
      <c r="JY629"/>
      <c r="JZ629"/>
      <c r="KA629"/>
      <c r="KB629"/>
      <c r="KC629"/>
      <c r="KD629"/>
      <c r="KE629"/>
      <c r="KF629"/>
      <c r="KG629"/>
      <c r="KH629"/>
      <c r="KI629"/>
      <c r="KJ629"/>
      <c r="KK629"/>
      <c r="KL629"/>
      <c r="KM629"/>
      <c r="KN629"/>
      <c r="KO629"/>
      <c r="KP629"/>
      <c r="KQ629"/>
      <c r="KR629"/>
      <c r="KS629"/>
      <c r="KT629"/>
      <c r="KU629"/>
      <c r="KV629"/>
      <c r="KW629"/>
      <c r="KX629"/>
      <c r="KY629"/>
      <c r="KZ629"/>
      <c r="LA629"/>
      <c r="LB629"/>
      <c r="LC629"/>
      <c r="LD629"/>
      <c r="LE629"/>
      <c r="LF629"/>
      <c r="LG629"/>
      <c r="LH629"/>
      <c r="LI629"/>
      <c r="LJ629"/>
      <c r="LK629"/>
      <c r="LL629"/>
      <c r="LM629"/>
      <c r="LN629"/>
      <c r="LO629"/>
      <c r="LP629"/>
      <c r="LQ629"/>
      <c r="LR629"/>
      <c r="LS629"/>
      <c r="LT629"/>
      <c r="LU629"/>
      <c r="LV629"/>
      <c r="LW629"/>
      <c r="LX629"/>
      <c r="LY629"/>
    </row>
    <row r="630" spans="1:337" x14ac:dyDescent="0.35">
      <c r="A630" s="41" t="s">
        <v>31</v>
      </c>
      <c r="B630" s="41" t="s">
        <v>32</v>
      </c>
      <c r="C630" s="42">
        <v>46315</v>
      </c>
      <c r="D630" s="43">
        <v>0</v>
      </c>
      <c r="E630" s="43">
        <v>20</v>
      </c>
      <c r="F630" s="43">
        <v>20</v>
      </c>
      <c r="G630" s="43">
        <v>28</v>
      </c>
      <c r="H630" s="43">
        <v>40</v>
      </c>
      <c r="I630" s="43">
        <v>10</v>
      </c>
      <c r="J630" s="43">
        <v>21449</v>
      </c>
      <c r="K630" s="43">
        <f>SUM(L630:L632)</f>
        <v>6</v>
      </c>
      <c r="L630" s="43">
        <v>2</v>
      </c>
      <c r="M630" s="43"/>
      <c r="N630" s="43">
        <v>4</v>
      </c>
      <c r="O630" s="43">
        <v>3</v>
      </c>
      <c r="P630" s="43">
        <v>7</v>
      </c>
      <c r="Q630" s="43">
        <v>6</v>
      </c>
      <c r="R630" s="43">
        <v>9</v>
      </c>
      <c r="S630" s="43">
        <v>9</v>
      </c>
      <c r="T630" s="43">
        <v>20</v>
      </c>
      <c r="U630" s="43">
        <v>3</v>
      </c>
      <c r="V630" s="41" t="s">
        <v>33</v>
      </c>
      <c r="W630" s="41" t="s">
        <v>34</v>
      </c>
      <c r="X630" s="41">
        <v>1</v>
      </c>
      <c r="Y630" s="41">
        <v>3</v>
      </c>
      <c r="Z630" s="41">
        <v>322</v>
      </c>
      <c r="AA630" s="44">
        <v>34</v>
      </c>
      <c r="AB630" s="44">
        <v>34</v>
      </c>
      <c r="AC630" s="43">
        <v>45</v>
      </c>
      <c r="AD630" s="43">
        <v>30</v>
      </c>
      <c r="AE630" s="43">
        <v>45</v>
      </c>
    </row>
    <row r="631" spans="1:337" x14ac:dyDescent="0.35">
      <c r="A631" s="32" t="s">
        <v>31</v>
      </c>
      <c r="B631" s="32" t="s">
        <v>35</v>
      </c>
      <c r="C631" s="33">
        <v>46315</v>
      </c>
      <c r="D631" s="34">
        <v>13</v>
      </c>
      <c r="E631" s="34">
        <v>24</v>
      </c>
      <c r="F631" s="34">
        <v>25</v>
      </c>
      <c r="G631" s="141"/>
      <c r="H631" s="141"/>
      <c r="I631" s="141"/>
      <c r="J631" s="141"/>
      <c r="K631" s="141"/>
      <c r="L631" s="34">
        <v>2</v>
      </c>
      <c r="M631" s="34">
        <v>5</v>
      </c>
      <c r="N631" s="34">
        <v>4</v>
      </c>
      <c r="O631" s="34">
        <v>4</v>
      </c>
      <c r="P631" s="32">
        <v>7</v>
      </c>
      <c r="Q631" s="32">
        <v>7</v>
      </c>
      <c r="R631" s="32">
        <v>8</v>
      </c>
      <c r="S631" s="32">
        <v>6</v>
      </c>
      <c r="T631" s="143"/>
      <c r="U631" s="143"/>
      <c r="V631" s="32" t="s">
        <v>36</v>
      </c>
      <c r="W631" s="32" t="s">
        <v>37</v>
      </c>
      <c r="X631" s="32">
        <v>1</v>
      </c>
      <c r="Y631" s="143"/>
      <c r="Z631" s="143"/>
      <c r="AA631" s="145"/>
      <c r="AB631" s="145"/>
      <c r="AC631" s="141"/>
      <c r="AD631" s="141"/>
      <c r="AE631" s="141"/>
    </row>
    <row r="632" spans="1:337" ht="15" thickBot="1" x14ac:dyDescent="0.4">
      <c r="A632" s="45" t="s">
        <v>31</v>
      </c>
      <c r="B632" s="45" t="s">
        <v>38</v>
      </c>
      <c r="C632" s="46">
        <v>46315</v>
      </c>
      <c r="D632" s="47"/>
      <c r="E632" s="47"/>
      <c r="F632" s="47"/>
      <c r="G632" s="142"/>
      <c r="H632" s="142"/>
      <c r="I632" s="142"/>
      <c r="J632" s="142"/>
      <c r="K632" s="142"/>
      <c r="L632" s="47">
        <v>2</v>
      </c>
      <c r="M632" s="47"/>
      <c r="N632" s="47"/>
      <c r="O632" s="47"/>
      <c r="P632" s="47"/>
      <c r="Q632" s="47"/>
      <c r="R632" s="47"/>
      <c r="S632" s="47"/>
      <c r="T632" s="144"/>
      <c r="U632" s="144"/>
      <c r="V632" s="45"/>
      <c r="W632" s="45"/>
      <c r="X632" s="47"/>
      <c r="Y632" s="144"/>
      <c r="Z632" s="144"/>
      <c r="AA632" s="146"/>
      <c r="AB632" s="146"/>
      <c r="AC632" s="142"/>
      <c r="AD632" s="142"/>
      <c r="AE632" s="142"/>
    </row>
    <row r="633" spans="1:337" s="53" customFormat="1" ht="15" thickBot="1" x14ac:dyDescent="0.4">
      <c r="A633" s="49"/>
      <c r="B633" s="49"/>
      <c r="C633" s="50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49"/>
      <c r="U633" s="49"/>
      <c r="V633" s="49"/>
      <c r="W633" s="49"/>
      <c r="X633" s="51"/>
      <c r="Y633" s="49"/>
      <c r="Z633" s="49"/>
      <c r="AA633" s="52"/>
      <c r="AB633" s="52"/>
      <c r="AC633" s="51"/>
      <c r="AD633" s="51"/>
      <c r="AE633" s="51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/>
      <c r="FH633"/>
      <c r="FI633"/>
      <c r="FJ633"/>
      <c r="FK633"/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/>
      <c r="JN633"/>
      <c r="JO633"/>
      <c r="JP633"/>
      <c r="JQ633"/>
      <c r="JR633"/>
      <c r="JS633"/>
      <c r="JT633"/>
      <c r="JU633"/>
      <c r="JV633"/>
      <c r="JW633"/>
      <c r="JX633"/>
      <c r="JY633"/>
      <c r="JZ633"/>
      <c r="KA633"/>
      <c r="KB633"/>
      <c r="KC633"/>
      <c r="KD633"/>
      <c r="KE633"/>
      <c r="KF633"/>
      <c r="KG633"/>
      <c r="KH633"/>
      <c r="KI633"/>
      <c r="KJ633"/>
      <c r="KK633"/>
      <c r="KL633"/>
      <c r="KM633"/>
      <c r="KN633"/>
      <c r="KO633"/>
      <c r="KP633"/>
      <c r="KQ633"/>
      <c r="KR633"/>
      <c r="KS633"/>
      <c r="KT633"/>
      <c r="KU633"/>
      <c r="KV633"/>
      <c r="KW633"/>
      <c r="KX633"/>
      <c r="KY633"/>
      <c r="KZ633"/>
      <c r="LA633"/>
      <c r="LB633"/>
      <c r="LC633"/>
      <c r="LD633"/>
      <c r="LE633"/>
      <c r="LF633"/>
      <c r="LG633"/>
      <c r="LH633"/>
      <c r="LI633"/>
      <c r="LJ633"/>
      <c r="LK633"/>
      <c r="LL633"/>
      <c r="LM633"/>
      <c r="LN633"/>
      <c r="LO633"/>
      <c r="LP633"/>
      <c r="LQ633"/>
      <c r="LR633"/>
      <c r="LS633"/>
      <c r="LT633"/>
      <c r="LU633"/>
      <c r="LV633"/>
      <c r="LW633"/>
      <c r="LX633"/>
      <c r="LY633"/>
    </row>
    <row r="634" spans="1:337" x14ac:dyDescent="0.35">
      <c r="A634" s="41" t="s">
        <v>31</v>
      </c>
      <c r="B634" s="41" t="s">
        <v>32</v>
      </c>
      <c r="C634" s="42">
        <v>46316</v>
      </c>
      <c r="D634" s="43">
        <v>0</v>
      </c>
      <c r="E634" s="43">
        <v>20</v>
      </c>
      <c r="F634" s="43">
        <v>20</v>
      </c>
      <c r="G634" s="43">
        <v>28</v>
      </c>
      <c r="H634" s="43">
        <v>40</v>
      </c>
      <c r="I634" s="43">
        <v>10</v>
      </c>
      <c r="J634" s="43">
        <v>21449</v>
      </c>
      <c r="K634" s="43">
        <f>SUM(L634:L636)</f>
        <v>6</v>
      </c>
      <c r="L634" s="43">
        <v>2</v>
      </c>
      <c r="M634" s="43"/>
      <c r="N634" s="43">
        <v>4</v>
      </c>
      <c r="O634" s="43">
        <v>3</v>
      </c>
      <c r="P634" s="43">
        <v>7</v>
      </c>
      <c r="Q634" s="43">
        <v>6</v>
      </c>
      <c r="R634" s="43">
        <v>9</v>
      </c>
      <c r="S634" s="43">
        <v>9</v>
      </c>
      <c r="T634" s="43">
        <v>25</v>
      </c>
      <c r="U634" s="43">
        <v>4</v>
      </c>
      <c r="V634" s="41" t="s">
        <v>33</v>
      </c>
      <c r="W634" s="41" t="s">
        <v>34</v>
      </c>
      <c r="X634" s="41">
        <v>1</v>
      </c>
      <c r="Y634" s="41">
        <v>3</v>
      </c>
      <c r="Z634" s="41">
        <v>322</v>
      </c>
      <c r="AA634" s="44">
        <v>34</v>
      </c>
      <c r="AB634" s="44">
        <v>34</v>
      </c>
      <c r="AC634" s="43">
        <v>45</v>
      </c>
      <c r="AD634" s="43">
        <v>30</v>
      </c>
      <c r="AE634" s="43">
        <v>45</v>
      </c>
    </row>
    <row r="635" spans="1:337" x14ac:dyDescent="0.35">
      <c r="A635" s="32" t="s">
        <v>31</v>
      </c>
      <c r="B635" s="32" t="s">
        <v>35</v>
      </c>
      <c r="C635" s="33">
        <v>46316</v>
      </c>
      <c r="D635" s="34">
        <v>13</v>
      </c>
      <c r="E635" s="34">
        <v>24</v>
      </c>
      <c r="F635" s="34">
        <v>25</v>
      </c>
      <c r="G635" s="141"/>
      <c r="H635" s="141"/>
      <c r="I635" s="141"/>
      <c r="J635" s="141"/>
      <c r="K635" s="141"/>
      <c r="L635" s="34">
        <v>2</v>
      </c>
      <c r="M635" s="34">
        <v>5</v>
      </c>
      <c r="N635" s="34">
        <v>4</v>
      </c>
      <c r="O635" s="34">
        <v>4</v>
      </c>
      <c r="P635" s="32">
        <v>7</v>
      </c>
      <c r="Q635" s="32">
        <v>7</v>
      </c>
      <c r="R635" s="32">
        <v>8</v>
      </c>
      <c r="S635" s="32">
        <v>6</v>
      </c>
      <c r="T635" s="143"/>
      <c r="U635" s="143"/>
      <c r="V635" s="32" t="s">
        <v>36</v>
      </c>
      <c r="W635" s="32" t="s">
        <v>37</v>
      </c>
      <c r="X635" s="32">
        <v>1</v>
      </c>
      <c r="Y635" s="143"/>
      <c r="Z635" s="143"/>
      <c r="AA635" s="145"/>
      <c r="AB635" s="145"/>
      <c r="AC635" s="141"/>
      <c r="AD635" s="141"/>
      <c r="AE635" s="141"/>
    </row>
    <row r="636" spans="1:337" ht="15" thickBot="1" x14ac:dyDescent="0.4">
      <c r="A636" s="45" t="s">
        <v>31</v>
      </c>
      <c r="B636" s="45" t="s">
        <v>38</v>
      </c>
      <c r="C636" s="46">
        <v>46316</v>
      </c>
      <c r="D636" s="47"/>
      <c r="E636" s="47"/>
      <c r="F636" s="47"/>
      <c r="G636" s="142"/>
      <c r="H636" s="142"/>
      <c r="I636" s="142"/>
      <c r="J636" s="142"/>
      <c r="K636" s="142"/>
      <c r="L636" s="47">
        <v>2</v>
      </c>
      <c r="M636" s="47"/>
      <c r="N636" s="47"/>
      <c r="O636" s="47"/>
      <c r="P636" s="47"/>
      <c r="Q636" s="47"/>
      <c r="R636" s="47"/>
      <c r="S636" s="47"/>
      <c r="T636" s="144"/>
      <c r="U636" s="144"/>
      <c r="V636" s="45"/>
      <c r="W636" s="45"/>
      <c r="X636" s="47"/>
      <c r="Y636" s="144"/>
      <c r="Z636" s="144"/>
      <c r="AA636" s="146"/>
      <c r="AB636" s="146"/>
      <c r="AC636" s="142"/>
      <c r="AD636" s="142"/>
      <c r="AE636" s="142"/>
    </row>
    <row r="637" spans="1:337" s="53" customFormat="1" ht="15" thickBot="1" x14ac:dyDescent="0.4">
      <c r="A637" s="49"/>
      <c r="B637" s="49"/>
      <c r="C637" s="50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49"/>
      <c r="U637" s="49"/>
      <c r="V637" s="49"/>
      <c r="W637" s="49"/>
      <c r="X637" s="51"/>
      <c r="Y637" s="49"/>
      <c r="Z637" s="49"/>
      <c r="AA637" s="52"/>
      <c r="AB637" s="52"/>
      <c r="AC637" s="51"/>
      <c r="AD637" s="51"/>
      <c r="AE637" s="51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/>
      <c r="FE637"/>
      <c r="FF637"/>
      <c r="FG637"/>
      <c r="FH637"/>
      <c r="FI637"/>
      <c r="FJ637"/>
      <c r="FK637"/>
      <c r="FL637"/>
      <c r="FM637"/>
      <c r="FN637"/>
      <c r="FO637"/>
      <c r="FP637"/>
      <c r="FQ637"/>
      <c r="FR637"/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/>
      <c r="JP637"/>
      <c r="JQ637"/>
      <c r="JR637"/>
      <c r="JS637"/>
      <c r="JT637"/>
      <c r="JU637"/>
      <c r="JV637"/>
      <c r="JW637"/>
      <c r="JX637"/>
      <c r="JY637"/>
      <c r="JZ637"/>
      <c r="KA637"/>
      <c r="KB637"/>
      <c r="KC637"/>
      <c r="KD637"/>
      <c r="KE637"/>
      <c r="KF637"/>
      <c r="KG637"/>
      <c r="KH637"/>
      <c r="KI637"/>
      <c r="KJ637"/>
      <c r="KK637"/>
      <c r="KL637"/>
      <c r="KM637"/>
      <c r="KN637"/>
      <c r="KO637"/>
      <c r="KP637"/>
      <c r="KQ637"/>
      <c r="KR637"/>
      <c r="KS637"/>
      <c r="KT637"/>
      <c r="KU637"/>
      <c r="KV637"/>
      <c r="KW637"/>
      <c r="KX637"/>
      <c r="KY637"/>
      <c r="KZ637"/>
      <c r="LA637"/>
      <c r="LB637"/>
      <c r="LC637"/>
      <c r="LD637"/>
      <c r="LE637"/>
      <c r="LF637"/>
      <c r="LG637"/>
      <c r="LH637"/>
      <c r="LI637"/>
      <c r="LJ637"/>
      <c r="LK637"/>
      <c r="LL637"/>
      <c r="LM637"/>
      <c r="LN637"/>
      <c r="LO637"/>
      <c r="LP637"/>
      <c r="LQ637"/>
      <c r="LR637"/>
      <c r="LS637"/>
      <c r="LT637"/>
      <c r="LU637"/>
      <c r="LV637"/>
      <c r="LW637"/>
      <c r="LX637"/>
      <c r="LY637"/>
    </row>
    <row r="638" spans="1:337" x14ac:dyDescent="0.35">
      <c r="A638" s="41" t="s">
        <v>31</v>
      </c>
      <c r="B638" s="41" t="s">
        <v>32</v>
      </c>
      <c r="C638" s="42">
        <v>46317</v>
      </c>
      <c r="D638" s="43">
        <v>0</v>
      </c>
      <c r="E638" s="43">
        <v>20</v>
      </c>
      <c r="F638" s="43">
        <v>20</v>
      </c>
      <c r="G638" s="43">
        <v>28</v>
      </c>
      <c r="H638" s="43">
        <v>40</v>
      </c>
      <c r="I638" s="43">
        <v>10</v>
      </c>
      <c r="J638" s="43">
        <v>21449</v>
      </c>
      <c r="K638" s="43">
        <f>SUM(L638:L640)</f>
        <v>6</v>
      </c>
      <c r="L638" s="43">
        <v>2</v>
      </c>
      <c r="M638" s="43"/>
      <c r="N638" s="43">
        <v>4</v>
      </c>
      <c r="O638" s="43">
        <v>3</v>
      </c>
      <c r="P638" s="43">
        <v>7</v>
      </c>
      <c r="Q638" s="43">
        <v>6</v>
      </c>
      <c r="R638" s="43">
        <v>9</v>
      </c>
      <c r="S638" s="43">
        <v>9</v>
      </c>
      <c r="T638" s="43">
        <v>25</v>
      </c>
      <c r="U638" s="43">
        <v>4</v>
      </c>
      <c r="V638" s="41" t="s">
        <v>33</v>
      </c>
      <c r="W638" s="41" t="s">
        <v>34</v>
      </c>
      <c r="X638" s="41">
        <v>1</v>
      </c>
      <c r="Y638" s="41">
        <v>3</v>
      </c>
      <c r="Z638" s="41">
        <v>322</v>
      </c>
      <c r="AA638" s="44">
        <v>34</v>
      </c>
      <c r="AB638" s="44">
        <v>34</v>
      </c>
      <c r="AC638" s="43">
        <v>45</v>
      </c>
      <c r="AD638" s="43">
        <v>30</v>
      </c>
      <c r="AE638" s="43">
        <v>45</v>
      </c>
    </row>
    <row r="639" spans="1:337" x14ac:dyDescent="0.35">
      <c r="A639" s="32" t="s">
        <v>31</v>
      </c>
      <c r="B639" s="32" t="s">
        <v>35</v>
      </c>
      <c r="C639" s="33">
        <v>46317</v>
      </c>
      <c r="D639" s="34">
        <v>13</v>
      </c>
      <c r="E639" s="34">
        <v>24</v>
      </c>
      <c r="F639" s="34">
        <v>25</v>
      </c>
      <c r="G639" s="141"/>
      <c r="H639" s="141"/>
      <c r="I639" s="141"/>
      <c r="J639" s="141"/>
      <c r="K639" s="141"/>
      <c r="L639" s="34">
        <v>2</v>
      </c>
      <c r="M639" s="34">
        <v>5</v>
      </c>
      <c r="N639" s="34">
        <v>4</v>
      </c>
      <c r="O639" s="34">
        <v>4</v>
      </c>
      <c r="P639" s="32">
        <v>7</v>
      </c>
      <c r="Q639" s="32">
        <v>7</v>
      </c>
      <c r="R639" s="32">
        <v>8</v>
      </c>
      <c r="S639" s="32">
        <v>6</v>
      </c>
      <c r="T639" s="143"/>
      <c r="U639" s="143"/>
      <c r="V639" s="32" t="s">
        <v>36</v>
      </c>
      <c r="W639" s="32" t="s">
        <v>37</v>
      </c>
      <c r="X639" s="32">
        <v>1</v>
      </c>
      <c r="Y639" s="143"/>
      <c r="Z639" s="143"/>
      <c r="AA639" s="145"/>
      <c r="AB639" s="145"/>
      <c r="AC639" s="141"/>
      <c r="AD639" s="141"/>
      <c r="AE639" s="141"/>
    </row>
    <row r="640" spans="1:337" ht="15" thickBot="1" x14ac:dyDescent="0.4">
      <c r="A640" s="45" t="s">
        <v>31</v>
      </c>
      <c r="B640" s="45" t="s">
        <v>38</v>
      </c>
      <c r="C640" s="46">
        <v>46317</v>
      </c>
      <c r="D640" s="47"/>
      <c r="E640" s="47"/>
      <c r="F640" s="47"/>
      <c r="G640" s="142"/>
      <c r="H640" s="142"/>
      <c r="I640" s="142"/>
      <c r="J640" s="142"/>
      <c r="K640" s="142"/>
      <c r="L640" s="47">
        <v>2</v>
      </c>
      <c r="M640" s="47"/>
      <c r="N640" s="47"/>
      <c r="O640" s="47"/>
      <c r="P640" s="47"/>
      <c r="Q640" s="47"/>
      <c r="R640" s="47"/>
      <c r="S640" s="47"/>
      <c r="T640" s="144"/>
      <c r="U640" s="144"/>
      <c r="V640" s="45"/>
      <c r="W640" s="45"/>
      <c r="X640" s="47"/>
      <c r="Y640" s="144"/>
      <c r="Z640" s="144"/>
      <c r="AA640" s="146"/>
      <c r="AB640" s="146"/>
      <c r="AC640" s="142"/>
      <c r="AD640" s="142"/>
      <c r="AE640" s="142"/>
    </row>
    <row r="641" spans="1:337" s="53" customFormat="1" ht="15" thickBot="1" x14ac:dyDescent="0.4">
      <c r="A641" s="49"/>
      <c r="B641" s="49"/>
      <c r="C641" s="50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49"/>
      <c r="U641" s="49"/>
      <c r="V641" s="49"/>
      <c r="W641" s="49"/>
      <c r="X641" s="51"/>
      <c r="Y641" s="49"/>
      <c r="Z641" s="49"/>
      <c r="AA641" s="52"/>
      <c r="AB641" s="52"/>
      <c r="AC641" s="51"/>
      <c r="AD641" s="51"/>
      <c r="AE641" s="5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/>
      <c r="FC641"/>
      <c r="FD641"/>
      <c r="FE641"/>
      <c r="FF641"/>
      <c r="FG641"/>
      <c r="FH641"/>
      <c r="FI641"/>
      <c r="FJ641"/>
      <c r="FK641"/>
      <c r="FL641"/>
      <c r="FM641"/>
      <c r="FN641"/>
      <c r="FO641"/>
      <c r="FP641"/>
      <c r="FQ641"/>
      <c r="FR641"/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/>
      <c r="IN641"/>
      <c r="IO641"/>
      <c r="IP641"/>
      <c r="IQ641"/>
      <c r="IR641"/>
      <c r="IS641"/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/>
      <c r="JJ641"/>
      <c r="JK641"/>
      <c r="JL641"/>
      <c r="JM641"/>
      <c r="JN641"/>
      <c r="JO641"/>
      <c r="JP641"/>
      <c r="JQ641"/>
      <c r="JR641"/>
      <c r="JS641"/>
      <c r="JT641"/>
      <c r="JU641"/>
      <c r="JV641"/>
      <c r="JW641"/>
      <c r="JX641"/>
      <c r="JY641"/>
      <c r="JZ641"/>
      <c r="KA641"/>
      <c r="KB641"/>
      <c r="KC641"/>
      <c r="KD641"/>
      <c r="KE641"/>
      <c r="KF641"/>
      <c r="KG641"/>
      <c r="KH641"/>
      <c r="KI641"/>
      <c r="KJ641"/>
      <c r="KK641"/>
      <c r="KL641"/>
      <c r="KM641"/>
      <c r="KN641"/>
      <c r="KO641"/>
      <c r="KP641"/>
      <c r="KQ641"/>
      <c r="KR641"/>
      <c r="KS641"/>
      <c r="KT641"/>
      <c r="KU641"/>
      <c r="KV641"/>
      <c r="KW641"/>
      <c r="KX641"/>
      <c r="KY641"/>
      <c r="KZ641"/>
      <c r="LA641"/>
      <c r="LB641"/>
      <c r="LC641"/>
      <c r="LD641"/>
      <c r="LE641"/>
      <c r="LF641"/>
      <c r="LG641"/>
      <c r="LH641"/>
      <c r="LI641"/>
      <c r="LJ641"/>
      <c r="LK641"/>
      <c r="LL641"/>
      <c r="LM641"/>
      <c r="LN641"/>
      <c r="LO641"/>
      <c r="LP641"/>
      <c r="LQ641"/>
      <c r="LR641"/>
      <c r="LS641"/>
      <c r="LT641"/>
      <c r="LU641"/>
      <c r="LV641"/>
      <c r="LW641"/>
      <c r="LX641"/>
      <c r="LY641"/>
    </row>
    <row r="642" spans="1:337" x14ac:dyDescent="0.35">
      <c r="A642" s="41" t="s">
        <v>31</v>
      </c>
      <c r="B642" s="41" t="s">
        <v>32</v>
      </c>
      <c r="C642" s="42">
        <v>46318</v>
      </c>
      <c r="D642" s="43">
        <v>0</v>
      </c>
      <c r="E642" s="43">
        <v>20</v>
      </c>
      <c r="F642" s="43">
        <v>20</v>
      </c>
      <c r="G642" s="43">
        <v>28</v>
      </c>
      <c r="H642" s="43">
        <v>40</v>
      </c>
      <c r="I642" s="43">
        <v>10</v>
      </c>
      <c r="J642" s="43">
        <v>21449</v>
      </c>
      <c r="K642" s="43">
        <f>SUM(L642:L644)</f>
        <v>6</v>
      </c>
      <c r="L642" s="43">
        <v>2</v>
      </c>
      <c r="M642" s="43"/>
      <c r="N642" s="43">
        <v>4</v>
      </c>
      <c r="O642" s="43">
        <v>3</v>
      </c>
      <c r="P642" s="43">
        <v>7</v>
      </c>
      <c r="Q642" s="43">
        <v>6</v>
      </c>
      <c r="R642" s="43">
        <v>9</v>
      </c>
      <c r="S642" s="43">
        <v>9</v>
      </c>
      <c r="T642" s="43">
        <v>25</v>
      </c>
      <c r="U642" s="43">
        <v>4</v>
      </c>
      <c r="V642" s="41" t="s">
        <v>33</v>
      </c>
      <c r="W642" s="41" t="s">
        <v>34</v>
      </c>
      <c r="X642" s="41">
        <v>1</v>
      </c>
      <c r="Y642" s="41">
        <v>3</v>
      </c>
      <c r="Z642" s="41">
        <v>322</v>
      </c>
      <c r="AA642" s="44">
        <v>34</v>
      </c>
      <c r="AB642" s="44">
        <v>34</v>
      </c>
      <c r="AC642" s="43">
        <v>45</v>
      </c>
      <c r="AD642" s="43">
        <v>30</v>
      </c>
      <c r="AE642" s="43">
        <v>45</v>
      </c>
    </row>
    <row r="643" spans="1:337" x14ac:dyDescent="0.35">
      <c r="A643" s="32" t="s">
        <v>31</v>
      </c>
      <c r="B643" s="32" t="s">
        <v>35</v>
      </c>
      <c r="C643" s="33">
        <v>46318</v>
      </c>
      <c r="D643" s="34">
        <v>13</v>
      </c>
      <c r="E643" s="34">
        <v>24</v>
      </c>
      <c r="F643" s="34">
        <v>25</v>
      </c>
      <c r="G643" s="141"/>
      <c r="H643" s="141"/>
      <c r="I643" s="141"/>
      <c r="J643" s="141"/>
      <c r="K643" s="141"/>
      <c r="L643" s="34">
        <v>2</v>
      </c>
      <c r="M643" s="34">
        <v>5</v>
      </c>
      <c r="N643" s="34">
        <v>4</v>
      </c>
      <c r="O643" s="34">
        <v>4</v>
      </c>
      <c r="P643" s="32">
        <v>7</v>
      </c>
      <c r="Q643" s="32">
        <v>7</v>
      </c>
      <c r="R643" s="32">
        <v>8</v>
      </c>
      <c r="S643" s="32">
        <v>6</v>
      </c>
      <c r="T643" s="143"/>
      <c r="U643" s="143"/>
      <c r="V643" s="32" t="s">
        <v>36</v>
      </c>
      <c r="W643" s="32" t="s">
        <v>37</v>
      </c>
      <c r="X643" s="32">
        <v>1</v>
      </c>
      <c r="Y643" s="143"/>
      <c r="Z643" s="143"/>
      <c r="AA643" s="145"/>
      <c r="AB643" s="145"/>
      <c r="AC643" s="141"/>
      <c r="AD643" s="141"/>
      <c r="AE643" s="141"/>
    </row>
    <row r="644" spans="1:337" ht="15" thickBot="1" x14ac:dyDescent="0.4">
      <c r="A644" s="45" t="s">
        <v>31</v>
      </c>
      <c r="B644" s="45" t="s">
        <v>38</v>
      </c>
      <c r="C644" s="46">
        <v>46318</v>
      </c>
      <c r="D644" s="47"/>
      <c r="E644" s="47"/>
      <c r="F644" s="47"/>
      <c r="G644" s="142"/>
      <c r="H644" s="142"/>
      <c r="I644" s="142"/>
      <c r="J644" s="142"/>
      <c r="K644" s="142"/>
      <c r="L644" s="47">
        <v>2</v>
      </c>
      <c r="M644" s="47"/>
      <c r="N644" s="47"/>
      <c r="O644" s="47"/>
      <c r="P644" s="47"/>
      <c r="Q644" s="47"/>
      <c r="R644" s="47"/>
      <c r="S644" s="47"/>
      <c r="T644" s="144"/>
      <c r="U644" s="144"/>
      <c r="V644" s="45"/>
      <c r="W644" s="45"/>
      <c r="X644" s="47"/>
      <c r="Y644" s="144"/>
      <c r="Z644" s="144"/>
      <c r="AA644" s="146"/>
      <c r="AB644" s="146"/>
      <c r="AC644" s="142"/>
      <c r="AD644" s="142"/>
      <c r="AE644" s="142"/>
    </row>
    <row r="645" spans="1:337" s="53" customFormat="1" ht="15" thickBot="1" x14ac:dyDescent="0.4">
      <c r="A645" s="49"/>
      <c r="B645" s="49"/>
      <c r="C645" s="50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49"/>
      <c r="U645" s="49"/>
      <c r="V645" s="49"/>
      <c r="W645" s="49"/>
      <c r="X645" s="51"/>
      <c r="Y645" s="49"/>
      <c r="Z645" s="49"/>
      <c r="AA645" s="52"/>
      <c r="AB645" s="52"/>
      <c r="AC645" s="51"/>
      <c r="AD645" s="51"/>
      <c r="AE645" s="51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/>
      <c r="FC645"/>
      <c r="FD645"/>
      <c r="FE645"/>
      <c r="FF645"/>
      <c r="FG645"/>
      <c r="FH645"/>
      <c r="FI645"/>
      <c r="FJ645"/>
      <c r="FK645"/>
      <c r="FL645"/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/>
      <c r="GA645"/>
      <c r="GB645"/>
      <c r="GC645"/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/>
      <c r="JJ645"/>
      <c r="JK645"/>
      <c r="JL645"/>
      <c r="JM645"/>
      <c r="JN645"/>
      <c r="JO645"/>
      <c r="JP645"/>
      <c r="JQ645"/>
      <c r="JR645"/>
      <c r="JS645"/>
      <c r="JT645"/>
      <c r="JU645"/>
      <c r="JV645"/>
      <c r="JW645"/>
      <c r="JX645"/>
      <c r="JY645"/>
      <c r="JZ645"/>
      <c r="KA645"/>
      <c r="KB645"/>
      <c r="KC645"/>
      <c r="KD645"/>
      <c r="KE645"/>
      <c r="KF645"/>
      <c r="KG645"/>
      <c r="KH645"/>
      <c r="KI645"/>
      <c r="KJ645"/>
      <c r="KK645"/>
      <c r="KL645"/>
      <c r="KM645"/>
      <c r="KN645"/>
      <c r="KO645"/>
      <c r="KP645"/>
      <c r="KQ645"/>
      <c r="KR645"/>
      <c r="KS645"/>
      <c r="KT645"/>
      <c r="KU645"/>
      <c r="KV645"/>
      <c r="KW645"/>
      <c r="KX645"/>
      <c r="KY645"/>
      <c r="KZ645"/>
      <c r="LA645"/>
      <c r="LB645"/>
      <c r="LC645"/>
      <c r="LD645"/>
      <c r="LE645"/>
      <c r="LF645"/>
      <c r="LG645"/>
      <c r="LH645"/>
      <c r="LI645"/>
      <c r="LJ645"/>
      <c r="LK645"/>
      <c r="LL645"/>
      <c r="LM645"/>
      <c r="LN645"/>
      <c r="LO645"/>
      <c r="LP645"/>
      <c r="LQ645"/>
      <c r="LR645"/>
      <c r="LS645"/>
      <c r="LT645"/>
      <c r="LU645"/>
      <c r="LV645"/>
      <c r="LW645"/>
      <c r="LX645"/>
      <c r="LY645"/>
    </row>
    <row r="646" spans="1:337" x14ac:dyDescent="0.35">
      <c r="A646" s="41" t="s">
        <v>31</v>
      </c>
      <c r="B646" s="41" t="s">
        <v>32</v>
      </c>
      <c r="C646" s="42">
        <v>46321</v>
      </c>
      <c r="D646" s="43">
        <v>0</v>
      </c>
      <c r="E646" s="43">
        <v>20</v>
      </c>
      <c r="F646" s="43">
        <v>20</v>
      </c>
      <c r="G646" s="43">
        <v>28</v>
      </c>
      <c r="H646" s="43">
        <v>40</v>
      </c>
      <c r="I646" s="43">
        <v>10</v>
      </c>
      <c r="J646" s="43">
        <v>21449</v>
      </c>
      <c r="K646" s="43">
        <f>SUM(L646:L648)</f>
        <v>6</v>
      </c>
      <c r="L646" s="43">
        <v>2</v>
      </c>
      <c r="M646" s="43"/>
      <c r="N646" s="43">
        <v>4</v>
      </c>
      <c r="O646" s="43">
        <v>3</v>
      </c>
      <c r="P646" s="43">
        <v>7</v>
      </c>
      <c r="Q646" s="43">
        <v>6</v>
      </c>
      <c r="R646" s="43">
        <v>9</v>
      </c>
      <c r="S646" s="43">
        <v>9</v>
      </c>
      <c r="T646" s="43">
        <v>25</v>
      </c>
      <c r="U646" s="43">
        <v>4</v>
      </c>
      <c r="V646" s="41" t="s">
        <v>33</v>
      </c>
      <c r="W646" s="41" t="s">
        <v>34</v>
      </c>
      <c r="X646" s="41">
        <v>1</v>
      </c>
      <c r="Y646" s="41">
        <v>3</v>
      </c>
      <c r="Z646" s="41">
        <v>322</v>
      </c>
      <c r="AA646" s="44">
        <v>34</v>
      </c>
      <c r="AB646" s="44">
        <v>34</v>
      </c>
      <c r="AC646" s="43">
        <v>45</v>
      </c>
      <c r="AD646" s="43">
        <v>30</v>
      </c>
      <c r="AE646" s="43">
        <v>45</v>
      </c>
    </row>
    <row r="647" spans="1:337" x14ac:dyDescent="0.35">
      <c r="A647" s="32" t="s">
        <v>31</v>
      </c>
      <c r="B647" s="32" t="s">
        <v>35</v>
      </c>
      <c r="C647" s="33">
        <v>46321</v>
      </c>
      <c r="D647" s="34">
        <v>13</v>
      </c>
      <c r="E647" s="34">
        <v>24</v>
      </c>
      <c r="F647" s="34">
        <v>25</v>
      </c>
      <c r="G647" s="141"/>
      <c r="H647" s="141"/>
      <c r="I647" s="141"/>
      <c r="J647" s="141"/>
      <c r="K647" s="141"/>
      <c r="L647" s="34">
        <v>2</v>
      </c>
      <c r="M647" s="34">
        <v>5</v>
      </c>
      <c r="N647" s="34">
        <v>4</v>
      </c>
      <c r="O647" s="34">
        <v>4</v>
      </c>
      <c r="P647" s="32">
        <v>7</v>
      </c>
      <c r="Q647" s="32">
        <v>7</v>
      </c>
      <c r="R647" s="32">
        <v>8</v>
      </c>
      <c r="S647" s="32">
        <v>6</v>
      </c>
      <c r="T647" s="143"/>
      <c r="U647" s="143"/>
      <c r="V647" s="32" t="s">
        <v>36</v>
      </c>
      <c r="W647" s="32" t="s">
        <v>37</v>
      </c>
      <c r="X647" s="32">
        <v>1</v>
      </c>
      <c r="Y647" s="143"/>
      <c r="Z647" s="143"/>
      <c r="AA647" s="145"/>
      <c r="AB647" s="145"/>
      <c r="AC647" s="141"/>
      <c r="AD647" s="141"/>
      <c r="AE647" s="141"/>
    </row>
    <row r="648" spans="1:337" ht="15" thickBot="1" x14ac:dyDescent="0.4">
      <c r="A648" s="45" t="s">
        <v>31</v>
      </c>
      <c r="B648" s="45" t="s">
        <v>38</v>
      </c>
      <c r="C648" s="46">
        <v>46321</v>
      </c>
      <c r="D648" s="47"/>
      <c r="E648" s="47"/>
      <c r="F648" s="47"/>
      <c r="G648" s="142"/>
      <c r="H648" s="142"/>
      <c r="I648" s="142"/>
      <c r="J648" s="142"/>
      <c r="K648" s="142"/>
      <c r="L648" s="47">
        <v>2</v>
      </c>
      <c r="M648" s="47"/>
      <c r="N648" s="47"/>
      <c r="O648" s="47"/>
      <c r="P648" s="47"/>
      <c r="Q648" s="47"/>
      <c r="R648" s="47"/>
      <c r="S648" s="47"/>
      <c r="T648" s="144"/>
      <c r="U648" s="144"/>
      <c r="V648" s="45"/>
      <c r="W648" s="45"/>
      <c r="X648" s="47"/>
      <c r="Y648" s="144"/>
      <c r="Z648" s="144"/>
      <c r="AA648" s="146"/>
      <c r="AB648" s="146"/>
      <c r="AC648" s="142"/>
      <c r="AD648" s="142"/>
      <c r="AE648" s="142"/>
    </row>
    <row r="649" spans="1:337" s="53" customFormat="1" ht="15" thickBot="1" x14ac:dyDescent="0.4">
      <c r="A649" s="49"/>
      <c r="B649" s="49"/>
      <c r="C649" s="50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49"/>
      <c r="U649" s="49"/>
      <c r="V649" s="49"/>
      <c r="W649" s="49"/>
      <c r="X649" s="51"/>
      <c r="Y649" s="49"/>
      <c r="Z649" s="49"/>
      <c r="AA649" s="52"/>
      <c r="AB649" s="52"/>
      <c r="AC649" s="51"/>
      <c r="AD649" s="51"/>
      <c r="AE649" s="51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  <c r="FB649"/>
      <c r="FC649"/>
      <c r="FD649"/>
      <c r="FE649"/>
      <c r="FF649"/>
      <c r="FG649"/>
      <c r="FH649"/>
      <c r="FI649"/>
      <c r="FJ649"/>
      <c r="FK649"/>
      <c r="FL649"/>
      <c r="FM649"/>
      <c r="FN649"/>
      <c r="FO649"/>
      <c r="FP649"/>
      <c r="FQ649"/>
      <c r="FR649"/>
      <c r="FS649"/>
      <c r="FT649"/>
      <c r="FU649"/>
      <c r="FV649"/>
      <c r="FW649"/>
      <c r="FX649"/>
      <c r="FY649"/>
      <c r="FZ649"/>
      <c r="GA649"/>
      <c r="GB649"/>
      <c r="GC649"/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  <c r="IW649"/>
      <c r="IX649"/>
      <c r="IY649"/>
      <c r="IZ649"/>
      <c r="JA649"/>
      <c r="JB649"/>
      <c r="JC649"/>
      <c r="JD649"/>
      <c r="JE649"/>
      <c r="JF649"/>
      <c r="JG649"/>
      <c r="JH649"/>
      <c r="JI649"/>
      <c r="JJ649"/>
      <c r="JK649"/>
      <c r="JL649"/>
      <c r="JM649"/>
      <c r="JN649"/>
      <c r="JO649"/>
      <c r="JP649"/>
      <c r="JQ649"/>
      <c r="JR649"/>
      <c r="JS649"/>
      <c r="JT649"/>
      <c r="JU649"/>
      <c r="JV649"/>
      <c r="JW649"/>
      <c r="JX649"/>
      <c r="JY649"/>
      <c r="JZ649"/>
      <c r="KA649"/>
      <c r="KB649"/>
      <c r="KC649"/>
      <c r="KD649"/>
      <c r="KE649"/>
      <c r="KF649"/>
      <c r="KG649"/>
      <c r="KH649"/>
      <c r="KI649"/>
      <c r="KJ649"/>
      <c r="KK649"/>
      <c r="KL649"/>
      <c r="KM649"/>
      <c r="KN649"/>
      <c r="KO649"/>
      <c r="KP649"/>
      <c r="KQ649"/>
      <c r="KR649"/>
      <c r="KS649"/>
      <c r="KT649"/>
      <c r="KU649"/>
      <c r="KV649"/>
      <c r="KW649"/>
      <c r="KX649"/>
      <c r="KY649"/>
      <c r="KZ649"/>
      <c r="LA649"/>
      <c r="LB649"/>
      <c r="LC649"/>
      <c r="LD649"/>
      <c r="LE649"/>
      <c r="LF649"/>
      <c r="LG649"/>
      <c r="LH649"/>
      <c r="LI649"/>
      <c r="LJ649"/>
      <c r="LK649"/>
      <c r="LL649"/>
      <c r="LM649"/>
      <c r="LN649"/>
      <c r="LO649"/>
      <c r="LP649"/>
      <c r="LQ649"/>
      <c r="LR649"/>
      <c r="LS649"/>
      <c r="LT649"/>
      <c r="LU649"/>
      <c r="LV649"/>
      <c r="LW649"/>
      <c r="LX649"/>
      <c r="LY649"/>
    </row>
    <row r="650" spans="1:337" x14ac:dyDescent="0.35">
      <c r="A650" s="41" t="s">
        <v>31</v>
      </c>
      <c r="B650" s="41" t="s">
        <v>32</v>
      </c>
      <c r="C650" s="42">
        <v>46322</v>
      </c>
      <c r="D650" s="43">
        <v>0</v>
      </c>
      <c r="E650" s="43">
        <v>20</v>
      </c>
      <c r="F650" s="43">
        <v>20</v>
      </c>
      <c r="G650" s="43">
        <v>28</v>
      </c>
      <c r="H650" s="43">
        <v>40</v>
      </c>
      <c r="I650" s="43">
        <v>10</v>
      </c>
      <c r="J650" s="43">
        <v>21449</v>
      </c>
      <c r="K650" s="43">
        <f>SUM(L650:L652)</f>
        <v>6</v>
      </c>
      <c r="L650" s="43">
        <v>2</v>
      </c>
      <c r="M650" s="43"/>
      <c r="N650" s="43">
        <v>4</v>
      </c>
      <c r="O650" s="43">
        <v>3</v>
      </c>
      <c r="P650" s="43">
        <v>7</v>
      </c>
      <c r="Q650" s="43">
        <v>6</v>
      </c>
      <c r="R650" s="43">
        <v>9</v>
      </c>
      <c r="S650" s="43">
        <v>9</v>
      </c>
      <c r="T650" s="43">
        <v>25</v>
      </c>
      <c r="U650" s="43">
        <v>4</v>
      </c>
      <c r="V650" s="41" t="s">
        <v>33</v>
      </c>
      <c r="W650" s="41" t="s">
        <v>34</v>
      </c>
      <c r="X650" s="41">
        <v>1</v>
      </c>
      <c r="Y650" s="41">
        <v>3</v>
      </c>
      <c r="Z650" s="41">
        <v>322</v>
      </c>
      <c r="AA650" s="44">
        <v>34</v>
      </c>
      <c r="AB650" s="44">
        <v>34</v>
      </c>
      <c r="AC650" s="43">
        <v>45</v>
      </c>
      <c r="AD650" s="43">
        <v>30</v>
      </c>
      <c r="AE650" s="43">
        <v>45</v>
      </c>
    </row>
    <row r="651" spans="1:337" x14ac:dyDescent="0.35">
      <c r="A651" s="32" t="s">
        <v>31</v>
      </c>
      <c r="B651" s="32" t="s">
        <v>35</v>
      </c>
      <c r="C651" s="33">
        <v>46322</v>
      </c>
      <c r="D651" s="34">
        <v>13</v>
      </c>
      <c r="E651" s="34">
        <v>24</v>
      </c>
      <c r="F651" s="34">
        <v>25</v>
      </c>
      <c r="G651" s="141"/>
      <c r="H651" s="141"/>
      <c r="I651" s="141"/>
      <c r="J651" s="141"/>
      <c r="K651" s="141"/>
      <c r="L651" s="34">
        <v>2</v>
      </c>
      <c r="M651" s="34">
        <v>5</v>
      </c>
      <c r="N651" s="34">
        <v>4</v>
      </c>
      <c r="O651" s="34">
        <v>4</v>
      </c>
      <c r="P651" s="32">
        <v>7</v>
      </c>
      <c r="Q651" s="32">
        <v>7</v>
      </c>
      <c r="R651" s="32">
        <v>8</v>
      </c>
      <c r="S651" s="32">
        <v>6</v>
      </c>
      <c r="T651" s="143"/>
      <c r="U651" s="143"/>
      <c r="V651" s="32" t="s">
        <v>36</v>
      </c>
      <c r="W651" s="32" t="s">
        <v>37</v>
      </c>
      <c r="X651" s="32">
        <v>1</v>
      </c>
      <c r="Y651" s="143"/>
      <c r="Z651" s="143"/>
      <c r="AA651" s="145"/>
      <c r="AB651" s="145"/>
      <c r="AC651" s="141"/>
      <c r="AD651" s="141"/>
      <c r="AE651" s="141"/>
    </row>
    <row r="652" spans="1:337" ht="15" thickBot="1" x14ac:dyDescent="0.4">
      <c r="A652" s="45" t="s">
        <v>31</v>
      </c>
      <c r="B652" s="45" t="s">
        <v>38</v>
      </c>
      <c r="C652" s="46">
        <v>46322</v>
      </c>
      <c r="D652" s="47"/>
      <c r="E652" s="47"/>
      <c r="F652" s="47"/>
      <c r="G652" s="142"/>
      <c r="H652" s="142"/>
      <c r="I652" s="142"/>
      <c r="J652" s="142"/>
      <c r="K652" s="142"/>
      <c r="L652" s="47">
        <v>2</v>
      </c>
      <c r="M652" s="47"/>
      <c r="N652" s="47"/>
      <c r="O652" s="47"/>
      <c r="P652" s="47"/>
      <c r="Q652" s="47"/>
      <c r="R652" s="47"/>
      <c r="S652" s="47"/>
      <c r="T652" s="144"/>
      <c r="U652" s="144"/>
      <c r="V652" s="45"/>
      <c r="W652" s="45"/>
      <c r="X652" s="47"/>
      <c r="Y652" s="144"/>
      <c r="Z652" s="144"/>
      <c r="AA652" s="146"/>
      <c r="AB652" s="146"/>
      <c r="AC652" s="142"/>
      <c r="AD652" s="142"/>
      <c r="AE652" s="142"/>
    </row>
    <row r="653" spans="1:337" s="53" customFormat="1" ht="15" thickBot="1" x14ac:dyDescent="0.4">
      <c r="A653" s="49"/>
      <c r="B653" s="49"/>
      <c r="C653" s="50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49"/>
      <c r="U653" s="49"/>
      <c r="V653" s="49"/>
      <c r="W653" s="49"/>
      <c r="X653" s="51"/>
      <c r="Y653" s="49"/>
      <c r="Z653" s="49"/>
      <c r="AA653" s="52"/>
      <c r="AB653" s="52"/>
      <c r="AC653" s="51"/>
      <c r="AD653" s="51"/>
      <c r="AE653" s="51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/>
      <c r="EU653"/>
      <c r="EV653"/>
      <c r="EW653"/>
      <c r="EX653"/>
      <c r="EY653"/>
      <c r="EZ653"/>
      <c r="FA653"/>
      <c r="FB653"/>
      <c r="FC653"/>
      <c r="FD653"/>
      <c r="FE653"/>
      <c r="FF653"/>
      <c r="FG653"/>
      <c r="FH653"/>
      <c r="FI653"/>
      <c r="FJ653"/>
      <c r="FK653"/>
      <c r="FL653"/>
      <c r="FM653"/>
      <c r="FN653"/>
      <c r="FO653"/>
      <c r="FP653"/>
      <c r="FQ653"/>
      <c r="FR653"/>
      <c r="FS653"/>
      <c r="FT653"/>
      <c r="FU653"/>
      <c r="FV653"/>
      <c r="FW653"/>
      <c r="FX653"/>
      <c r="FY653"/>
      <c r="FZ653"/>
      <c r="GA653"/>
      <c r="GB653"/>
      <c r="GC653"/>
      <c r="GD653"/>
      <c r="GE653"/>
      <c r="GF653"/>
      <c r="GG653"/>
      <c r="GH653"/>
      <c r="GI653"/>
      <c r="GJ653"/>
      <c r="GK653"/>
      <c r="GL653"/>
      <c r="GM653"/>
      <c r="GN653"/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/>
      <c r="HD653"/>
      <c r="HE653"/>
      <c r="HF653"/>
      <c r="HG653"/>
      <c r="HH653"/>
      <c r="HI653"/>
      <c r="HJ653"/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F653"/>
      <c r="IG653"/>
      <c r="IH653"/>
      <c r="II653"/>
      <c r="IJ653"/>
      <c r="IK653"/>
      <c r="IL653"/>
      <c r="IM653"/>
      <c r="IN653"/>
      <c r="IO653"/>
      <c r="IP653"/>
      <c r="IQ653"/>
      <c r="IR653"/>
      <c r="IS653"/>
      <c r="IT653"/>
      <c r="IU653"/>
      <c r="IV653"/>
      <c r="IW653"/>
      <c r="IX653"/>
      <c r="IY653"/>
      <c r="IZ653"/>
      <c r="JA653"/>
      <c r="JB653"/>
      <c r="JC653"/>
      <c r="JD653"/>
      <c r="JE653"/>
      <c r="JF653"/>
      <c r="JG653"/>
      <c r="JH653"/>
      <c r="JI653"/>
      <c r="JJ653"/>
      <c r="JK653"/>
      <c r="JL653"/>
      <c r="JM653"/>
      <c r="JN653"/>
      <c r="JO653"/>
      <c r="JP653"/>
      <c r="JQ653"/>
      <c r="JR653"/>
      <c r="JS653"/>
      <c r="JT653"/>
      <c r="JU653"/>
      <c r="JV653"/>
      <c r="JW653"/>
      <c r="JX653"/>
      <c r="JY653"/>
      <c r="JZ653"/>
      <c r="KA653"/>
      <c r="KB653"/>
      <c r="KC653"/>
      <c r="KD653"/>
      <c r="KE653"/>
      <c r="KF653"/>
      <c r="KG653"/>
      <c r="KH653"/>
      <c r="KI653"/>
      <c r="KJ653"/>
      <c r="KK653"/>
      <c r="KL653"/>
      <c r="KM653"/>
      <c r="KN653"/>
      <c r="KO653"/>
      <c r="KP653"/>
      <c r="KQ653"/>
      <c r="KR653"/>
      <c r="KS653"/>
      <c r="KT653"/>
      <c r="KU653"/>
      <c r="KV653"/>
      <c r="KW653"/>
      <c r="KX653"/>
      <c r="KY653"/>
      <c r="KZ653"/>
      <c r="LA653"/>
      <c r="LB653"/>
      <c r="LC653"/>
      <c r="LD653"/>
      <c r="LE653"/>
      <c r="LF653"/>
      <c r="LG653"/>
      <c r="LH653"/>
      <c r="LI653"/>
      <c r="LJ653"/>
      <c r="LK653"/>
      <c r="LL653"/>
      <c r="LM653"/>
      <c r="LN653"/>
      <c r="LO653"/>
      <c r="LP653"/>
      <c r="LQ653"/>
      <c r="LR653"/>
      <c r="LS653"/>
      <c r="LT653"/>
      <c r="LU653"/>
      <c r="LV653"/>
      <c r="LW653"/>
      <c r="LX653"/>
      <c r="LY653"/>
    </row>
    <row r="654" spans="1:337" x14ac:dyDescent="0.35">
      <c r="A654" s="41" t="s">
        <v>31</v>
      </c>
      <c r="B654" s="41" t="s">
        <v>32</v>
      </c>
      <c r="C654" s="42">
        <v>46323</v>
      </c>
      <c r="D654" s="43">
        <v>0</v>
      </c>
      <c r="E654" s="43">
        <v>20</v>
      </c>
      <c r="F654" s="43">
        <v>20</v>
      </c>
      <c r="G654" s="43">
        <v>28</v>
      </c>
      <c r="H654" s="43">
        <v>40</v>
      </c>
      <c r="I654" s="43">
        <v>10</v>
      </c>
      <c r="J654" s="43">
        <v>21449</v>
      </c>
      <c r="K654" s="43">
        <f>SUM(L654:L656)</f>
        <v>6</v>
      </c>
      <c r="L654" s="43">
        <v>2</v>
      </c>
      <c r="M654" s="43"/>
      <c r="N654" s="43">
        <v>4</v>
      </c>
      <c r="O654" s="43">
        <v>3</v>
      </c>
      <c r="P654" s="43">
        <v>7</v>
      </c>
      <c r="Q654" s="43">
        <v>6</v>
      </c>
      <c r="R654" s="43">
        <v>9</v>
      </c>
      <c r="S654" s="43">
        <v>9</v>
      </c>
      <c r="T654" s="43">
        <v>25</v>
      </c>
      <c r="U654" s="43">
        <v>4</v>
      </c>
      <c r="V654" s="41" t="s">
        <v>33</v>
      </c>
      <c r="W654" s="41" t="s">
        <v>34</v>
      </c>
      <c r="X654" s="41">
        <v>1</v>
      </c>
      <c r="Y654" s="41">
        <v>3</v>
      </c>
      <c r="Z654" s="41">
        <v>322</v>
      </c>
      <c r="AA654" s="44">
        <v>34</v>
      </c>
      <c r="AB654" s="44">
        <v>34</v>
      </c>
      <c r="AC654" s="43">
        <v>45</v>
      </c>
      <c r="AD654" s="43">
        <v>30</v>
      </c>
      <c r="AE654" s="43">
        <v>45</v>
      </c>
    </row>
    <row r="655" spans="1:337" x14ac:dyDescent="0.35">
      <c r="A655" s="32" t="s">
        <v>31</v>
      </c>
      <c r="B655" s="32" t="s">
        <v>35</v>
      </c>
      <c r="C655" s="33">
        <v>46323</v>
      </c>
      <c r="D655" s="34">
        <v>13</v>
      </c>
      <c r="E655" s="34">
        <v>24</v>
      </c>
      <c r="F655" s="34">
        <v>25</v>
      </c>
      <c r="G655" s="141"/>
      <c r="H655" s="141"/>
      <c r="I655" s="141"/>
      <c r="J655" s="141"/>
      <c r="K655" s="141"/>
      <c r="L655" s="34">
        <v>2</v>
      </c>
      <c r="M655" s="34">
        <v>5</v>
      </c>
      <c r="N655" s="34">
        <v>4</v>
      </c>
      <c r="O655" s="34">
        <v>4</v>
      </c>
      <c r="P655" s="32">
        <v>7</v>
      </c>
      <c r="Q655" s="32">
        <v>7</v>
      </c>
      <c r="R655" s="32">
        <v>8</v>
      </c>
      <c r="S655" s="32">
        <v>6</v>
      </c>
      <c r="T655" s="143"/>
      <c r="U655" s="143"/>
      <c r="V655" s="32" t="s">
        <v>36</v>
      </c>
      <c r="W655" s="32" t="s">
        <v>37</v>
      </c>
      <c r="X655" s="32">
        <v>1</v>
      </c>
      <c r="Y655" s="143"/>
      <c r="Z655" s="143"/>
      <c r="AA655" s="145"/>
      <c r="AB655" s="145"/>
      <c r="AC655" s="141"/>
      <c r="AD655" s="141"/>
      <c r="AE655" s="141"/>
    </row>
    <row r="656" spans="1:337" ht="15" thickBot="1" x14ac:dyDescent="0.4">
      <c r="A656" s="45" t="s">
        <v>31</v>
      </c>
      <c r="B656" s="45" t="s">
        <v>38</v>
      </c>
      <c r="C656" s="46">
        <v>46323</v>
      </c>
      <c r="D656" s="47"/>
      <c r="E656" s="47"/>
      <c r="F656" s="47"/>
      <c r="G656" s="142"/>
      <c r="H656" s="142"/>
      <c r="I656" s="142"/>
      <c r="J656" s="142"/>
      <c r="K656" s="142"/>
      <c r="L656" s="47">
        <v>2</v>
      </c>
      <c r="M656" s="47"/>
      <c r="N656" s="47"/>
      <c r="O656" s="47"/>
      <c r="P656" s="47"/>
      <c r="Q656" s="47"/>
      <c r="R656" s="47"/>
      <c r="S656" s="47"/>
      <c r="T656" s="144"/>
      <c r="U656" s="144"/>
      <c r="V656" s="45"/>
      <c r="W656" s="45"/>
      <c r="X656" s="47"/>
      <c r="Y656" s="144"/>
      <c r="Z656" s="144"/>
      <c r="AA656" s="146"/>
      <c r="AB656" s="146"/>
      <c r="AC656" s="142"/>
      <c r="AD656" s="142"/>
      <c r="AE656" s="142"/>
    </row>
    <row r="657" spans="1:337" s="53" customFormat="1" ht="15" thickBot="1" x14ac:dyDescent="0.4">
      <c r="A657" s="49"/>
      <c r="B657" s="49"/>
      <c r="C657" s="50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49"/>
      <c r="U657" s="49"/>
      <c r="V657" s="49"/>
      <c r="W657" s="49"/>
      <c r="X657" s="51"/>
      <c r="Y657" s="49"/>
      <c r="Z657" s="49"/>
      <c r="AA657" s="52"/>
      <c r="AB657" s="52"/>
      <c r="AC657" s="51"/>
      <c r="AD657" s="51"/>
      <c r="AE657" s="51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  <c r="EW657"/>
      <c r="EX657"/>
      <c r="EY657"/>
      <c r="EZ657"/>
      <c r="FA657"/>
      <c r="FB657"/>
      <c r="FC657"/>
      <c r="FD657"/>
      <c r="FE657"/>
      <c r="FF657"/>
      <c r="FG657"/>
      <c r="FH657"/>
      <c r="FI657"/>
      <c r="FJ657"/>
      <c r="FK657"/>
      <c r="FL657"/>
      <c r="FM657"/>
      <c r="FN657"/>
      <c r="FO657"/>
      <c r="FP657"/>
      <c r="FQ657"/>
      <c r="FR657"/>
      <c r="FS657"/>
      <c r="FT657"/>
      <c r="FU657"/>
      <c r="FV657"/>
      <c r="FW657"/>
      <c r="FX657"/>
      <c r="FY657"/>
      <c r="FZ657"/>
      <c r="GA657"/>
      <c r="GB657"/>
      <c r="GC657"/>
      <c r="GD657"/>
      <c r="GE657"/>
      <c r="GF657"/>
      <c r="GG657"/>
      <c r="GH657"/>
      <c r="GI657"/>
      <c r="GJ657"/>
      <c r="GK657"/>
      <c r="GL657"/>
      <c r="GM657"/>
      <c r="GN657"/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  <c r="HK657"/>
      <c r="HL657"/>
      <c r="HM657"/>
      <c r="HN657"/>
      <c r="HO657"/>
      <c r="HP657"/>
      <c r="HQ657"/>
      <c r="HR657"/>
      <c r="HS657"/>
      <c r="HT657"/>
      <c r="HU657"/>
      <c r="HV657"/>
      <c r="HW657"/>
      <c r="HX657"/>
      <c r="HY657"/>
      <c r="HZ657"/>
      <c r="IA657"/>
      <c r="IB657"/>
      <c r="IC657"/>
      <c r="ID657"/>
      <c r="IE657"/>
      <c r="IF657"/>
      <c r="IG657"/>
      <c r="IH657"/>
      <c r="II657"/>
      <c r="IJ657"/>
      <c r="IK657"/>
      <c r="IL657"/>
      <c r="IM657"/>
      <c r="IN657"/>
      <c r="IO657"/>
      <c r="IP657"/>
      <c r="IQ657"/>
      <c r="IR657"/>
      <c r="IS657"/>
      <c r="IT657"/>
      <c r="IU657"/>
      <c r="IV657"/>
      <c r="IW657"/>
      <c r="IX657"/>
      <c r="IY657"/>
      <c r="IZ657"/>
      <c r="JA657"/>
      <c r="JB657"/>
      <c r="JC657"/>
      <c r="JD657"/>
      <c r="JE657"/>
      <c r="JF657"/>
      <c r="JG657"/>
      <c r="JH657"/>
      <c r="JI657"/>
      <c r="JJ657"/>
      <c r="JK657"/>
      <c r="JL657"/>
      <c r="JM657"/>
      <c r="JN657"/>
      <c r="JO657"/>
      <c r="JP657"/>
      <c r="JQ657"/>
      <c r="JR657"/>
      <c r="JS657"/>
      <c r="JT657"/>
      <c r="JU657"/>
      <c r="JV657"/>
      <c r="JW657"/>
      <c r="JX657"/>
      <c r="JY657"/>
      <c r="JZ657"/>
      <c r="KA657"/>
      <c r="KB657"/>
      <c r="KC657"/>
      <c r="KD657"/>
      <c r="KE657"/>
      <c r="KF657"/>
      <c r="KG657"/>
      <c r="KH657"/>
      <c r="KI657"/>
      <c r="KJ657"/>
      <c r="KK657"/>
      <c r="KL657"/>
      <c r="KM657"/>
      <c r="KN657"/>
      <c r="KO657"/>
      <c r="KP657"/>
      <c r="KQ657"/>
      <c r="KR657"/>
      <c r="KS657"/>
      <c r="KT657"/>
      <c r="KU657"/>
      <c r="KV657"/>
      <c r="KW657"/>
      <c r="KX657"/>
      <c r="KY657"/>
      <c r="KZ657"/>
      <c r="LA657"/>
      <c r="LB657"/>
      <c r="LC657"/>
      <c r="LD657"/>
      <c r="LE657"/>
      <c r="LF657"/>
      <c r="LG657"/>
      <c r="LH657"/>
      <c r="LI657"/>
      <c r="LJ657"/>
      <c r="LK657"/>
      <c r="LL657"/>
      <c r="LM657"/>
      <c r="LN657"/>
      <c r="LO657"/>
      <c r="LP657"/>
      <c r="LQ657"/>
      <c r="LR657"/>
      <c r="LS657"/>
      <c r="LT657"/>
      <c r="LU657"/>
      <c r="LV657"/>
      <c r="LW657"/>
      <c r="LX657"/>
      <c r="LY657"/>
    </row>
    <row r="658" spans="1:337" x14ac:dyDescent="0.35">
      <c r="A658" s="41" t="s">
        <v>31</v>
      </c>
      <c r="B658" s="41" t="s">
        <v>32</v>
      </c>
      <c r="C658" s="42">
        <v>46324</v>
      </c>
      <c r="D658" s="43">
        <v>0</v>
      </c>
      <c r="E658" s="43">
        <v>20</v>
      </c>
      <c r="F658" s="43">
        <v>20</v>
      </c>
      <c r="G658" s="43">
        <v>28</v>
      </c>
      <c r="H658" s="43">
        <v>40</v>
      </c>
      <c r="I658" s="43">
        <v>10</v>
      </c>
      <c r="J658" s="43">
        <v>21449</v>
      </c>
      <c r="K658" s="43">
        <f>SUM(L658:L660)</f>
        <v>6</v>
      </c>
      <c r="L658" s="43">
        <v>2</v>
      </c>
      <c r="M658" s="43"/>
      <c r="N658" s="43">
        <v>4</v>
      </c>
      <c r="O658" s="43">
        <v>3</v>
      </c>
      <c r="P658" s="43">
        <v>7</v>
      </c>
      <c r="Q658" s="43">
        <v>6</v>
      </c>
      <c r="R658" s="43">
        <v>9</v>
      </c>
      <c r="S658" s="43">
        <v>9</v>
      </c>
      <c r="T658" s="43">
        <v>20</v>
      </c>
      <c r="U658" s="43">
        <v>3</v>
      </c>
      <c r="V658" s="41" t="s">
        <v>33</v>
      </c>
      <c r="W658" s="41" t="s">
        <v>34</v>
      </c>
      <c r="X658" s="41">
        <v>1</v>
      </c>
      <c r="Y658" s="41">
        <v>3</v>
      </c>
      <c r="Z658" s="41">
        <v>322</v>
      </c>
      <c r="AA658" s="44">
        <v>34</v>
      </c>
      <c r="AB658" s="44">
        <v>34</v>
      </c>
      <c r="AC658" s="43">
        <v>45</v>
      </c>
      <c r="AD658" s="43">
        <v>30</v>
      </c>
      <c r="AE658" s="43">
        <v>45</v>
      </c>
    </row>
    <row r="659" spans="1:337" x14ac:dyDescent="0.35">
      <c r="A659" s="32" t="s">
        <v>31</v>
      </c>
      <c r="B659" s="32" t="s">
        <v>35</v>
      </c>
      <c r="C659" s="33">
        <v>46324</v>
      </c>
      <c r="D659" s="34">
        <v>13</v>
      </c>
      <c r="E659" s="34">
        <v>24</v>
      </c>
      <c r="F659" s="34">
        <v>25</v>
      </c>
      <c r="G659" s="141"/>
      <c r="H659" s="141"/>
      <c r="I659" s="141"/>
      <c r="J659" s="141"/>
      <c r="K659" s="141"/>
      <c r="L659" s="34">
        <v>2</v>
      </c>
      <c r="M659" s="34">
        <v>5</v>
      </c>
      <c r="N659" s="34">
        <v>4</v>
      </c>
      <c r="O659" s="34">
        <v>4</v>
      </c>
      <c r="P659" s="32">
        <v>7</v>
      </c>
      <c r="Q659" s="32">
        <v>7</v>
      </c>
      <c r="R659" s="32">
        <v>8</v>
      </c>
      <c r="S659" s="32">
        <v>6</v>
      </c>
      <c r="T659" s="143"/>
      <c r="U659" s="143"/>
      <c r="V659" s="32" t="s">
        <v>36</v>
      </c>
      <c r="W659" s="32" t="s">
        <v>37</v>
      </c>
      <c r="X659" s="32">
        <v>1</v>
      </c>
      <c r="Y659" s="143"/>
      <c r="Z659" s="143"/>
      <c r="AA659" s="145"/>
      <c r="AB659" s="145"/>
      <c r="AC659" s="141"/>
      <c r="AD659" s="141"/>
      <c r="AE659" s="141"/>
    </row>
    <row r="660" spans="1:337" ht="15" thickBot="1" x14ac:dyDescent="0.4">
      <c r="A660" s="45" t="s">
        <v>31</v>
      </c>
      <c r="B660" s="45" t="s">
        <v>38</v>
      </c>
      <c r="C660" s="46">
        <v>46324</v>
      </c>
      <c r="D660" s="47"/>
      <c r="E660" s="47"/>
      <c r="F660" s="47"/>
      <c r="G660" s="142"/>
      <c r="H660" s="142"/>
      <c r="I660" s="142"/>
      <c r="J660" s="142"/>
      <c r="K660" s="142"/>
      <c r="L660" s="47">
        <v>2</v>
      </c>
      <c r="M660" s="47"/>
      <c r="N660" s="47"/>
      <c r="O660" s="47"/>
      <c r="P660" s="47"/>
      <c r="Q660" s="47"/>
      <c r="R660" s="47"/>
      <c r="S660" s="47"/>
      <c r="T660" s="144"/>
      <c r="U660" s="144"/>
      <c r="V660" s="45"/>
      <c r="W660" s="45"/>
      <c r="X660" s="47"/>
      <c r="Y660" s="144"/>
      <c r="Z660" s="144"/>
      <c r="AA660" s="146"/>
      <c r="AB660" s="146"/>
      <c r="AC660" s="142"/>
      <c r="AD660" s="142"/>
      <c r="AE660" s="142"/>
    </row>
    <row r="661" spans="1:337" s="53" customFormat="1" ht="15" thickBot="1" x14ac:dyDescent="0.4">
      <c r="A661" s="49"/>
      <c r="B661" s="49"/>
      <c r="C661" s="50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49"/>
      <c r="U661" s="49"/>
      <c r="V661" s="49"/>
      <c r="W661" s="49"/>
      <c r="X661" s="51"/>
      <c r="Y661" s="49"/>
      <c r="Z661" s="49"/>
      <c r="AA661" s="52"/>
      <c r="AB661" s="52"/>
      <c r="AC661" s="51"/>
      <c r="AD661" s="51"/>
      <c r="AE661" s="5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/>
      <c r="FC661"/>
      <c r="FD661"/>
      <c r="FE661"/>
      <c r="FF661"/>
      <c r="FG661"/>
      <c r="FH661"/>
      <c r="FI661"/>
      <c r="FJ661"/>
      <c r="FK661"/>
      <c r="FL661"/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/>
      <c r="GA661"/>
      <c r="GB661"/>
      <c r="GC661"/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  <c r="IW661"/>
      <c r="IX661"/>
      <c r="IY661"/>
      <c r="IZ661"/>
      <c r="JA661"/>
      <c r="JB661"/>
      <c r="JC661"/>
      <c r="JD661"/>
      <c r="JE661"/>
      <c r="JF661"/>
      <c r="JG661"/>
      <c r="JH661"/>
      <c r="JI661"/>
      <c r="JJ661"/>
      <c r="JK661"/>
      <c r="JL661"/>
      <c r="JM661"/>
      <c r="JN661"/>
      <c r="JO661"/>
      <c r="JP661"/>
      <c r="JQ661"/>
      <c r="JR661"/>
      <c r="JS661"/>
      <c r="JT661"/>
      <c r="JU661"/>
      <c r="JV661"/>
      <c r="JW661"/>
      <c r="JX661"/>
      <c r="JY661"/>
      <c r="JZ661"/>
      <c r="KA661"/>
      <c r="KB661"/>
      <c r="KC661"/>
      <c r="KD661"/>
      <c r="KE661"/>
      <c r="KF661"/>
      <c r="KG661"/>
      <c r="KH661"/>
      <c r="KI661"/>
      <c r="KJ661"/>
      <c r="KK661"/>
      <c r="KL661"/>
      <c r="KM661"/>
      <c r="KN661"/>
      <c r="KO661"/>
      <c r="KP661"/>
      <c r="KQ661"/>
      <c r="KR661"/>
      <c r="KS661"/>
      <c r="KT661"/>
      <c r="KU661"/>
      <c r="KV661"/>
      <c r="KW661"/>
      <c r="KX661"/>
      <c r="KY661"/>
      <c r="KZ661"/>
      <c r="LA661"/>
      <c r="LB661"/>
      <c r="LC661"/>
      <c r="LD661"/>
      <c r="LE661"/>
      <c r="LF661"/>
      <c r="LG661"/>
      <c r="LH661"/>
      <c r="LI661"/>
      <c r="LJ661"/>
      <c r="LK661"/>
      <c r="LL661"/>
      <c r="LM661"/>
      <c r="LN661"/>
      <c r="LO661"/>
      <c r="LP661"/>
      <c r="LQ661"/>
      <c r="LR661"/>
      <c r="LS661"/>
      <c r="LT661"/>
      <c r="LU661"/>
      <c r="LV661"/>
      <c r="LW661"/>
      <c r="LX661"/>
      <c r="LY661"/>
    </row>
    <row r="662" spans="1:337" x14ac:dyDescent="0.35">
      <c r="A662" s="41" t="s">
        <v>31</v>
      </c>
      <c r="B662" s="41" t="s">
        <v>32</v>
      </c>
      <c r="C662" s="42">
        <v>46325</v>
      </c>
      <c r="D662" s="43">
        <v>0</v>
      </c>
      <c r="E662" s="43">
        <v>20</v>
      </c>
      <c r="F662" s="43">
        <v>20</v>
      </c>
      <c r="G662" s="43">
        <v>28</v>
      </c>
      <c r="H662" s="43">
        <v>40</v>
      </c>
      <c r="I662" s="43">
        <v>10</v>
      </c>
      <c r="J662" s="43">
        <v>21449</v>
      </c>
      <c r="K662" s="43">
        <f>SUM(L662:L664)</f>
        <v>6</v>
      </c>
      <c r="L662" s="43">
        <v>2</v>
      </c>
      <c r="M662" s="43"/>
      <c r="N662" s="43">
        <v>4</v>
      </c>
      <c r="O662" s="43">
        <v>3</v>
      </c>
      <c r="P662" s="43">
        <v>7</v>
      </c>
      <c r="Q662" s="43">
        <v>6</v>
      </c>
      <c r="R662" s="43">
        <v>9</v>
      </c>
      <c r="S662" s="43">
        <v>9</v>
      </c>
      <c r="T662" s="43">
        <v>25</v>
      </c>
      <c r="U662" s="43">
        <v>4</v>
      </c>
      <c r="V662" s="41" t="s">
        <v>33</v>
      </c>
      <c r="W662" s="41" t="s">
        <v>34</v>
      </c>
      <c r="X662" s="41">
        <v>1</v>
      </c>
      <c r="Y662" s="41">
        <v>3</v>
      </c>
      <c r="Z662" s="41">
        <v>322</v>
      </c>
      <c r="AA662" s="44">
        <v>34</v>
      </c>
      <c r="AB662" s="44">
        <v>34</v>
      </c>
      <c r="AC662" s="43">
        <v>45</v>
      </c>
      <c r="AD662" s="43">
        <v>30</v>
      </c>
      <c r="AE662" s="43">
        <v>45</v>
      </c>
    </row>
    <row r="663" spans="1:337" x14ac:dyDescent="0.35">
      <c r="A663" s="32" t="s">
        <v>31</v>
      </c>
      <c r="B663" s="32" t="s">
        <v>35</v>
      </c>
      <c r="C663" s="33">
        <v>46325</v>
      </c>
      <c r="D663" s="34">
        <v>13</v>
      </c>
      <c r="E663" s="34">
        <v>24</v>
      </c>
      <c r="F663" s="34">
        <v>25</v>
      </c>
      <c r="G663" s="141"/>
      <c r="H663" s="141"/>
      <c r="I663" s="141"/>
      <c r="J663" s="141"/>
      <c r="K663" s="141"/>
      <c r="L663" s="34">
        <v>2</v>
      </c>
      <c r="M663" s="34">
        <v>5</v>
      </c>
      <c r="N663" s="34">
        <v>4</v>
      </c>
      <c r="O663" s="34">
        <v>4</v>
      </c>
      <c r="P663" s="32">
        <v>7</v>
      </c>
      <c r="Q663" s="32">
        <v>7</v>
      </c>
      <c r="R663" s="32">
        <v>8</v>
      </c>
      <c r="S663" s="32">
        <v>6</v>
      </c>
      <c r="T663" s="143"/>
      <c r="U663" s="143"/>
      <c r="V663" s="32" t="s">
        <v>36</v>
      </c>
      <c r="W663" s="32" t="s">
        <v>37</v>
      </c>
      <c r="X663" s="32">
        <v>1</v>
      </c>
      <c r="Y663" s="143"/>
      <c r="Z663" s="143"/>
      <c r="AA663" s="145"/>
      <c r="AB663" s="145"/>
      <c r="AC663" s="141"/>
      <c r="AD663" s="141"/>
      <c r="AE663" s="141"/>
    </row>
    <row r="664" spans="1:337" ht="15" thickBot="1" x14ac:dyDescent="0.4">
      <c r="A664" s="45" t="s">
        <v>31</v>
      </c>
      <c r="B664" s="45" t="s">
        <v>38</v>
      </c>
      <c r="C664" s="46">
        <v>46325</v>
      </c>
      <c r="D664" s="47"/>
      <c r="E664" s="47"/>
      <c r="F664" s="47"/>
      <c r="G664" s="142"/>
      <c r="H664" s="142"/>
      <c r="I664" s="142"/>
      <c r="J664" s="142"/>
      <c r="K664" s="142"/>
      <c r="L664" s="47">
        <v>2</v>
      </c>
      <c r="M664" s="47"/>
      <c r="N664" s="47"/>
      <c r="O664" s="47"/>
      <c r="P664" s="47"/>
      <c r="Q664" s="47"/>
      <c r="R664" s="47"/>
      <c r="S664" s="47"/>
      <c r="T664" s="144"/>
      <c r="U664" s="144"/>
      <c r="V664" s="45"/>
      <c r="W664" s="45"/>
      <c r="X664" s="47"/>
      <c r="Y664" s="144"/>
      <c r="Z664" s="144"/>
      <c r="AA664" s="146"/>
      <c r="AB664" s="146"/>
      <c r="AC664" s="142"/>
      <c r="AD664" s="142"/>
      <c r="AE664" s="142"/>
    </row>
    <row r="665" spans="1:337" s="53" customFormat="1" ht="15" thickBot="1" x14ac:dyDescent="0.4">
      <c r="A665" s="49"/>
      <c r="B665" s="49"/>
      <c r="C665" s="50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49"/>
      <c r="U665" s="49"/>
      <c r="V665" s="49"/>
      <c r="W665" s="49"/>
      <c r="X665" s="51"/>
      <c r="Y665" s="49"/>
      <c r="Z665" s="49"/>
      <c r="AA665" s="52"/>
      <c r="AB665" s="52"/>
      <c r="AC665" s="51"/>
      <c r="AD665" s="51"/>
      <c r="AE665" s="51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  <c r="EW665"/>
      <c r="EX665"/>
      <c r="EY665"/>
      <c r="EZ665"/>
      <c r="FA665"/>
      <c r="FB665"/>
      <c r="FC665"/>
      <c r="FD665"/>
      <c r="FE665"/>
      <c r="FF665"/>
      <c r="FG665"/>
      <c r="FH665"/>
      <c r="FI665"/>
      <c r="FJ665"/>
      <c r="FK665"/>
      <c r="FL665"/>
      <c r="FM665"/>
      <c r="FN665"/>
      <c r="FO665"/>
      <c r="FP665"/>
      <c r="FQ665"/>
      <c r="FR665"/>
      <c r="FS665"/>
      <c r="FT665"/>
      <c r="FU665"/>
      <c r="FV665"/>
      <c r="FW665"/>
      <c r="FX665"/>
      <c r="FY665"/>
      <c r="FZ665"/>
      <c r="GA665"/>
      <c r="GB665"/>
      <c r="GC665"/>
      <c r="GD665"/>
      <c r="GE665"/>
      <c r="GF665"/>
      <c r="GG665"/>
      <c r="GH665"/>
      <c r="GI665"/>
      <c r="GJ665"/>
      <c r="GK665"/>
      <c r="GL665"/>
      <c r="GM665"/>
      <c r="GN665"/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  <c r="HK665"/>
      <c r="HL665"/>
      <c r="HM665"/>
      <c r="HN665"/>
      <c r="HO665"/>
      <c r="HP665"/>
      <c r="HQ665"/>
      <c r="HR665"/>
      <c r="HS665"/>
      <c r="HT665"/>
      <c r="HU665"/>
      <c r="HV665"/>
      <c r="HW665"/>
      <c r="HX665"/>
      <c r="HY665"/>
      <c r="HZ665"/>
      <c r="IA665"/>
      <c r="IB665"/>
      <c r="IC665"/>
      <c r="ID665"/>
      <c r="IE665"/>
      <c r="IF665"/>
      <c r="IG665"/>
      <c r="IH665"/>
      <c r="II665"/>
      <c r="IJ665"/>
      <c r="IK665"/>
      <c r="IL665"/>
      <c r="IM665"/>
      <c r="IN665"/>
      <c r="IO665"/>
      <c r="IP665"/>
      <c r="IQ665"/>
      <c r="IR665"/>
      <c r="IS665"/>
      <c r="IT665"/>
      <c r="IU665"/>
      <c r="IV665"/>
      <c r="IW665"/>
      <c r="IX665"/>
      <c r="IY665"/>
      <c r="IZ665"/>
      <c r="JA665"/>
      <c r="JB665"/>
      <c r="JC665"/>
      <c r="JD665"/>
      <c r="JE665"/>
      <c r="JF665"/>
      <c r="JG665"/>
      <c r="JH665"/>
      <c r="JI665"/>
      <c r="JJ665"/>
      <c r="JK665"/>
      <c r="JL665"/>
      <c r="JM665"/>
      <c r="JN665"/>
      <c r="JO665"/>
      <c r="JP665"/>
      <c r="JQ665"/>
      <c r="JR665"/>
      <c r="JS665"/>
      <c r="JT665"/>
      <c r="JU665"/>
      <c r="JV665"/>
      <c r="JW665"/>
      <c r="JX665"/>
      <c r="JY665"/>
      <c r="JZ665"/>
      <c r="KA665"/>
      <c r="KB665"/>
      <c r="KC665"/>
      <c r="KD665"/>
      <c r="KE665"/>
      <c r="KF665"/>
      <c r="KG665"/>
      <c r="KH665"/>
      <c r="KI665"/>
      <c r="KJ665"/>
      <c r="KK665"/>
      <c r="KL665"/>
      <c r="KM665"/>
      <c r="KN665"/>
      <c r="KO665"/>
      <c r="KP665"/>
      <c r="KQ665"/>
      <c r="KR665"/>
      <c r="KS665"/>
      <c r="KT665"/>
      <c r="KU665"/>
      <c r="KV665"/>
      <c r="KW665"/>
      <c r="KX665"/>
      <c r="KY665"/>
      <c r="KZ665"/>
      <c r="LA665"/>
      <c r="LB665"/>
      <c r="LC665"/>
      <c r="LD665"/>
      <c r="LE665"/>
      <c r="LF665"/>
      <c r="LG665"/>
      <c r="LH665"/>
      <c r="LI665"/>
      <c r="LJ665"/>
      <c r="LK665"/>
      <c r="LL665"/>
      <c r="LM665"/>
      <c r="LN665"/>
      <c r="LO665"/>
      <c r="LP665"/>
      <c r="LQ665"/>
      <c r="LR665"/>
      <c r="LS665"/>
      <c r="LT665"/>
      <c r="LU665"/>
      <c r="LV665"/>
      <c r="LW665"/>
      <c r="LX665"/>
      <c r="LY665"/>
    </row>
    <row r="666" spans="1:337" x14ac:dyDescent="0.35">
      <c r="A666" s="41" t="s">
        <v>31</v>
      </c>
      <c r="B666" s="41" t="s">
        <v>32</v>
      </c>
      <c r="C666" s="42">
        <v>46328</v>
      </c>
      <c r="D666" s="43">
        <v>0</v>
      </c>
      <c r="E666" s="43">
        <v>20</v>
      </c>
      <c r="F666" s="43">
        <v>20</v>
      </c>
      <c r="G666" s="43">
        <v>28</v>
      </c>
      <c r="H666" s="43">
        <v>40</v>
      </c>
      <c r="I666" s="43">
        <v>10</v>
      </c>
      <c r="J666" s="43">
        <v>21449</v>
      </c>
      <c r="K666" s="43">
        <f>SUM(L666:L668)</f>
        <v>6</v>
      </c>
      <c r="L666" s="43">
        <v>2</v>
      </c>
      <c r="M666" s="43"/>
      <c r="N666" s="43">
        <v>4</v>
      </c>
      <c r="O666" s="43">
        <v>3</v>
      </c>
      <c r="P666" s="43">
        <v>7</v>
      </c>
      <c r="Q666" s="43">
        <v>6</v>
      </c>
      <c r="R666" s="43">
        <v>9</v>
      </c>
      <c r="S666" s="43">
        <v>9</v>
      </c>
      <c r="T666" s="43">
        <v>25</v>
      </c>
      <c r="U666" s="43">
        <v>4</v>
      </c>
      <c r="V666" s="41" t="s">
        <v>33</v>
      </c>
      <c r="W666" s="41" t="s">
        <v>34</v>
      </c>
      <c r="X666" s="41">
        <v>1</v>
      </c>
      <c r="Y666" s="41">
        <v>3</v>
      </c>
      <c r="Z666" s="41">
        <v>322</v>
      </c>
      <c r="AA666" s="44">
        <v>34</v>
      </c>
      <c r="AB666" s="44">
        <v>34</v>
      </c>
      <c r="AC666" s="43">
        <v>45</v>
      </c>
      <c r="AD666" s="43">
        <v>30</v>
      </c>
      <c r="AE666" s="43">
        <v>45</v>
      </c>
    </row>
    <row r="667" spans="1:337" x14ac:dyDescent="0.35">
      <c r="A667" s="32" t="s">
        <v>31</v>
      </c>
      <c r="B667" s="32" t="s">
        <v>35</v>
      </c>
      <c r="C667" s="33">
        <v>46328</v>
      </c>
      <c r="D667" s="34">
        <v>13</v>
      </c>
      <c r="E667" s="34">
        <v>24</v>
      </c>
      <c r="F667" s="34">
        <v>25</v>
      </c>
      <c r="G667" s="141"/>
      <c r="H667" s="141"/>
      <c r="I667" s="141"/>
      <c r="J667" s="141"/>
      <c r="K667" s="141"/>
      <c r="L667" s="34">
        <v>2</v>
      </c>
      <c r="M667" s="34">
        <v>5</v>
      </c>
      <c r="N667" s="34">
        <v>4</v>
      </c>
      <c r="O667" s="34">
        <v>4</v>
      </c>
      <c r="P667" s="32">
        <v>7</v>
      </c>
      <c r="Q667" s="32">
        <v>7</v>
      </c>
      <c r="R667" s="32">
        <v>8</v>
      </c>
      <c r="S667" s="32">
        <v>6</v>
      </c>
      <c r="T667" s="143"/>
      <c r="U667" s="143"/>
      <c r="V667" s="32" t="s">
        <v>36</v>
      </c>
      <c r="W667" s="32" t="s">
        <v>37</v>
      </c>
      <c r="X667" s="32">
        <v>1</v>
      </c>
      <c r="Y667" s="143"/>
      <c r="Z667" s="143"/>
      <c r="AA667" s="145"/>
      <c r="AB667" s="145"/>
      <c r="AC667" s="141"/>
      <c r="AD667" s="141"/>
      <c r="AE667" s="141"/>
    </row>
    <row r="668" spans="1:337" ht="15" thickBot="1" x14ac:dyDescent="0.4">
      <c r="A668" s="45" t="s">
        <v>31</v>
      </c>
      <c r="B668" s="45" t="s">
        <v>38</v>
      </c>
      <c r="C668" s="46">
        <v>46328</v>
      </c>
      <c r="D668" s="47"/>
      <c r="E668" s="47"/>
      <c r="F668" s="47"/>
      <c r="G668" s="142"/>
      <c r="H668" s="142"/>
      <c r="I668" s="142"/>
      <c r="J668" s="142"/>
      <c r="K668" s="142"/>
      <c r="L668" s="47">
        <v>2</v>
      </c>
      <c r="M668" s="47"/>
      <c r="N668" s="47"/>
      <c r="O668" s="47"/>
      <c r="P668" s="47"/>
      <c r="Q668" s="47"/>
      <c r="R668" s="47"/>
      <c r="S668" s="47"/>
      <c r="T668" s="144"/>
      <c r="U668" s="144"/>
      <c r="V668" s="45"/>
      <c r="W668" s="45"/>
      <c r="X668" s="47"/>
      <c r="Y668" s="144"/>
      <c r="Z668" s="144"/>
      <c r="AA668" s="146"/>
      <c r="AB668" s="146"/>
      <c r="AC668" s="142"/>
      <c r="AD668" s="142"/>
      <c r="AE668" s="142"/>
    </row>
    <row r="669" spans="1:337" s="53" customFormat="1" ht="15" thickBot="1" x14ac:dyDescent="0.4">
      <c r="A669" s="49"/>
      <c r="B669" s="49"/>
      <c r="C669" s="50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49"/>
      <c r="U669" s="49"/>
      <c r="V669" s="49"/>
      <c r="W669" s="49"/>
      <c r="X669" s="51"/>
      <c r="Y669" s="49"/>
      <c r="Z669" s="49"/>
      <c r="AA669" s="52"/>
      <c r="AB669" s="52"/>
      <c r="AC669" s="51"/>
      <c r="AD669" s="51"/>
      <c r="AE669" s="51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/>
      <c r="FB669"/>
      <c r="FC669"/>
      <c r="FD669"/>
      <c r="FE669"/>
      <c r="FF669"/>
      <c r="FG669"/>
      <c r="FH669"/>
      <c r="FI669"/>
      <c r="FJ669"/>
      <c r="FK669"/>
      <c r="FL669"/>
      <c r="FM669"/>
      <c r="FN669"/>
      <c r="FO669"/>
      <c r="FP669"/>
      <c r="FQ669"/>
      <c r="FR669"/>
      <c r="FS669"/>
      <c r="FT669"/>
      <c r="FU669"/>
      <c r="FV669"/>
      <c r="FW669"/>
      <c r="FX669"/>
      <c r="FY669"/>
      <c r="FZ669"/>
      <c r="GA669"/>
      <c r="GB669"/>
      <c r="GC669"/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/>
      <c r="HL669"/>
      <c r="HM669"/>
      <c r="HN669"/>
      <c r="HO669"/>
      <c r="HP669"/>
      <c r="HQ669"/>
      <c r="HR669"/>
      <c r="HS669"/>
      <c r="HT669"/>
      <c r="HU669"/>
      <c r="HV669"/>
      <c r="HW669"/>
      <c r="HX669"/>
      <c r="HY669"/>
      <c r="HZ669"/>
      <c r="IA669"/>
      <c r="IB669"/>
      <c r="IC669"/>
      <c r="ID669"/>
      <c r="IE669"/>
      <c r="IF669"/>
      <c r="IG669"/>
      <c r="IH669"/>
      <c r="II669"/>
      <c r="IJ669"/>
      <c r="IK669"/>
      <c r="IL669"/>
      <c r="IM669"/>
      <c r="IN669"/>
      <c r="IO669"/>
      <c r="IP669"/>
      <c r="IQ669"/>
      <c r="IR669"/>
      <c r="IS669"/>
      <c r="IT669"/>
      <c r="IU669"/>
      <c r="IV669"/>
      <c r="IW669"/>
      <c r="IX669"/>
      <c r="IY669"/>
      <c r="IZ669"/>
      <c r="JA669"/>
      <c r="JB669"/>
      <c r="JC669"/>
      <c r="JD669"/>
      <c r="JE669"/>
      <c r="JF669"/>
      <c r="JG669"/>
      <c r="JH669"/>
      <c r="JI669"/>
      <c r="JJ669"/>
      <c r="JK669"/>
      <c r="JL669"/>
      <c r="JM669"/>
      <c r="JN669"/>
      <c r="JO669"/>
      <c r="JP669"/>
      <c r="JQ669"/>
      <c r="JR669"/>
      <c r="JS669"/>
      <c r="JT669"/>
      <c r="JU669"/>
      <c r="JV669"/>
      <c r="JW669"/>
      <c r="JX669"/>
      <c r="JY669"/>
      <c r="JZ669"/>
      <c r="KA669"/>
      <c r="KB669"/>
      <c r="KC669"/>
      <c r="KD669"/>
      <c r="KE669"/>
      <c r="KF669"/>
      <c r="KG669"/>
      <c r="KH669"/>
      <c r="KI669"/>
      <c r="KJ669"/>
      <c r="KK669"/>
      <c r="KL669"/>
      <c r="KM669"/>
      <c r="KN669"/>
      <c r="KO669"/>
      <c r="KP669"/>
      <c r="KQ669"/>
      <c r="KR669"/>
      <c r="KS669"/>
      <c r="KT669"/>
      <c r="KU669"/>
      <c r="KV669"/>
      <c r="KW669"/>
      <c r="KX669"/>
      <c r="KY669"/>
      <c r="KZ669"/>
      <c r="LA669"/>
      <c r="LB669"/>
      <c r="LC669"/>
      <c r="LD669"/>
      <c r="LE669"/>
      <c r="LF669"/>
      <c r="LG669"/>
      <c r="LH669"/>
      <c r="LI669"/>
      <c r="LJ669"/>
      <c r="LK669"/>
      <c r="LL669"/>
      <c r="LM669"/>
      <c r="LN669"/>
      <c r="LO669"/>
      <c r="LP669"/>
      <c r="LQ669"/>
      <c r="LR669"/>
      <c r="LS669"/>
      <c r="LT669"/>
      <c r="LU669"/>
      <c r="LV669"/>
      <c r="LW669"/>
      <c r="LX669"/>
      <c r="LY669"/>
    </row>
    <row r="670" spans="1:337" x14ac:dyDescent="0.35">
      <c r="A670" s="41" t="s">
        <v>31</v>
      </c>
      <c r="B670" s="41" t="s">
        <v>32</v>
      </c>
      <c r="C670" s="42">
        <v>46329</v>
      </c>
      <c r="D670" s="43">
        <v>0</v>
      </c>
      <c r="E670" s="43">
        <v>20</v>
      </c>
      <c r="F670" s="43">
        <v>20</v>
      </c>
      <c r="G670" s="43">
        <v>28</v>
      </c>
      <c r="H670" s="43">
        <v>40</v>
      </c>
      <c r="I670" s="43">
        <v>10</v>
      </c>
      <c r="J670" s="43">
        <v>21449</v>
      </c>
      <c r="K670" s="43">
        <f>SUM(L670:L672)</f>
        <v>6</v>
      </c>
      <c r="L670" s="43">
        <v>2</v>
      </c>
      <c r="M670" s="43"/>
      <c r="N670" s="43">
        <v>4</v>
      </c>
      <c r="O670" s="43">
        <v>3</v>
      </c>
      <c r="P670" s="43">
        <v>7</v>
      </c>
      <c r="Q670" s="43">
        <v>6</v>
      </c>
      <c r="R670" s="43">
        <v>9</v>
      </c>
      <c r="S670" s="43">
        <v>9</v>
      </c>
      <c r="T670" s="43">
        <v>25</v>
      </c>
      <c r="U670" s="43">
        <v>4</v>
      </c>
      <c r="V670" s="41" t="s">
        <v>33</v>
      </c>
      <c r="W670" s="41" t="s">
        <v>34</v>
      </c>
      <c r="X670" s="41">
        <v>1</v>
      </c>
      <c r="Y670" s="41">
        <v>3</v>
      </c>
      <c r="Z670" s="41">
        <v>322</v>
      </c>
      <c r="AA670" s="44">
        <v>34</v>
      </c>
      <c r="AB670" s="44">
        <v>34</v>
      </c>
      <c r="AC670" s="43">
        <v>45</v>
      </c>
      <c r="AD670" s="43">
        <v>30</v>
      </c>
      <c r="AE670" s="43">
        <v>45</v>
      </c>
    </row>
    <row r="671" spans="1:337" x14ac:dyDescent="0.35">
      <c r="A671" s="32" t="s">
        <v>31</v>
      </c>
      <c r="B671" s="32" t="s">
        <v>35</v>
      </c>
      <c r="C671" s="33">
        <v>46329</v>
      </c>
      <c r="D671" s="34">
        <v>13</v>
      </c>
      <c r="E671" s="34">
        <v>24</v>
      </c>
      <c r="F671" s="34">
        <v>25</v>
      </c>
      <c r="G671" s="141"/>
      <c r="H671" s="141"/>
      <c r="I671" s="141"/>
      <c r="J671" s="141"/>
      <c r="K671" s="141"/>
      <c r="L671" s="34">
        <v>2</v>
      </c>
      <c r="M671" s="34">
        <v>5</v>
      </c>
      <c r="N671" s="34">
        <v>4</v>
      </c>
      <c r="O671" s="34">
        <v>4</v>
      </c>
      <c r="P671" s="32">
        <v>7</v>
      </c>
      <c r="Q671" s="32">
        <v>7</v>
      </c>
      <c r="R671" s="32">
        <v>8</v>
      </c>
      <c r="S671" s="32">
        <v>6</v>
      </c>
      <c r="T671" s="143"/>
      <c r="U671" s="143"/>
      <c r="V671" s="32" t="s">
        <v>36</v>
      </c>
      <c r="W671" s="32" t="s">
        <v>37</v>
      </c>
      <c r="X671" s="32">
        <v>1</v>
      </c>
      <c r="Y671" s="143"/>
      <c r="Z671" s="143"/>
      <c r="AA671" s="145"/>
      <c r="AB671" s="145"/>
      <c r="AC671" s="141"/>
      <c r="AD671" s="141"/>
      <c r="AE671" s="141"/>
    </row>
    <row r="672" spans="1:337" ht="15" thickBot="1" x14ac:dyDescent="0.4">
      <c r="A672" s="45" t="s">
        <v>31</v>
      </c>
      <c r="B672" s="45" t="s">
        <v>38</v>
      </c>
      <c r="C672" s="46">
        <v>46329</v>
      </c>
      <c r="D672" s="47"/>
      <c r="E672" s="47"/>
      <c r="F672" s="47"/>
      <c r="G672" s="142"/>
      <c r="H672" s="142"/>
      <c r="I672" s="142"/>
      <c r="J672" s="142"/>
      <c r="K672" s="142"/>
      <c r="L672" s="47">
        <v>2</v>
      </c>
      <c r="M672" s="47"/>
      <c r="N672" s="47"/>
      <c r="O672" s="47"/>
      <c r="P672" s="47"/>
      <c r="Q672" s="47"/>
      <c r="R672" s="47"/>
      <c r="S672" s="47"/>
      <c r="T672" s="144"/>
      <c r="U672" s="144"/>
      <c r="V672" s="45"/>
      <c r="W672" s="45"/>
      <c r="X672" s="47"/>
      <c r="Y672" s="144"/>
      <c r="Z672" s="144"/>
      <c r="AA672" s="146"/>
      <c r="AB672" s="146"/>
      <c r="AC672" s="142"/>
      <c r="AD672" s="142"/>
      <c r="AE672" s="142"/>
    </row>
    <row r="673" spans="1:337" s="53" customFormat="1" ht="15" thickBot="1" x14ac:dyDescent="0.4">
      <c r="A673" s="49"/>
      <c r="B673" s="49"/>
      <c r="C673" s="50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49"/>
      <c r="U673" s="49"/>
      <c r="V673" s="49"/>
      <c r="W673" s="49"/>
      <c r="X673" s="51"/>
      <c r="Y673" s="49"/>
      <c r="Z673" s="49"/>
      <c r="AA673" s="52"/>
      <c r="AB673" s="52"/>
      <c r="AC673" s="51"/>
      <c r="AD673" s="51"/>
      <c r="AE673" s="51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/>
      <c r="FC673"/>
      <c r="FD673"/>
      <c r="FE673"/>
      <c r="FF673"/>
      <c r="FG673"/>
      <c r="FH673"/>
      <c r="FI673"/>
      <c r="FJ673"/>
      <c r="FK673"/>
      <c r="FL673"/>
      <c r="FM673"/>
      <c r="FN673"/>
      <c r="FO673"/>
      <c r="FP673"/>
      <c r="FQ673"/>
      <c r="FR673"/>
      <c r="FS673"/>
      <c r="FT673"/>
      <c r="FU673"/>
      <c r="FV673"/>
      <c r="FW673"/>
      <c r="FX673"/>
      <c r="FY673"/>
      <c r="FZ673"/>
      <c r="GA673"/>
      <c r="GB673"/>
      <c r="GC673"/>
      <c r="GD673"/>
      <c r="GE673"/>
      <c r="GF673"/>
      <c r="GG673"/>
      <c r="GH673"/>
      <c r="GI673"/>
      <c r="GJ673"/>
      <c r="GK673"/>
      <c r="GL673"/>
      <c r="GM673"/>
      <c r="GN673"/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/>
      <c r="HD673"/>
      <c r="HE673"/>
      <c r="HF673"/>
      <c r="HG673"/>
      <c r="HH673"/>
      <c r="HI673"/>
      <c r="HJ673"/>
      <c r="HK673"/>
      <c r="HL673"/>
      <c r="HM673"/>
      <c r="HN673"/>
      <c r="HO673"/>
      <c r="HP673"/>
      <c r="HQ673"/>
      <c r="HR673"/>
      <c r="HS673"/>
      <c r="HT673"/>
      <c r="HU673"/>
      <c r="HV673"/>
      <c r="HW673"/>
      <c r="HX673"/>
      <c r="HY673"/>
      <c r="HZ673"/>
      <c r="IA673"/>
      <c r="IB673"/>
      <c r="IC673"/>
      <c r="ID673"/>
      <c r="IE673"/>
      <c r="IF673"/>
      <c r="IG673"/>
      <c r="IH673"/>
      <c r="II673"/>
      <c r="IJ673"/>
      <c r="IK673"/>
      <c r="IL673"/>
      <c r="IM673"/>
      <c r="IN673"/>
      <c r="IO673"/>
      <c r="IP673"/>
      <c r="IQ673"/>
      <c r="IR673"/>
      <c r="IS673"/>
      <c r="IT673"/>
      <c r="IU673"/>
      <c r="IV673"/>
      <c r="IW673"/>
      <c r="IX673"/>
      <c r="IY673"/>
      <c r="IZ673"/>
      <c r="JA673"/>
      <c r="JB673"/>
      <c r="JC673"/>
      <c r="JD673"/>
      <c r="JE673"/>
      <c r="JF673"/>
      <c r="JG673"/>
      <c r="JH673"/>
      <c r="JI673"/>
      <c r="JJ673"/>
      <c r="JK673"/>
      <c r="JL673"/>
      <c r="JM673"/>
      <c r="JN673"/>
      <c r="JO673"/>
      <c r="JP673"/>
      <c r="JQ673"/>
      <c r="JR673"/>
      <c r="JS673"/>
      <c r="JT673"/>
      <c r="JU673"/>
      <c r="JV673"/>
      <c r="JW673"/>
      <c r="JX673"/>
      <c r="JY673"/>
      <c r="JZ673"/>
      <c r="KA673"/>
      <c r="KB673"/>
      <c r="KC673"/>
      <c r="KD673"/>
      <c r="KE673"/>
      <c r="KF673"/>
      <c r="KG673"/>
      <c r="KH673"/>
      <c r="KI673"/>
      <c r="KJ673"/>
      <c r="KK673"/>
      <c r="KL673"/>
      <c r="KM673"/>
      <c r="KN673"/>
      <c r="KO673"/>
      <c r="KP673"/>
      <c r="KQ673"/>
      <c r="KR673"/>
      <c r="KS673"/>
      <c r="KT673"/>
      <c r="KU673"/>
      <c r="KV673"/>
      <c r="KW673"/>
      <c r="KX673"/>
      <c r="KY673"/>
      <c r="KZ673"/>
      <c r="LA673"/>
      <c r="LB673"/>
      <c r="LC673"/>
      <c r="LD673"/>
      <c r="LE673"/>
      <c r="LF673"/>
      <c r="LG673"/>
      <c r="LH673"/>
      <c r="LI673"/>
      <c r="LJ673"/>
      <c r="LK673"/>
      <c r="LL673"/>
      <c r="LM673"/>
      <c r="LN673"/>
      <c r="LO673"/>
      <c r="LP673"/>
      <c r="LQ673"/>
      <c r="LR673"/>
      <c r="LS673"/>
      <c r="LT673"/>
      <c r="LU673"/>
      <c r="LV673"/>
      <c r="LW673"/>
      <c r="LX673"/>
      <c r="LY673"/>
    </row>
    <row r="674" spans="1:337" x14ac:dyDescent="0.35">
      <c r="A674" s="41" t="s">
        <v>31</v>
      </c>
      <c r="B674" s="41" t="s">
        <v>32</v>
      </c>
      <c r="C674" s="42">
        <v>46330</v>
      </c>
      <c r="D674" s="43">
        <v>0</v>
      </c>
      <c r="E674" s="43">
        <v>20</v>
      </c>
      <c r="F674" s="43">
        <v>20</v>
      </c>
      <c r="G674" s="43">
        <v>28</v>
      </c>
      <c r="H674" s="43">
        <v>40</v>
      </c>
      <c r="I674" s="43">
        <v>10</v>
      </c>
      <c r="J674" s="43">
        <v>21449</v>
      </c>
      <c r="K674" s="43">
        <f>SUM(L674:L676)</f>
        <v>6</v>
      </c>
      <c r="L674" s="43">
        <v>2</v>
      </c>
      <c r="M674" s="43"/>
      <c r="N674" s="43">
        <v>4</v>
      </c>
      <c r="O674" s="43">
        <v>3</v>
      </c>
      <c r="P674" s="43">
        <v>7</v>
      </c>
      <c r="Q674" s="43">
        <v>6</v>
      </c>
      <c r="R674" s="43">
        <v>9</v>
      </c>
      <c r="S674" s="43">
        <v>9</v>
      </c>
      <c r="T674" s="43">
        <v>25</v>
      </c>
      <c r="U674" s="43">
        <v>4</v>
      </c>
      <c r="V674" s="41" t="s">
        <v>33</v>
      </c>
      <c r="W674" s="41" t="s">
        <v>34</v>
      </c>
      <c r="X674" s="41">
        <v>1</v>
      </c>
      <c r="Y674" s="41">
        <v>3</v>
      </c>
      <c r="Z674" s="41">
        <v>322</v>
      </c>
      <c r="AA674" s="44">
        <v>34</v>
      </c>
      <c r="AB674" s="44">
        <v>34</v>
      </c>
      <c r="AC674" s="43">
        <v>45</v>
      </c>
      <c r="AD674" s="43">
        <v>30</v>
      </c>
      <c r="AE674" s="43">
        <v>45</v>
      </c>
    </row>
    <row r="675" spans="1:337" x14ac:dyDescent="0.35">
      <c r="A675" s="32" t="s">
        <v>31</v>
      </c>
      <c r="B675" s="32" t="s">
        <v>35</v>
      </c>
      <c r="C675" s="33">
        <v>46330</v>
      </c>
      <c r="D675" s="34">
        <v>13</v>
      </c>
      <c r="E675" s="34">
        <v>24</v>
      </c>
      <c r="F675" s="34">
        <v>25</v>
      </c>
      <c r="G675" s="141"/>
      <c r="H675" s="141"/>
      <c r="I675" s="141"/>
      <c r="J675" s="141"/>
      <c r="K675" s="141"/>
      <c r="L675" s="34">
        <v>2</v>
      </c>
      <c r="M675" s="34">
        <v>5</v>
      </c>
      <c r="N675" s="34">
        <v>4</v>
      </c>
      <c r="O675" s="34">
        <v>4</v>
      </c>
      <c r="P675" s="32">
        <v>7</v>
      </c>
      <c r="Q675" s="32">
        <v>7</v>
      </c>
      <c r="R675" s="32">
        <v>8</v>
      </c>
      <c r="S675" s="32">
        <v>6</v>
      </c>
      <c r="T675" s="143"/>
      <c r="U675" s="143"/>
      <c r="V675" s="32" t="s">
        <v>36</v>
      </c>
      <c r="W675" s="32" t="s">
        <v>37</v>
      </c>
      <c r="X675" s="32">
        <v>1</v>
      </c>
      <c r="Y675" s="143"/>
      <c r="Z675" s="143"/>
      <c r="AA675" s="145"/>
      <c r="AB675" s="145"/>
      <c r="AC675" s="141"/>
      <c r="AD675" s="141"/>
      <c r="AE675" s="141"/>
    </row>
    <row r="676" spans="1:337" ht="15" thickBot="1" x14ac:dyDescent="0.4">
      <c r="A676" s="45" t="s">
        <v>31</v>
      </c>
      <c r="B676" s="45" t="s">
        <v>38</v>
      </c>
      <c r="C676" s="46">
        <v>46330</v>
      </c>
      <c r="D676" s="47"/>
      <c r="E676" s="47"/>
      <c r="F676" s="47"/>
      <c r="G676" s="142"/>
      <c r="H676" s="142"/>
      <c r="I676" s="142"/>
      <c r="J676" s="142"/>
      <c r="K676" s="142"/>
      <c r="L676" s="47">
        <v>2</v>
      </c>
      <c r="M676" s="47"/>
      <c r="N676" s="47"/>
      <c r="O676" s="47"/>
      <c r="P676" s="47"/>
      <c r="Q676" s="47"/>
      <c r="R676" s="47"/>
      <c r="S676" s="47"/>
      <c r="T676" s="144"/>
      <c r="U676" s="144"/>
      <c r="V676" s="45"/>
      <c r="W676" s="45"/>
      <c r="X676" s="47"/>
      <c r="Y676" s="144"/>
      <c r="Z676" s="144"/>
      <c r="AA676" s="146"/>
      <c r="AB676" s="146"/>
      <c r="AC676" s="142"/>
      <c r="AD676" s="142"/>
      <c r="AE676" s="142"/>
    </row>
    <row r="677" spans="1:337" s="53" customFormat="1" ht="15" thickBot="1" x14ac:dyDescent="0.4">
      <c r="A677" s="49"/>
      <c r="B677" s="49"/>
      <c r="C677" s="50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49"/>
      <c r="U677" s="49"/>
      <c r="V677" s="49"/>
      <c r="W677" s="49"/>
      <c r="X677" s="51"/>
      <c r="Y677" s="49"/>
      <c r="Z677" s="49"/>
      <c r="AA677" s="52"/>
      <c r="AB677" s="52"/>
      <c r="AC677" s="51"/>
      <c r="AD677" s="51"/>
      <c r="AE677" s="51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/>
      <c r="EY677"/>
      <c r="EZ677"/>
      <c r="FA677"/>
      <c r="FB677"/>
      <c r="FC677"/>
      <c r="FD677"/>
      <c r="FE677"/>
      <c r="FF677"/>
      <c r="FG677"/>
      <c r="FH677"/>
      <c r="FI677"/>
      <c r="FJ677"/>
      <c r="FK677"/>
      <c r="FL677"/>
      <c r="FM677"/>
      <c r="FN677"/>
      <c r="FO677"/>
      <c r="FP677"/>
      <c r="FQ677"/>
      <c r="FR677"/>
      <c r="FS677"/>
      <c r="FT677"/>
      <c r="FU677"/>
      <c r="FV677"/>
      <c r="FW677"/>
      <c r="FX677"/>
      <c r="FY677"/>
      <c r="FZ677"/>
      <c r="GA677"/>
      <c r="GB677"/>
      <c r="GC677"/>
      <c r="GD677"/>
      <c r="GE677"/>
      <c r="GF677"/>
      <c r="GG677"/>
      <c r="GH677"/>
      <c r="GI677"/>
      <c r="GJ677"/>
      <c r="GK677"/>
      <c r="GL677"/>
      <c r="GM677"/>
      <c r="GN677"/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  <c r="HK677"/>
      <c r="HL677"/>
      <c r="HM677"/>
      <c r="HN677"/>
      <c r="HO677"/>
      <c r="HP677"/>
      <c r="HQ677"/>
      <c r="HR677"/>
      <c r="HS677"/>
      <c r="HT677"/>
      <c r="HU677"/>
      <c r="HV677"/>
      <c r="HW677"/>
      <c r="HX677"/>
      <c r="HY677"/>
      <c r="HZ677"/>
      <c r="IA677"/>
      <c r="IB677"/>
      <c r="IC677"/>
      <c r="ID677"/>
      <c r="IE677"/>
      <c r="IF677"/>
      <c r="IG677"/>
      <c r="IH677"/>
      <c r="II677"/>
      <c r="IJ677"/>
      <c r="IK677"/>
      <c r="IL677"/>
      <c r="IM677"/>
      <c r="IN677"/>
      <c r="IO677"/>
      <c r="IP677"/>
      <c r="IQ677"/>
      <c r="IR677"/>
      <c r="IS677"/>
      <c r="IT677"/>
      <c r="IU677"/>
      <c r="IV677"/>
      <c r="IW677"/>
      <c r="IX677"/>
      <c r="IY677"/>
      <c r="IZ677"/>
      <c r="JA677"/>
      <c r="JB677"/>
      <c r="JC677"/>
      <c r="JD677"/>
      <c r="JE677"/>
      <c r="JF677"/>
      <c r="JG677"/>
      <c r="JH677"/>
      <c r="JI677"/>
      <c r="JJ677"/>
      <c r="JK677"/>
      <c r="JL677"/>
      <c r="JM677"/>
      <c r="JN677"/>
      <c r="JO677"/>
      <c r="JP677"/>
      <c r="JQ677"/>
      <c r="JR677"/>
      <c r="JS677"/>
      <c r="JT677"/>
      <c r="JU677"/>
      <c r="JV677"/>
      <c r="JW677"/>
      <c r="JX677"/>
      <c r="JY677"/>
      <c r="JZ677"/>
      <c r="KA677"/>
      <c r="KB677"/>
      <c r="KC677"/>
      <c r="KD677"/>
      <c r="KE677"/>
      <c r="KF677"/>
      <c r="KG677"/>
      <c r="KH677"/>
      <c r="KI677"/>
      <c r="KJ677"/>
      <c r="KK677"/>
      <c r="KL677"/>
      <c r="KM677"/>
      <c r="KN677"/>
      <c r="KO677"/>
      <c r="KP677"/>
      <c r="KQ677"/>
      <c r="KR677"/>
      <c r="KS677"/>
      <c r="KT677"/>
      <c r="KU677"/>
      <c r="KV677"/>
      <c r="KW677"/>
      <c r="KX677"/>
      <c r="KY677"/>
      <c r="KZ677"/>
      <c r="LA677"/>
      <c r="LB677"/>
      <c r="LC677"/>
      <c r="LD677"/>
      <c r="LE677"/>
      <c r="LF677"/>
      <c r="LG677"/>
      <c r="LH677"/>
      <c r="LI677"/>
      <c r="LJ677"/>
      <c r="LK677"/>
      <c r="LL677"/>
      <c r="LM677"/>
      <c r="LN677"/>
      <c r="LO677"/>
      <c r="LP677"/>
      <c r="LQ677"/>
      <c r="LR677"/>
      <c r="LS677"/>
      <c r="LT677"/>
      <c r="LU677"/>
      <c r="LV677"/>
      <c r="LW677"/>
      <c r="LX677"/>
      <c r="LY677"/>
    </row>
    <row r="678" spans="1:337" x14ac:dyDescent="0.35">
      <c r="A678" s="41" t="s">
        <v>31</v>
      </c>
      <c r="B678" s="41" t="s">
        <v>32</v>
      </c>
      <c r="C678" s="42">
        <v>46331</v>
      </c>
      <c r="D678" s="43">
        <v>0</v>
      </c>
      <c r="E678" s="43">
        <v>20</v>
      </c>
      <c r="F678" s="43">
        <v>20</v>
      </c>
      <c r="G678" s="43">
        <v>28</v>
      </c>
      <c r="H678" s="43">
        <v>40</v>
      </c>
      <c r="I678" s="43">
        <v>10</v>
      </c>
      <c r="J678" s="43">
        <v>21449</v>
      </c>
      <c r="K678" s="43">
        <f>SUM(L678:L680)</f>
        <v>6</v>
      </c>
      <c r="L678" s="43">
        <v>2</v>
      </c>
      <c r="M678" s="43"/>
      <c r="N678" s="43">
        <v>4</v>
      </c>
      <c r="O678" s="43">
        <v>3</v>
      </c>
      <c r="P678" s="43">
        <v>7</v>
      </c>
      <c r="Q678" s="43">
        <v>6</v>
      </c>
      <c r="R678" s="43">
        <v>9</v>
      </c>
      <c r="S678" s="43">
        <v>9</v>
      </c>
      <c r="T678" s="43">
        <v>25</v>
      </c>
      <c r="U678" s="43">
        <v>4</v>
      </c>
      <c r="V678" s="41" t="s">
        <v>33</v>
      </c>
      <c r="W678" s="41" t="s">
        <v>34</v>
      </c>
      <c r="X678" s="41">
        <v>1</v>
      </c>
      <c r="Y678" s="41">
        <v>3</v>
      </c>
      <c r="Z678" s="41">
        <v>322</v>
      </c>
      <c r="AA678" s="44">
        <v>34</v>
      </c>
      <c r="AB678" s="44">
        <v>34</v>
      </c>
      <c r="AC678" s="43">
        <v>45</v>
      </c>
      <c r="AD678" s="43">
        <v>30</v>
      </c>
      <c r="AE678" s="43">
        <v>45</v>
      </c>
    </row>
    <row r="679" spans="1:337" x14ac:dyDescent="0.35">
      <c r="A679" s="32" t="s">
        <v>31</v>
      </c>
      <c r="B679" s="32" t="s">
        <v>35</v>
      </c>
      <c r="C679" s="33">
        <v>46331</v>
      </c>
      <c r="D679" s="34">
        <v>13</v>
      </c>
      <c r="E679" s="34">
        <v>24</v>
      </c>
      <c r="F679" s="34">
        <v>25</v>
      </c>
      <c r="G679" s="141"/>
      <c r="H679" s="141"/>
      <c r="I679" s="141"/>
      <c r="J679" s="141"/>
      <c r="K679" s="141"/>
      <c r="L679" s="34">
        <v>2</v>
      </c>
      <c r="M679" s="34">
        <v>5</v>
      </c>
      <c r="N679" s="34">
        <v>4</v>
      </c>
      <c r="O679" s="34">
        <v>4</v>
      </c>
      <c r="P679" s="32">
        <v>7</v>
      </c>
      <c r="Q679" s="32">
        <v>7</v>
      </c>
      <c r="R679" s="32">
        <v>8</v>
      </c>
      <c r="S679" s="32">
        <v>6</v>
      </c>
      <c r="T679" s="143"/>
      <c r="U679" s="143"/>
      <c r="V679" s="32" t="s">
        <v>36</v>
      </c>
      <c r="W679" s="32" t="s">
        <v>37</v>
      </c>
      <c r="X679" s="32">
        <v>1</v>
      </c>
      <c r="Y679" s="143"/>
      <c r="Z679" s="143"/>
      <c r="AA679" s="145"/>
      <c r="AB679" s="145"/>
      <c r="AC679" s="141"/>
      <c r="AD679" s="141"/>
      <c r="AE679" s="141"/>
    </row>
    <row r="680" spans="1:337" ht="15" thickBot="1" x14ac:dyDescent="0.4">
      <c r="A680" s="45" t="s">
        <v>31</v>
      </c>
      <c r="B680" s="45" t="s">
        <v>38</v>
      </c>
      <c r="C680" s="46">
        <v>46331</v>
      </c>
      <c r="D680" s="47"/>
      <c r="E680" s="47"/>
      <c r="F680" s="47"/>
      <c r="G680" s="142"/>
      <c r="H680" s="142"/>
      <c r="I680" s="142"/>
      <c r="J680" s="142"/>
      <c r="K680" s="142"/>
      <c r="L680" s="47">
        <v>2</v>
      </c>
      <c r="M680" s="47"/>
      <c r="N680" s="47"/>
      <c r="O680" s="47"/>
      <c r="P680" s="47"/>
      <c r="Q680" s="47"/>
      <c r="R680" s="47"/>
      <c r="S680" s="47"/>
      <c r="T680" s="144"/>
      <c r="U680" s="144"/>
      <c r="V680" s="45"/>
      <c r="W680" s="45"/>
      <c r="X680" s="47"/>
      <c r="Y680" s="144"/>
      <c r="Z680" s="144"/>
      <c r="AA680" s="146"/>
      <c r="AB680" s="146"/>
      <c r="AC680" s="142"/>
      <c r="AD680" s="142"/>
      <c r="AE680" s="142"/>
    </row>
    <row r="681" spans="1:337" s="53" customFormat="1" ht="15" thickBot="1" x14ac:dyDescent="0.4">
      <c r="A681" s="49"/>
      <c r="B681" s="49"/>
      <c r="C681" s="50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49"/>
      <c r="U681" s="49"/>
      <c r="V681" s="49"/>
      <c r="W681" s="49"/>
      <c r="X681" s="51"/>
      <c r="Y681" s="49"/>
      <c r="Z681" s="49"/>
      <c r="AA681" s="52"/>
      <c r="AB681" s="52"/>
      <c r="AC681" s="51"/>
      <c r="AD681" s="51"/>
      <c r="AE681" s="5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/>
      <c r="EY681"/>
      <c r="EZ681"/>
      <c r="FA681"/>
      <c r="FB681"/>
      <c r="FC681"/>
      <c r="FD681"/>
      <c r="FE681"/>
      <c r="FF681"/>
      <c r="FG681"/>
      <c r="FH681"/>
      <c r="FI681"/>
      <c r="FJ681"/>
      <c r="FK681"/>
      <c r="FL681"/>
      <c r="FM681"/>
      <c r="FN681"/>
      <c r="FO681"/>
      <c r="FP681"/>
      <c r="FQ681"/>
      <c r="FR681"/>
      <c r="FS681"/>
      <c r="FT681"/>
      <c r="FU681"/>
      <c r="FV681"/>
      <c r="FW681"/>
      <c r="FX681"/>
      <c r="FY681"/>
      <c r="FZ681"/>
      <c r="GA681"/>
      <c r="GB681"/>
      <c r="GC681"/>
      <c r="GD681"/>
      <c r="GE681"/>
      <c r="GF681"/>
      <c r="GG681"/>
      <c r="GH681"/>
      <c r="GI681"/>
      <c r="GJ681"/>
      <c r="GK681"/>
      <c r="GL681"/>
      <c r="GM681"/>
      <c r="GN681"/>
      <c r="GO681"/>
      <c r="GP681"/>
      <c r="GQ681"/>
      <c r="GR681"/>
      <c r="GS681"/>
      <c r="GT681"/>
      <c r="GU681"/>
      <c r="GV681"/>
      <c r="GW681"/>
      <c r="GX681"/>
      <c r="GY681"/>
      <c r="GZ681"/>
      <c r="HA681"/>
      <c r="HB681"/>
      <c r="HC681"/>
      <c r="HD681"/>
      <c r="HE681"/>
      <c r="HF681"/>
      <c r="HG681"/>
      <c r="HH681"/>
      <c r="HI681"/>
      <c r="HJ681"/>
      <c r="HK681"/>
      <c r="HL681"/>
      <c r="HM681"/>
      <c r="HN681"/>
      <c r="HO681"/>
      <c r="HP681"/>
      <c r="HQ681"/>
      <c r="HR681"/>
      <c r="HS681"/>
      <c r="HT681"/>
      <c r="HU681"/>
      <c r="HV681"/>
      <c r="HW681"/>
      <c r="HX681"/>
      <c r="HY681"/>
      <c r="HZ681"/>
      <c r="IA681"/>
      <c r="IB681"/>
      <c r="IC681"/>
      <c r="ID681"/>
      <c r="IE681"/>
      <c r="IF681"/>
      <c r="IG681"/>
      <c r="IH681"/>
      <c r="II681"/>
      <c r="IJ681"/>
      <c r="IK681"/>
      <c r="IL681"/>
      <c r="IM681"/>
      <c r="IN681"/>
      <c r="IO681"/>
      <c r="IP681"/>
      <c r="IQ681"/>
      <c r="IR681"/>
      <c r="IS681"/>
      <c r="IT681"/>
      <c r="IU681"/>
      <c r="IV681"/>
      <c r="IW681"/>
      <c r="IX681"/>
      <c r="IY681"/>
      <c r="IZ681"/>
      <c r="JA681"/>
      <c r="JB681"/>
      <c r="JC681"/>
      <c r="JD681"/>
      <c r="JE681"/>
      <c r="JF681"/>
      <c r="JG681"/>
      <c r="JH681"/>
      <c r="JI681"/>
      <c r="JJ681"/>
      <c r="JK681"/>
      <c r="JL681"/>
      <c r="JM681"/>
      <c r="JN681"/>
      <c r="JO681"/>
      <c r="JP681"/>
      <c r="JQ681"/>
      <c r="JR681"/>
      <c r="JS681"/>
      <c r="JT681"/>
      <c r="JU681"/>
      <c r="JV681"/>
      <c r="JW681"/>
      <c r="JX681"/>
      <c r="JY681"/>
      <c r="JZ681"/>
      <c r="KA681"/>
      <c r="KB681"/>
      <c r="KC681"/>
      <c r="KD681"/>
      <c r="KE681"/>
      <c r="KF681"/>
      <c r="KG681"/>
      <c r="KH681"/>
      <c r="KI681"/>
      <c r="KJ681"/>
      <c r="KK681"/>
      <c r="KL681"/>
      <c r="KM681"/>
      <c r="KN681"/>
      <c r="KO681"/>
      <c r="KP681"/>
      <c r="KQ681"/>
      <c r="KR681"/>
      <c r="KS681"/>
      <c r="KT681"/>
      <c r="KU681"/>
      <c r="KV681"/>
      <c r="KW681"/>
      <c r="KX681"/>
      <c r="KY681"/>
      <c r="KZ681"/>
      <c r="LA681"/>
      <c r="LB681"/>
      <c r="LC681"/>
      <c r="LD681"/>
      <c r="LE681"/>
      <c r="LF681"/>
      <c r="LG681"/>
      <c r="LH681"/>
      <c r="LI681"/>
      <c r="LJ681"/>
      <c r="LK681"/>
      <c r="LL681"/>
      <c r="LM681"/>
      <c r="LN681"/>
      <c r="LO681"/>
      <c r="LP681"/>
      <c r="LQ681"/>
      <c r="LR681"/>
      <c r="LS681"/>
      <c r="LT681"/>
      <c r="LU681"/>
      <c r="LV681"/>
      <c r="LW681"/>
      <c r="LX681"/>
      <c r="LY681"/>
    </row>
    <row r="682" spans="1:337" x14ac:dyDescent="0.35">
      <c r="A682" s="41" t="s">
        <v>31</v>
      </c>
      <c r="B682" s="41" t="s">
        <v>32</v>
      </c>
      <c r="C682" s="42">
        <v>46332</v>
      </c>
      <c r="D682" s="43">
        <v>0</v>
      </c>
      <c r="E682" s="43">
        <v>20</v>
      </c>
      <c r="F682" s="43">
        <v>20</v>
      </c>
      <c r="G682" s="43">
        <v>28</v>
      </c>
      <c r="H682" s="43">
        <v>40</v>
      </c>
      <c r="I682" s="43">
        <v>10</v>
      </c>
      <c r="J682" s="43">
        <v>21449</v>
      </c>
      <c r="K682" s="43">
        <f>SUM(L682:L684)</f>
        <v>6</v>
      </c>
      <c r="L682" s="43">
        <v>2</v>
      </c>
      <c r="M682" s="43"/>
      <c r="N682" s="43">
        <v>4</v>
      </c>
      <c r="O682" s="43">
        <v>3</v>
      </c>
      <c r="P682" s="43">
        <v>7</v>
      </c>
      <c r="Q682" s="43">
        <v>6</v>
      </c>
      <c r="R682" s="43">
        <v>9</v>
      </c>
      <c r="S682" s="43">
        <v>9</v>
      </c>
      <c r="T682" s="43">
        <v>25</v>
      </c>
      <c r="U682" s="43">
        <v>4</v>
      </c>
      <c r="V682" s="41" t="s">
        <v>33</v>
      </c>
      <c r="W682" s="41" t="s">
        <v>34</v>
      </c>
      <c r="X682" s="41">
        <v>1</v>
      </c>
      <c r="Y682" s="41">
        <v>3</v>
      </c>
      <c r="Z682" s="41">
        <v>322</v>
      </c>
      <c r="AA682" s="44">
        <v>34</v>
      </c>
      <c r="AB682" s="44">
        <v>34</v>
      </c>
      <c r="AC682" s="43">
        <v>45</v>
      </c>
      <c r="AD682" s="43">
        <v>30</v>
      </c>
      <c r="AE682" s="43">
        <v>45</v>
      </c>
    </row>
    <row r="683" spans="1:337" x14ac:dyDescent="0.35">
      <c r="A683" s="32" t="s">
        <v>31</v>
      </c>
      <c r="B683" s="32" t="s">
        <v>35</v>
      </c>
      <c r="C683" s="33">
        <v>46332</v>
      </c>
      <c r="D683" s="34">
        <v>13</v>
      </c>
      <c r="E683" s="34">
        <v>24</v>
      </c>
      <c r="F683" s="34">
        <v>25</v>
      </c>
      <c r="G683" s="141"/>
      <c r="H683" s="141"/>
      <c r="I683" s="141"/>
      <c r="J683" s="141"/>
      <c r="K683" s="141"/>
      <c r="L683" s="34">
        <v>2</v>
      </c>
      <c r="M683" s="34">
        <v>5</v>
      </c>
      <c r="N683" s="34">
        <v>4</v>
      </c>
      <c r="O683" s="34">
        <v>4</v>
      </c>
      <c r="P683" s="32">
        <v>7</v>
      </c>
      <c r="Q683" s="32">
        <v>7</v>
      </c>
      <c r="R683" s="32">
        <v>8</v>
      </c>
      <c r="S683" s="32">
        <v>6</v>
      </c>
      <c r="T683" s="143"/>
      <c r="U683" s="143"/>
      <c r="V683" s="32" t="s">
        <v>36</v>
      </c>
      <c r="W683" s="32" t="s">
        <v>37</v>
      </c>
      <c r="X683" s="32">
        <v>1</v>
      </c>
      <c r="Y683" s="143"/>
      <c r="Z683" s="143"/>
      <c r="AA683" s="145"/>
      <c r="AB683" s="145"/>
      <c r="AC683" s="141"/>
      <c r="AD683" s="141"/>
      <c r="AE683" s="141"/>
    </row>
    <row r="684" spans="1:337" ht="15" thickBot="1" x14ac:dyDescent="0.4">
      <c r="A684" s="45" t="s">
        <v>31</v>
      </c>
      <c r="B684" s="45" t="s">
        <v>38</v>
      </c>
      <c r="C684" s="46">
        <v>46332</v>
      </c>
      <c r="D684" s="47"/>
      <c r="E684" s="47"/>
      <c r="F684" s="47"/>
      <c r="G684" s="142"/>
      <c r="H684" s="142"/>
      <c r="I684" s="142"/>
      <c r="J684" s="142"/>
      <c r="K684" s="142"/>
      <c r="L684" s="47">
        <v>2</v>
      </c>
      <c r="M684" s="47"/>
      <c r="N684" s="47"/>
      <c r="O684" s="47"/>
      <c r="P684" s="47"/>
      <c r="Q684" s="47"/>
      <c r="R684" s="47"/>
      <c r="S684" s="47"/>
      <c r="T684" s="144"/>
      <c r="U684" s="144"/>
      <c r="V684" s="45"/>
      <c r="W684" s="45"/>
      <c r="X684" s="47"/>
      <c r="Y684" s="144"/>
      <c r="Z684" s="144"/>
      <c r="AA684" s="146"/>
      <c r="AB684" s="146"/>
      <c r="AC684" s="142"/>
      <c r="AD684" s="142"/>
      <c r="AE684" s="142"/>
    </row>
    <row r="685" spans="1:337" s="53" customFormat="1" ht="15" thickBot="1" x14ac:dyDescent="0.4">
      <c r="A685" s="49"/>
      <c r="B685" s="49"/>
      <c r="C685" s="50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49"/>
      <c r="U685" s="49"/>
      <c r="V685" s="49"/>
      <c r="W685" s="49"/>
      <c r="X685" s="51"/>
      <c r="Y685" s="49"/>
      <c r="Z685" s="49"/>
      <c r="AA685" s="52"/>
      <c r="AB685" s="52"/>
      <c r="AC685" s="51"/>
      <c r="AD685" s="51"/>
      <c r="AE685" s="51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  <c r="EW685"/>
      <c r="EX685"/>
      <c r="EY685"/>
      <c r="EZ685"/>
      <c r="FA685"/>
      <c r="FB685"/>
      <c r="FC685"/>
      <c r="FD685"/>
      <c r="FE685"/>
      <c r="FF685"/>
      <c r="FG685"/>
      <c r="FH685"/>
      <c r="FI685"/>
      <c r="FJ685"/>
      <c r="FK685"/>
      <c r="FL685"/>
      <c r="FM685"/>
      <c r="FN685"/>
      <c r="FO685"/>
      <c r="FP685"/>
      <c r="FQ685"/>
      <c r="FR685"/>
      <c r="FS685"/>
      <c r="FT685"/>
      <c r="FU685"/>
      <c r="FV685"/>
      <c r="FW685"/>
      <c r="FX685"/>
      <c r="FY685"/>
      <c r="FZ685"/>
      <c r="GA685"/>
      <c r="GB685"/>
      <c r="GC685"/>
      <c r="GD685"/>
      <c r="GE685"/>
      <c r="GF685"/>
      <c r="GG685"/>
      <c r="GH685"/>
      <c r="GI685"/>
      <c r="GJ685"/>
      <c r="GK685"/>
      <c r="GL685"/>
      <c r="GM685"/>
      <c r="GN685"/>
      <c r="GO685"/>
      <c r="GP685"/>
      <c r="GQ685"/>
      <c r="GR685"/>
      <c r="GS685"/>
      <c r="GT685"/>
      <c r="GU685"/>
      <c r="GV685"/>
      <c r="GW685"/>
      <c r="GX685"/>
      <c r="GY685"/>
      <c r="GZ685"/>
      <c r="HA685"/>
      <c r="HB685"/>
      <c r="HC685"/>
      <c r="HD685"/>
      <c r="HE685"/>
      <c r="HF685"/>
      <c r="HG685"/>
      <c r="HH685"/>
      <c r="HI685"/>
      <c r="HJ685"/>
      <c r="HK685"/>
      <c r="HL685"/>
      <c r="HM685"/>
      <c r="HN685"/>
      <c r="HO685"/>
      <c r="HP685"/>
      <c r="HQ685"/>
      <c r="HR685"/>
      <c r="HS685"/>
      <c r="HT685"/>
      <c r="HU685"/>
      <c r="HV685"/>
      <c r="HW685"/>
      <c r="HX685"/>
      <c r="HY685"/>
      <c r="HZ685"/>
      <c r="IA685"/>
      <c r="IB685"/>
      <c r="IC685"/>
      <c r="ID685"/>
      <c r="IE685"/>
      <c r="IF685"/>
      <c r="IG685"/>
      <c r="IH685"/>
      <c r="II685"/>
      <c r="IJ685"/>
      <c r="IK685"/>
      <c r="IL685"/>
      <c r="IM685"/>
      <c r="IN685"/>
      <c r="IO685"/>
      <c r="IP685"/>
      <c r="IQ685"/>
      <c r="IR685"/>
      <c r="IS685"/>
      <c r="IT685"/>
      <c r="IU685"/>
      <c r="IV685"/>
      <c r="IW685"/>
      <c r="IX685"/>
      <c r="IY685"/>
      <c r="IZ685"/>
      <c r="JA685"/>
      <c r="JB685"/>
      <c r="JC685"/>
      <c r="JD685"/>
      <c r="JE685"/>
      <c r="JF685"/>
      <c r="JG685"/>
      <c r="JH685"/>
      <c r="JI685"/>
      <c r="JJ685"/>
      <c r="JK685"/>
      <c r="JL685"/>
      <c r="JM685"/>
      <c r="JN685"/>
      <c r="JO685"/>
      <c r="JP685"/>
      <c r="JQ685"/>
      <c r="JR685"/>
      <c r="JS685"/>
      <c r="JT685"/>
      <c r="JU685"/>
      <c r="JV685"/>
      <c r="JW685"/>
      <c r="JX685"/>
      <c r="JY685"/>
      <c r="JZ685"/>
      <c r="KA685"/>
      <c r="KB685"/>
      <c r="KC685"/>
      <c r="KD685"/>
      <c r="KE685"/>
      <c r="KF685"/>
      <c r="KG685"/>
      <c r="KH685"/>
      <c r="KI685"/>
      <c r="KJ685"/>
      <c r="KK685"/>
      <c r="KL685"/>
      <c r="KM685"/>
      <c r="KN685"/>
      <c r="KO685"/>
      <c r="KP685"/>
      <c r="KQ685"/>
      <c r="KR685"/>
      <c r="KS685"/>
      <c r="KT685"/>
      <c r="KU685"/>
      <c r="KV685"/>
      <c r="KW685"/>
      <c r="KX685"/>
      <c r="KY685"/>
      <c r="KZ685"/>
      <c r="LA685"/>
      <c r="LB685"/>
      <c r="LC685"/>
      <c r="LD685"/>
      <c r="LE685"/>
      <c r="LF685"/>
      <c r="LG685"/>
      <c r="LH685"/>
      <c r="LI685"/>
      <c r="LJ685"/>
      <c r="LK685"/>
      <c r="LL685"/>
      <c r="LM685"/>
      <c r="LN685"/>
      <c r="LO685"/>
      <c r="LP685"/>
      <c r="LQ685"/>
      <c r="LR685"/>
      <c r="LS685"/>
      <c r="LT685"/>
      <c r="LU685"/>
      <c r="LV685"/>
      <c r="LW685"/>
      <c r="LX685"/>
      <c r="LY685"/>
    </row>
    <row r="686" spans="1:337" x14ac:dyDescent="0.35">
      <c r="A686" s="41" t="s">
        <v>31</v>
      </c>
      <c r="B686" s="41" t="s">
        <v>32</v>
      </c>
      <c r="C686" s="42">
        <v>46335</v>
      </c>
      <c r="D686" s="43">
        <v>0</v>
      </c>
      <c r="E686" s="43">
        <v>20</v>
      </c>
      <c r="F686" s="43">
        <v>20</v>
      </c>
      <c r="G686" s="43">
        <v>28</v>
      </c>
      <c r="H686" s="43">
        <v>40</v>
      </c>
      <c r="I686" s="43">
        <v>10</v>
      </c>
      <c r="J686" s="43">
        <v>21449</v>
      </c>
      <c r="K686" s="43">
        <f>SUM(L686:L688)</f>
        <v>6</v>
      </c>
      <c r="L686" s="43">
        <v>2</v>
      </c>
      <c r="M686" s="43"/>
      <c r="N686" s="43">
        <v>4</v>
      </c>
      <c r="O686" s="43">
        <v>3</v>
      </c>
      <c r="P686" s="43">
        <v>7</v>
      </c>
      <c r="Q686" s="43">
        <v>6</v>
      </c>
      <c r="R686" s="43">
        <v>9</v>
      </c>
      <c r="S686" s="43">
        <v>9</v>
      </c>
      <c r="T686" s="43">
        <v>20</v>
      </c>
      <c r="U686" s="43">
        <v>3</v>
      </c>
      <c r="V686" s="41" t="s">
        <v>33</v>
      </c>
      <c r="W686" s="41" t="s">
        <v>34</v>
      </c>
      <c r="X686" s="41">
        <v>1</v>
      </c>
      <c r="Y686" s="41">
        <v>3</v>
      </c>
      <c r="Z686" s="41">
        <v>322</v>
      </c>
      <c r="AA686" s="44">
        <v>34</v>
      </c>
      <c r="AB686" s="44">
        <v>34</v>
      </c>
      <c r="AC686" s="43">
        <v>45</v>
      </c>
      <c r="AD686" s="43">
        <v>30</v>
      </c>
      <c r="AE686" s="43">
        <v>45</v>
      </c>
    </row>
    <row r="687" spans="1:337" x14ac:dyDescent="0.35">
      <c r="A687" s="32" t="s">
        <v>31</v>
      </c>
      <c r="B687" s="32" t="s">
        <v>35</v>
      </c>
      <c r="C687" s="33">
        <v>46335</v>
      </c>
      <c r="D687" s="34">
        <v>13</v>
      </c>
      <c r="E687" s="34">
        <v>24</v>
      </c>
      <c r="F687" s="34">
        <v>25</v>
      </c>
      <c r="G687" s="141"/>
      <c r="H687" s="141"/>
      <c r="I687" s="141"/>
      <c r="J687" s="141"/>
      <c r="K687" s="141"/>
      <c r="L687" s="34">
        <v>2</v>
      </c>
      <c r="M687" s="34">
        <v>5</v>
      </c>
      <c r="N687" s="34">
        <v>4</v>
      </c>
      <c r="O687" s="34">
        <v>4</v>
      </c>
      <c r="P687" s="32">
        <v>7</v>
      </c>
      <c r="Q687" s="32">
        <v>7</v>
      </c>
      <c r="R687" s="32">
        <v>8</v>
      </c>
      <c r="S687" s="32">
        <v>6</v>
      </c>
      <c r="T687" s="143"/>
      <c r="U687" s="143"/>
      <c r="V687" s="32" t="s">
        <v>36</v>
      </c>
      <c r="W687" s="32" t="s">
        <v>37</v>
      </c>
      <c r="X687" s="32">
        <v>1</v>
      </c>
      <c r="Y687" s="143"/>
      <c r="Z687" s="143"/>
      <c r="AA687" s="145"/>
      <c r="AB687" s="145"/>
      <c r="AC687" s="141"/>
      <c r="AD687" s="141"/>
      <c r="AE687" s="141"/>
    </row>
    <row r="688" spans="1:337" ht="15" thickBot="1" x14ac:dyDescent="0.4">
      <c r="A688" s="45" t="s">
        <v>31</v>
      </c>
      <c r="B688" s="45" t="s">
        <v>38</v>
      </c>
      <c r="C688" s="46">
        <v>46335</v>
      </c>
      <c r="D688" s="47"/>
      <c r="E688" s="47"/>
      <c r="F688" s="47"/>
      <c r="G688" s="142"/>
      <c r="H688" s="142"/>
      <c r="I688" s="142"/>
      <c r="J688" s="142"/>
      <c r="K688" s="142"/>
      <c r="L688" s="47">
        <v>2</v>
      </c>
      <c r="M688" s="47"/>
      <c r="N688" s="47"/>
      <c r="O688" s="47"/>
      <c r="P688" s="47"/>
      <c r="Q688" s="47"/>
      <c r="R688" s="47"/>
      <c r="S688" s="47"/>
      <c r="T688" s="144"/>
      <c r="U688" s="144"/>
      <c r="V688" s="45"/>
      <c r="W688" s="45"/>
      <c r="X688" s="47"/>
      <c r="Y688" s="144"/>
      <c r="Z688" s="144"/>
      <c r="AA688" s="146"/>
      <c r="AB688" s="146"/>
      <c r="AC688" s="142"/>
      <c r="AD688" s="142"/>
      <c r="AE688" s="142"/>
    </row>
    <row r="689" spans="1:337" s="53" customFormat="1" ht="15" thickBot="1" x14ac:dyDescent="0.4">
      <c r="A689" s="49"/>
      <c r="B689" s="49"/>
      <c r="C689" s="50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49"/>
      <c r="U689" s="49"/>
      <c r="V689" s="49"/>
      <c r="W689" s="49"/>
      <c r="X689" s="51"/>
      <c r="Y689" s="49"/>
      <c r="Z689" s="49"/>
      <c r="AA689" s="52"/>
      <c r="AB689" s="52"/>
      <c r="AC689" s="51"/>
      <c r="AD689" s="51"/>
      <c r="AE689" s="51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/>
      <c r="FB689"/>
      <c r="FC689"/>
      <c r="FD689"/>
      <c r="FE689"/>
      <c r="FF689"/>
      <c r="FG689"/>
      <c r="FH689"/>
      <c r="FI689"/>
      <c r="FJ689"/>
      <c r="FK689"/>
      <c r="FL689"/>
      <c r="FM689"/>
      <c r="FN689"/>
      <c r="FO689"/>
      <c r="FP689"/>
      <c r="FQ689"/>
      <c r="FR689"/>
      <c r="FS689"/>
      <c r="FT689"/>
      <c r="FU689"/>
      <c r="FV689"/>
      <c r="FW689"/>
      <c r="FX689"/>
      <c r="FY689"/>
      <c r="FZ689"/>
      <c r="GA689"/>
      <c r="GB689"/>
      <c r="GC689"/>
      <c r="GD689"/>
      <c r="GE689"/>
      <c r="GF689"/>
      <c r="GG689"/>
      <c r="GH689"/>
      <c r="GI689"/>
      <c r="GJ689"/>
      <c r="GK689"/>
      <c r="GL689"/>
      <c r="GM689"/>
      <c r="GN689"/>
      <c r="GO689"/>
      <c r="GP689"/>
      <c r="GQ689"/>
      <c r="GR689"/>
      <c r="GS689"/>
      <c r="GT689"/>
      <c r="GU689"/>
      <c r="GV689"/>
      <c r="GW689"/>
      <c r="GX689"/>
      <c r="GY689"/>
      <c r="GZ689"/>
      <c r="HA689"/>
      <c r="HB689"/>
      <c r="HC689"/>
      <c r="HD689"/>
      <c r="HE689"/>
      <c r="HF689"/>
      <c r="HG689"/>
      <c r="HH689"/>
      <c r="HI689"/>
      <c r="HJ689"/>
      <c r="HK689"/>
      <c r="HL689"/>
      <c r="HM689"/>
      <c r="HN689"/>
      <c r="HO689"/>
      <c r="HP689"/>
      <c r="HQ689"/>
      <c r="HR689"/>
      <c r="HS689"/>
      <c r="HT689"/>
      <c r="HU689"/>
      <c r="HV689"/>
      <c r="HW689"/>
      <c r="HX689"/>
      <c r="HY689"/>
      <c r="HZ689"/>
      <c r="IA689"/>
      <c r="IB689"/>
      <c r="IC689"/>
      <c r="ID689"/>
      <c r="IE689"/>
      <c r="IF689"/>
      <c r="IG689"/>
      <c r="IH689"/>
      <c r="II689"/>
      <c r="IJ689"/>
      <c r="IK689"/>
      <c r="IL689"/>
      <c r="IM689"/>
      <c r="IN689"/>
      <c r="IO689"/>
      <c r="IP689"/>
      <c r="IQ689"/>
      <c r="IR689"/>
      <c r="IS689"/>
      <c r="IT689"/>
      <c r="IU689"/>
      <c r="IV689"/>
      <c r="IW689"/>
      <c r="IX689"/>
      <c r="IY689"/>
      <c r="IZ689"/>
      <c r="JA689"/>
      <c r="JB689"/>
      <c r="JC689"/>
      <c r="JD689"/>
      <c r="JE689"/>
      <c r="JF689"/>
      <c r="JG689"/>
      <c r="JH689"/>
      <c r="JI689"/>
      <c r="JJ689"/>
      <c r="JK689"/>
      <c r="JL689"/>
      <c r="JM689"/>
      <c r="JN689"/>
      <c r="JO689"/>
      <c r="JP689"/>
      <c r="JQ689"/>
      <c r="JR689"/>
      <c r="JS689"/>
      <c r="JT689"/>
      <c r="JU689"/>
      <c r="JV689"/>
      <c r="JW689"/>
      <c r="JX689"/>
      <c r="JY689"/>
      <c r="JZ689"/>
      <c r="KA689"/>
      <c r="KB689"/>
      <c r="KC689"/>
      <c r="KD689"/>
      <c r="KE689"/>
      <c r="KF689"/>
      <c r="KG689"/>
      <c r="KH689"/>
      <c r="KI689"/>
      <c r="KJ689"/>
      <c r="KK689"/>
      <c r="KL689"/>
      <c r="KM689"/>
      <c r="KN689"/>
      <c r="KO689"/>
      <c r="KP689"/>
      <c r="KQ689"/>
      <c r="KR689"/>
      <c r="KS689"/>
      <c r="KT689"/>
      <c r="KU689"/>
      <c r="KV689"/>
      <c r="KW689"/>
      <c r="KX689"/>
      <c r="KY689"/>
      <c r="KZ689"/>
      <c r="LA689"/>
      <c r="LB689"/>
      <c r="LC689"/>
      <c r="LD689"/>
      <c r="LE689"/>
      <c r="LF689"/>
      <c r="LG689"/>
      <c r="LH689"/>
      <c r="LI689"/>
      <c r="LJ689"/>
      <c r="LK689"/>
      <c r="LL689"/>
      <c r="LM689"/>
      <c r="LN689"/>
      <c r="LO689"/>
      <c r="LP689"/>
      <c r="LQ689"/>
      <c r="LR689"/>
      <c r="LS689"/>
      <c r="LT689"/>
      <c r="LU689"/>
      <c r="LV689"/>
      <c r="LW689"/>
      <c r="LX689"/>
      <c r="LY689"/>
    </row>
    <row r="690" spans="1:337" x14ac:dyDescent="0.35">
      <c r="A690" s="41" t="s">
        <v>31</v>
      </c>
      <c r="B690" s="41" t="s">
        <v>32</v>
      </c>
      <c r="C690" s="42">
        <v>46336</v>
      </c>
      <c r="D690" s="43">
        <v>0</v>
      </c>
      <c r="E690" s="43">
        <v>20</v>
      </c>
      <c r="F690" s="43">
        <v>20</v>
      </c>
      <c r="G690" s="43">
        <v>28</v>
      </c>
      <c r="H690" s="43">
        <v>40</v>
      </c>
      <c r="I690" s="43">
        <v>10</v>
      </c>
      <c r="J690" s="43">
        <v>21449</v>
      </c>
      <c r="K690" s="43">
        <f>SUM(L690:L692)</f>
        <v>6</v>
      </c>
      <c r="L690" s="43">
        <v>2</v>
      </c>
      <c r="M690" s="43"/>
      <c r="N690" s="43">
        <v>4</v>
      </c>
      <c r="O690" s="43">
        <v>3</v>
      </c>
      <c r="P690" s="43">
        <v>7</v>
      </c>
      <c r="Q690" s="43">
        <v>6</v>
      </c>
      <c r="R690" s="43">
        <v>9</v>
      </c>
      <c r="S690" s="43">
        <v>9</v>
      </c>
      <c r="T690" s="43">
        <v>25</v>
      </c>
      <c r="U690" s="43">
        <v>4</v>
      </c>
      <c r="V690" s="41" t="s">
        <v>33</v>
      </c>
      <c r="W690" s="41" t="s">
        <v>34</v>
      </c>
      <c r="X690" s="41">
        <v>1</v>
      </c>
      <c r="Y690" s="41">
        <v>3</v>
      </c>
      <c r="Z690" s="41">
        <v>322</v>
      </c>
      <c r="AA690" s="44">
        <v>34</v>
      </c>
      <c r="AB690" s="44">
        <v>34</v>
      </c>
      <c r="AC690" s="43">
        <v>45</v>
      </c>
      <c r="AD690" s="43">
        <v>30</v>
      </c>
      <c r="AE690" s="43">
        <v>45</v>
      </c>
    </row>
    <row r="691" spans="1:337" x14ac:dyDescent="0.35">
      <c r="A691" s="32" t="s">
        <v>31</v>
      </c>
      <c r="B691" s="32" t="s">
        <v>35</v>
      </c>
      <c r="C691" s="33">
        <v>46336</v>
      </c>
      <c r="D691" s="34">
        <v>13</v>
      </c>
      <c r="E691" s="34">
        <v>24</v>
      </c>
      <c r="F691" s="34">
        <v>25</v>
      </c>
      <c r="G691" s="141"/>
      <c r="H691" s="141"/>
      <c r="I691" s="141"/>
      <c r="J691" s="141"/>
      <c r="K691" s="141"/>
      <c r="L691" s="34">
        <v>2</v>
      </c>
      <c r="M691" s="34">
        <v>5</v>
      </c>
      <c r="N691" s="34">
        <v>4</v>
      </c>
      <c r="O691" s="34">
        <v>4</v>
      </c>
      <c r="P691" s="32">
        <v>7</v>
      </c>
      <c r="Q691" s="32">
        <v>7</v>
      </c>
      <c r="R691" s="32">
        <v>8</v>
      </c>
      <c r="S691" s="32">
        <v>6</v>
      </c>
      <c r="T691" s="143"/>
      <c r="U691" s="143"/>
      <c r="V691" s="32" t="s">
        <v>36</v>
      </c>
      <c r="W691" s="32" t="s">
        <v>37</v>
      </c>
      <c r="X691" s="32">
        <v>1</v>
      </c>
      <c r="Y691" s="143"/>
      <c r="Z691" s="143"/>
      <c r="AA691" s="145"/>
      <c r="AB691" s="145"/>
      <c r="AC691" s="141"/>
      <c r="AD691" s="141"/>
      <c r="AE691" s="141"/>
    </row>
    <row r="692" spans="1:337" ht="15" thickBot="1" x14ac:dyDescent="0.4">
      <c r="A692" s="45" t="s">
        <v>31</v>
      </c>
      <c r="B692" s="45" t="s">
        <v>38</v>
      </c>
      <c r="C692" s="46">
        <v>46336</v>
      </c>
      <c r="D692" s="47"/>
      <c r="E692" s="47"/>
      <c r="F692" s="47"/>
      <c r="G692" s="142"/>
      <c r="H692" s="142"/>
      <c r="I692" s="142"/>
      <c r="J692" s="142"/>
      <c r="K692" s="142"/>
      <c r="L692" s="47">
        <v>2</v>
      </c>
      <c r="M692" s="47"/>
      <c r="N692" s="47"/>
      <c r="O692" s="47"/>
      <c r="P692" s="47"/>
      <c r="Q692" s="47"/>
      <c r="R692" s="47"/>
      <c r="S692" s="47"/>
      <c r="T692" s="144"/>
      <c r="U692" s="144"/>
      <c r="V692" s="45"/>
      <c r="W692" s="45"/>
      <c r="X692" s="47"/>
      <c r="Y692" s="144"/>
      <c r="Z692" s="144"/>
      <c r="AA692" s="146"/>
      <c r="AB692" s="146"/>
      <c r="AC692" s="142"/>
      <c r="AD692" s="142"/>
      <c r="AE692" s="142"/>
    </row>
    <row r="693" spans="1:337" s="53" customFormat="1" ht="15" thickBot="1" x14ac:dyDescent="0.4">
      <c r="A693" s="49"/>
      <c r="B693" s="49"/>
      <c r="C693" s="50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49"/>
      <c r="U693" s="49"/>
      <c r="V693" s="49"/>
      <c r="W693" s="49"/>
      <c r="X693" s="51"/>
      <c r="Y693" s="49"/>
      <c r="Z693" s="49"/>
      <c r="AA693" s="52"/>
      <c r="AB693" s="52"/>
      <c r="AC693" s="51"/>
      <c r="AD693" s="51"/>
      <c r="AE693" s="51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/>
      <c r="EX693"/>
      <c r="EY693"/>
      <c r="EZ693"/>
      <c r="FA693"/>
      <c r="FB693"/>
      <c r="FC693"/>
      <c r="FD693"/>
      <c r="FE693"/>
      <c r="FF693"/>
      <c r="FG693"/>
      <c r="FH693"/>
      <c r="FI693"/>
      <c r="FJ693"/>
      <c r="FK693"/>
      <c r="FL693"/>
      <c r="FM693"/>
      <c r="FN693"/>
      <c r="FO693"/>
      <c r="FP693"/>
      <c r="FQ693"/>
      <c r="FR693"/>
      <c r="FS693"/>
      <c r="FT693"/>
      <c r="FU693"/>
      <c r="FV693"/>
      <c r="FW693"/>
      <c r="FX693"/>
      <c r="FY693"/>
      <c r="FZ693"/>
      <c r="GA693"/>
      <c r="GB693"/>
      <c r="GC693"/>
      <c r="GD693"/>
      <c r="GE693"/>
      <c r="GF693"/>
      <c r="GG693"/>
      <c r="GH693"/>
      <c r="GI693"/>
      <c r="GJ693"/>
      <c r="GK693"/>
      <c r="GL693"/>
      <c r="GM693"/>
      <c r="GN693"/>
      <c r="GO693"/>
      <c r="GP693"/>
      <c r="GQ693"/>
      <c r="GR693"/>
      <c r="GS693"/>
      <c r="GT693"/>
      <c r="GU693"/>
      <c r="GV693"/>
      <c r="GW693"/>
      <c r="GX693"/>
      <c r="GY693"/>
      <c r="GZ693"/>
      <c r="HA693"/>
      <c r="HB693"/>
      <c r="HC693"/>
      <c r="HD693"/>
      <c r="HE693"/>
      <c r="HF693"/>
      <c r="HG693"/>
      <c r="HH693"/>
      <c r="HI693"/>
      <c r="HJ693"/>
      <c r="HK693"/>
      <c r="HL693"/>
      <c r="HM693"/>
      <c r="HN693"/>
      <c r="HO693"/>
      <c r="HP693"/>
      <c r="HQ693"/>
      <c r="HR693"/>
      <c r="HS693"/>
      <c r="HT693"/>
      <c r="HU693"/>
      <c r="HV693"/>
      <c r="HW693"/>
      <c r="HX693"/>
      <c r="HY693"/>
      <c r="HZ693"/>
      <c r="IA693"/>
      <c r="IB693"/>
      <c r="IC693"/>
      <c r="ID693"/>
      <c r="IE693"/>
      <c r="IF693"/>
      <c r="IG693"/>
      <c r="IH693"/>
      <c r="II693"/>
      <c r="IJ693"/>
      <c r="IK693"/>
      <c r="IL693"/>
      <c r="IM693"/>
      <c r="IN693"/>
      <c r="IO693"/>
      <c r="IP693"/>
      <c r="IQ693"/>
      <c r="IR693"/>
      <c r="IS693"/>
      <c r="IT693"/>
      <c r="IU693"/>
      <c r="IV693"/>
      <c r="IW693"/>
      <c r="IX693"/>
      <c r="IY693"/>
      <c r="IZ693"/>
      <c r="JA693"/>
      <c r="JB693"/>
      <c r="JC693"/>
      <c r="JD693"/>
      <c r="JE693"/>
      <c r="JF693"/>
      <c r="JG693"/>
      <c r="JH693"/>
      <c r="JI693"/>
      <c r="JJ693"/>
      <c r="JK693"/>
      <c r="JL693"/>
      <c r="JM693"/>
      <c r="JN693"/>
      <c r="JO693"/>
      <c r="JP693"/>
      <c r="JQ693"/>
      <c r="JR693"/>
      <c r="JS693"/>
      <c r="JT693"/>
      <c r="JU693"/>
      <c r="JV693"/>
      <c r="JW693"/>
      <c r="JX693"/>
      <c r="JY693"/>
      <c r="JZ693"/>
      <c r="KA693"/>
      <c r="KB693"/>
      <c r="KC693"/>
      <c r="KD693"/>
      <c r="KE693"/>
      <c r="KF693"/>
      <c r="KG693"/>
      <c r="KH693"/>
      <c r="KI693"/>
      <c r="KJ693"/>
      <c r="KK693"/>
      <c r="KL693"/>
      <c r="KM693"/>
      <c r="KN693"/>
      <c r="KO693"/>
      <c r="KP693"/>
      <c r="KQ693"/>
      <c r="KR693"/>
      <c r="KS693"/>
      <c r="KT693"/>
      <c r="KU693"/>
      <c r="KV693"/>
      <c r="KW693"/>
      <c r="KX693"/>
      <c r="KY693"/>
      <c r="KZ693"/>
      <c r="LA693"/>
      <c r="LB693"/>
      <c r="LC693"/>
      <c r="LD693"/>
      <c r="LE693"/>
      <c r="LF693"/>
      <c r="LG693"/>
      <c r="LH693"/>
      <c r="LI693"/>
      <c r="LJ693"/>
      <c r="LK693"/>
      <c r="LL693"/>
      <c r="LM693"/>
      <c r="LN693"/>
      <c r="LO693"/>
      <c r="LP693"/>
      <c r="LQ693"/>
      <c r="LR693"/>
      <c r="LS693"/>
      <c r="LT693"/>
      <c r="LU693"/>
      <c r="LV693"/>
      <c r="LW693"/>
      <c r="LX693"/>
      <c r="LY693"/>
    </row>
    <row r="694" spans="1:337" x14ac:dyDescent="0.35">
      <c r="A694" s="41" t="s">
        <v>31</v>
      </c>
      <c r="B694" s="41" t="s">
        <v>32</v>
      </c>
      <c r="C694" s="42">
        <v>46337</v>
      </c>
      <c r="D694" s="43">
        <v>0</v>
      </c>
      <c r="E694" s="43">
        <v>20</v>
      </c>
      <c r="F694" s="43">
        <v>20</v>
      </c>
      <c r="G694" s="43">
        <v>28</v>
      </c>
      <c r="H694" s="43">
        <v>40</v>
      </c>
      <c r="I694" s="43">
        <v>10</v>
      </c>
      <c r="J694" s="43">
        <v>21449</v>
      </c>
      <c r="K694" s="43">
        <f>SUM(L694:L696)</f>
        <v>6</v>
      </c>
      <c r="L694" s="43">
        <v>2</v>
      </c>
      <c r="M694" s="43"/>
      <c r="N694" s="43">
        <v>4</v>
      </c>
      <c r="O694" s="43">
        <v>3</v>
      </c>
      <c r="P694" s="43">
        <v>7</v>
      </c>
      <c r="Q694" s="43">
        <v>6</v>
      </c>
      <c r="R694" s="43">
        <v>9</v>
      </c>
      <c r="S694" s="43">
        <v>9</v>
      </c>
      <c r="T694" s="43">
        <v>25</v>
      </c>
      <c r="U694" s="43">
        <v>4</v>
      </c>
      <c r="V694" s="41" t="s">
        <v>33</v>
      </c>
      <c r="W694" s="41" t="s">
        <v>34</v>
      </c>
      <c r="X694" s="41">
        <v>1</v>
      </c>
      <c r="Y694" s="41">
        <v>3</v>
      </c>
      <c r="Z694" s="41">
        <v>322</v>
      </c>
      <c r="AA694" s="44">
        <v>34</v>
      </c>
      <c r="AB694" s="44">
        <v>34</v>
      </c>
      <c r="AC694" s="43">
        <v>45</v>
      </c>
      <c r="AD694" s="43">
        <v>30</v>
      </c>
      <c r="AE694" s="43">
        <v>45</v>
      </c>
    </row>
    <row r="695" spans="1:337" x14ac:dyDescent="0.35">
      <c r="A695" s="32" t="s">
        <v>31</v>
      </c>
      <c r="B695" s="32" t="s">
        <v>35</v>
      </c>
      <c r="C695" s="33">
        <v>46337</v>
      </c>
      <c r="D695" s="34">
        <v>13</v>
      </c>
      <c r="E695" s="34">
        <v>24</v>
      </c>
      <c r="F695" s="34">
        <v>25</v>
      </c>
      <c r="G695" s="141"/>
      <c r="H695" s="141"/>
      <c r="I695" s="141"/>
      <c r="J695" s="141"/>
      <c r="K695" s="141"/>
      <c r="L695" s="34">
        <v>2</v>
      </c>
      <c r="M695" s="34">
        <v>5</v>
      </c>
      <c r="N695" s="34">
        <v>4</v>
      </c>
      <c r="O695" s="34">
        <v>4</v>
      </c>
      <c r="P695" s="32">
        <v>7</v>
      </c>
      <c r="Q695" s="32">
        <v>7</v>
      </c>
      <c r="R695" s="32">
        <v>8</v>
      </c>
      <c r="S695" s="32">
        <v>6</v>
      </c>
      <c r="T695" s="143"/>
      <c r="U695" s="143"/>
      <c r="V695" s="32" t="s">
        <v>36</v>
      </c>
      <c r="W695" s="32" t="s">
        <v>37</v>
      </c>
      <c r="X695" s="32">
        <v>1</v>
      </c>
      <c r="Y695" s="143"/>
      <c r="Z695" s="143"/>
      <c r="AA695" s="145"/>
      <c r="AB695" s="145"/>
      <c r="AC695" s="141"/>
      <c r="AD695" s="141"/>
      <c r="AE695" s="141"/>
    </row>
    <row r="696" spans="1:337" ht="15" thickBot="1" x14ac:dyDescent="0.4">
      <c r="A696" s="45" t="s">
        <v>31</v>
      </c>
      <c r="B696" s="45" t="s">
        <v>38</v>
      </c>
      <c r="C696" s="46">
        <v>46337</v>
      </c>
      <c r="D696" s="47"/>
      <c r="E696" s="47"/>
      <c r="F696" s="47"/>
      <c r="G696" s="142"/>
      <c r="H696" s="142"/>
      <c r="I696" s="142"/>
      <c r="J696" s="142"/>
      <c r="K696" s="142"/>
      <c r="L696" s="47">
        <v>2</v>
      </c>
      <c r="M696" s="47"/>
      <c r="N696" s="47"/>
      <c r="O696" s="47"/>
      <c r="P696" s="47"/>
      <c r="Q696" s="47"/>
      <c r="R696" s="47"/>
      <c r="S696" s="47"/>
      <c r="T696" s="144"/>
      <c r="U696" s="144"/>
      <c r="V696" s="45"/>
      <c r="W696" s="45"/>
      <c r="X696" s="47"/>
      <c r="Y696" s="144"/>
      <c r="Z696" s="144"/>
      <c r="AA696" s="146"/>
      <c r="AB696" s="146"/>
      <c r="AC696" s="142"/>
      <c r="AD696" s="142"/>
      <c r="AE696" s="142"/>
    </row>
    <row r="697" spans="1:337" s="53" customFormat="1" ht="15" thickBot="1" x14ac:dyDescent="0.4">
      <c r="A697" s="49"/>
      <c r="B697" s="49"/>
      <c r="C697" s="50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49"/>
      <c r="U697" s="49"/>
      <c r="V697" s="49"/>
      <c r="W697" s="49"/>
      <c r="X697" s="51"/>
      <c r="Y697" s="49"/>
      <c r="Z697" s="49"/>
      <c r="AA697" s="52"/>
      <c r="AB697" s="52"/>
      <c r="AC697" s="51"/>
      <c r="AD697" s="51"/>
      <c r="AE697" s="51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/>
      <c r="FH697"/>
      <c r="FI697"/>
      <c r="FJ697"/>
      <c r="FK697"/>
      <c r="FL697"/>
      <c r="FM697"/>
      <c r="FN697"/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/>
      <c r="GD697"/>
      <c r="GE697"/>
      <c r="GF697"/>
      <c r="GG697"/>
      <c r="GH697"/>
      <c r="GI697"/>
      <c r="GJ697"/>
      <c r="GK697"/>
      <c r="GL697"/>
      <c r="GM697"/>
      <c r="GN697"/>
      <c r="GO697"/>
      <c r="GP697"/>
      <c r="GQ697"/>
      <c r="GR697"/>
      <c r="GS697"/>
      <c r="GT697"/>
      <c r="GU697"/>
      <c r="GV697"/>
      <c r="GW697"/>
      <c r="GX697"/>
      <c r="GY697"/>
      <c r="GZ697"/>
      <c r="HA697"/>
      <c r="HB697"/>
      <c r="HC697"/>
      <c r="HD697"/>
      <c r="HE697"/>
      <c r="HF697"/>
      <c r="HG697"/>
      <c r="HH697"/>
      <c r="HI697"/>
      <c r="HJ697"/>
      <c r="HK697"/>
      <c r="HL697"/>
      <c r="HM697"/>
      <c r="HN697"/>
      <c r="HO697"/>
      <c r="HP697"/>
      <c r="HQ697"/>
      <c r="HR697"/>
      <c r="HS697"/>
      <c r="HT697"/>
      <c r="HU697"/>
      <c r="HV697"/>
      <c r="HW697"/>
      <c r="HX697"/>
      <c r="HY697"/>
      <c r="HZ697"/>
      <c r="IA697"/>
      <c r="IB697"/>
      <c r="IC697"/>
      <c r="ID697"/>
      <c r="IE697"/>
      <c r="IF697"/>
      <c r="IG697"/>
      <c r="IH697"/>
      <c r="II697"/>
      <c r="IJ697"/>
      <c r="IK697"/>
      <c r="IL697"/>
      <c r="IM697"/>
      <c r="IN697"/>
      <c r="IO697"/>
      <c r="IP697"/>
      <c r="IQ697"/>
      <c r="IR697"/>
      <c r="IS697"/>
      <c r="IT697"/>
      <c r="IU697"/>
      <c r="IV697"/>
      <c r="IW697"/>
      <c r="IX697"/>
      <c r="IY697"/>
      <c r="IZ697"/>
      <c r="JA697"/>
      <c r="JB697"/>
      <c r="JC697"/>
      <c r="JD697"/>
      <c r="JE697"/>
      <c r="JF697"/>
      <c r="JG697"/>
      <c r="JH697"/>
      <c r="JI697"/>
      <c r="JJ697"/>
      <c r="JK697"/>
      <c r="JL697"/>
      <c r="JM697"/>
      <c r="JN697"/>
      <c r="JO697"/>
      <c r="JP697"/>
      <c r="JQ697"/>
      <c r="JR697"/>
      <c r="JS697"/>
      <c r="JT697"/>
      <c r="JU697"/>
      <c r="JV697"/>
      <c r="JW697"/>
      <c r="JX697"/>
      <c r="JY697"/>
      <c r="JZ697"/>
      <c r="KA697"/>
      <c r="KB697"/>
      <c r="KC697"/>
      <c r="KD697"/>
      <c r="KE697"/>
      <c r="KF697"/>
      <c r="KG697"/>
      <c r="KH697"/>
      <c r="KI697"/>
      <c r="KJ697"/>
      <c r="KK697"/>
      <c r="KL697"/>
      <c r="KM697"/>
      <c r="KN697"/>
      <c r="KO697"/>
      <c r="KP697"/>
      <c r="KQ697"/>
      <c r="KR697"/>
      <c r="KS697"/>
      <c r="KT697"/>
      <c r="KU697"/>
      <c r="KV697"/>
      <c r="KW697"/>
      <c r="KX697"/>
      <c r="KY697"/>
      <c r="KZ697"/>
      <c r="LA697"/>
      <c r="LB697"/>
      <c r="LC697"/>
      <c r="LD697"/>
      <c r="LE697"/>
      <c r="LF697"/>
      <c r="LG697"/>
      <c r="LH697"/>
      <c r="LI697"/>
      <c r="LJ697"/>
      <c r="LK697"/>
      <c r="LL697"/>
      <c r="LM697"/>
      <c r="LN697"/>
      <c r="LO697"/>
      <c r="LP697"/>
      <c r="LQ697"/>
      <c r="LR697"/>
      <c r="LS697"/>
      <c r="LT697"/>
      <c r="LU697"/>
      <c r="LV697"/>
      <c r="LW697"/>
      <c r="LX697"/>
      <c r="LY697"/>
    </row>
    <row r="698" spans="1:337" x14ac:dyDescent="0.35">
      <c r="A698" s="41" t="s">
        <v>31</v>
      </c>
      <c r="B698" s="41" t="s">
        <v>32</v>
      </c>
      <c r="C698" s="42">
        <v>46338</v>
      </c>
      <c r="D698" s="43">
        <v>0</v>
      </c>
      <c r="E698" s="43">
        <v>20</v>
      </c>
      <c r="F698" s="43">
        <v>20</v>
      </c>
      <c r="G698" s="43">
        <v>28</v>
      </c>
      <c r="H698" s="43">
        <v>40</v>
      </c>
      <c r="I698" s="43">
        <v>10</v>
      </c>
      <c r="J698" s="43">
        <v>21449</v>
      </c>
      <c r="K698" s="43">
        <f>SUM(L698:L700)</f>
        <v>6</v>
      </c>
      <c r="L698" s="43">
        <v>2</v>
      </c>
      <c r="M698" s="43"/>
      <c r="N698" s="43">
        <v>4</v>
      </c>
      <c r="O698" s="43">
        <v>3</v>
      </c>
      <c r="P698" s="43">
        <v>7</v>
      </c>
      <c r="Q698" s="43">
        <v>6</v>
      </c>
      <c r="R698" s="43">
        <v>9</v>
      </c>
      <c r="S698" s="43">
        <v>9</v>
      </c>
      <c r="T698" s="43">
        <v>25</v>
      </c>
      <c r="U698" s="43">
        <v>4</v>
      </c>
      <c r="V698" s="41" t="s">
        <v>33</v>
      </c>
      <c r="W698" s="41" t="s">
        <v>34</v>
      </c>
      <c r="X698" s="41">
        <v>1</v>
      </c>
      <c r="Y698" s="41">
        <v>3</v>
      </c>
      <c r="Z698" s="41">
        <v>322</v>
      </c>
      <c r="AA698" s="44">
        <v>34</v>
      </c>
      <c r="AB698" s="44">
        <v>34</v>
      </c>
      <c r="AC698" s="43">
        <v>45</v>
      </c>
      <c r="AD698" s="43">
        <v>30</v>
      </c>
      <c r="AE698" s="43">
        <v>45</v>
      </c>
    </row>
    <row r="699" spans="1:337" x14ac:dyDescent="0.35">
      <c r="A699" s="32" t="s">
        <v>31</v>
      </c>
      <c r="B699" s="32" t="s">
        <v>35</v>
      </c>
      <c r="C699" s="33">
        <v>46338</v>
      </c>
      <c r="D699" s="34">
        <v>13</v>
      </c>
      <c r="E699" s="34">
        <v>24</v>
      </c>
      <c r="F699" s="34">
        <v>25</v>
      </c>
      <c r="G699" s="141"/>
      <c r="H699" s="141"/>
      <c r="I699" s="141"/>
      <c r="J699" s="141"/>
      <c r="K699" s="141"/>
      <c r="L699" s="34">
        <v>2</v>
      </c>
      <c r="M699" s="34">
        <v>5</v>
      </c>
      <c r="N699" s="34">
        <v>4</v>
      </c>
      <c r="O699" s="34">
        <v>4</v>
      </c>
      <c r="P699" s="32">
        <v>7</v>
      </c>
      <c r="Q699" s="32">
        <v>7</v>
      </c>
      <c r="R699" s="32">
        <v>8</v>
      </c>
      <c r="S699" s="32">
        <v>6</v>
      </c>
      <c r="T699" s="143"/>
      <c r="U699" s="143"/>
      <c r="V699" s="32" t="s">
        <v>36</v>
      </c>
      <c r="W699" s="32" t="s">
        <v>37</v>
      </c>
      <c r="X699" s="32">
        <v>1</v>
      </c>
      <c r="Y699" s="143"/>
      <c r="Z699" s="143"/>
      <c r="AA699" s="145"/>
      <c r="AB699" s="145"/>
      <c r="AC699" s="141"/>
      <c r="AD699" s="141"/>
      <c r="AE699" s="141"/>
    </row>
    <row r="700" spans="1:337" ht="15" thickBot="1" x14ac:dyDescent="0.4">
      <c r="A700" s="45" t="s">
        <v>31</v>
      </c>
      <c r="B700" s="45" t="s">
        <v>38</v>
      </c>
      <c r="C700" s="46">
        <v>46338</v>
      </c>
      <c r="D700" s="47"/>
      <c r="E700" s="47"/>
      <c r="F700" s="47"/>
      <c r="G700" s="142"/>
      <c r="H700" s="142"/>
      <c r="I700" s="142"/>
      <c r="J700" s="142"/>
      <c r="K700" s="142"/>
      <c r="L700" s="47">
        <v>2</v>
      </c>
      <c r="M700" s="47"/>
      <c r="N700" s="47"/>
      <c r="O700" s="47"/>
      <c r="P700" s="47"/>
      <c r="Q700" s="47"/>
      <c r="R700" s="47"/>
      <c r="S700" s="47"/>
      <c r="T700" s="144"/>
      <c r="U700" s="144"/>
      <c r="V700" s="45"/>
      <c r="W700" s="45"/>
      <c r="X700" s="47"/>
      <c r="Y700" s="144"/>
      <c r="Z700" s="144"/>
      <c r="AA700" s="146"/>
      <c r="AB700" s="146"/>
      <c r="AC700" s="142"/>
      <c r="AD700" s="142"/>
      <c r="AE700" s="142"/>
    </row>
    <row r="701" spans="1:337" s="53" customFormat="1" ht="15" thickBot="1" x14ac:dyDescent="0.4">
      <c r="A701" s="49"/>
      <c r="B701" s="49"/>
      <c r="C701" s="50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49"/>
      <c r="U701" s="49"/>
      <c r="V701" s="49"/>
      <c r="W701" s="49"/>
      <c r="X701" s="51"/>
      <c r="Y701" s="49"/>
      <c r="Z701" s="49"/>
      <c r="AA701" s="52"/>
      <c r="AB701" s="52"/>
      <c r="AC701" s="51"/>
      <c r="AD701" s="51"/>
      <c r="AE701" s="5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/>
      <c r="EU701"/>
      <c r="EV701"/>
      <c r="EW701"/>
      <c r="EX701"/>
      <c r="EY701"/>
      <c r="EZ701"/>
      <c r="FA701"/>
      <c r="FB701"/>
      <c r="FC701"/>
      <c r="FD701"/>
      <c r="FE701"/>
      <c r="FF701"/>
      <c r="FG701"/>
      <c r="FH701"/>
      <c r="FI701"/>
      <c r="FJ701"/>
      <c r="FK701"/>
      <c r="FL701"/>
      <c r="FM701"/>
      <c r="FN701"/>
      <c r="FO701"/>
      <c r="FP701"/>
      <c r="FQ701"/>
      <c r="FR701"/>
      <c r="FS701"/>
      <c r="FT701"/>
      <c r="FU701"/>
      <c r="FV701"/>
      <c r="FW701"/>
      <c r="FX701"/>
      <c r="FY701"/>
      <c r="FZ701"/>
      <c r="GA701"/>
      <c r="GB701"/>
      <c r="GC701"/>
      <c r="GD701"/>
      <c r="GE701"/>
      <c r="GF701"/>
      <c r="GG701"/>
      <c r="GH701"/>
      <c r="GI701"/>
      <c r="GJ701"/>
      <c r="GK701"/>
      <c r="GL701"/>
      <c r="GM701"/>
      <c r="GN701"/>
      <c r="GO701"/>
      <c r="GP701"/>
      <c r="GQ701"/>
      <c r="GR701"/>
      <c r="GS701"/>
      <c r="GT701"/>
      <c r="GU701"/>
      <c r="GV701"/>
      <c r="GW701"/>
      <c r="GX701"/>
      <c r="GY701"/>
      <c r="GZ701"/>
      <c r="HA701"/>
      <c r="HB701"/>
      <c r="HC701"/>
      <c r="HD701"/>
      <c r="HE701"/>
      <c r="HF701"/>
      <c r="HG701"/>
      <c r="HH701"/>
      <c r="HI701"/>
      <c r="HJ701"/>
      <c r="HK701"/>
      <c r="HL701"/>
      <c r="HM701"/>
      <c r="HN701"/>
      <c r="HO701"/>
      <c r="HP701"/>
      <c r="HQ701"/>
      <c r="HR701"/>
      <c r="HS701"/>
      <c r="HT701"/>
      <c r="HU701"/>
      <c r="HV701"/>
      <c r="HW701"/>
      <c r="HX701"/>
      <c r="HY701"/>
      <c r="HZ701"/>
      <c r="IA701"/>
      <c r="IB701"/>
      <c r="IC701"/>
      <c r="ID701"/>
      <c r="IE701"/>
      <c r="IF701"/>
      <c r="IG701"/>
      <c r="IH701"/>
      <c r="II701"/>
      <c r="IJ701"/>
      <c r="IK701"/>
      <c r="IL701"/>
      <c r="IM701"/>
      <c r="IN701"/>
      <c r="IO701"/>
      <c r="IP701"/>
      <c r="IQ701"/>
      <c r="IR701"/>
      <c r="IS701"/>
      <c r="IT701"/>
      <c r="IU701"/>
      <c r="IV701"/>
      <c r="IW701"/>
      <c r="IX701"/>
      <c r="IY701"/>
      <c r="IZ701"/>
      <c r="JA701"/>
      <c r="JB701"/>
      <c r="JC701"/>
      <c r="JD701"/>
      <c r="JE701"/>
      <c r="JF701"/>
      <c r="JG701"/>
      <c r="JH701"/>
      <c r="JI701"/>
      <c r="JJ701"/>
      <c r="JK701"/>
      <c r="JL701"/>
      <c r="JM701"/>
      <c r="JN701"/>
      <c r="JO701"/>
      <c r="JP701"/>
      <c r="JQ701"/>
      <c r="JR701"/>
      <c r="JS701"/>
      <c r="JT701"/>
      <c r="JU701"/>
      <c r="JV701"/>
      <c r="JW701"/>
      <c r="JX701"/>
      <c r="JY701"/>
      <c r="JZ701"/>
      <c r="KA701"/>
      <c r="KB701"/>
      <c r="KC701"/>
      <c r="KD701"/>
      <c r="KE701"/>
      <c r="KF701"/>
      <c r="KG701"/>
      <c r="KH701"/>
      <c r="KI701"/>
      <c r="KJ701"/>
      <c r="KK701"/>
      <c r="KL701"/>
      <c r="KM701"/>
      <c r="KN701"/>
      <c r="KO701"/>
      <c r="KP701"/>
      <c r="KQ701"/>
      <c r="KR701"/>
      <c r="KS701"/>
      <c r="KT701"/>
      <c r="KU701"/>
      <c r="KV701"/>
      <c r="KW701"/>
      <c r="KX701"/>
      <c r="KY701"/>
      <c r="KZ701"/>
      <c r="LA701"/>
      <c r="LB701"/>
      <c r="LC701"/>
      <c r="LD701"/>
      <c r="LE701"/>
      <c r="LF701"/>
      <c r="LG701"/>
      <c r="LH701"/>
      <c r="LI701"/>
      <c r="LJ701"/>
      <c r="LK701"/>
      <c r="LL701"/>
      <c r="LM701"/>
      <c r="LN701"/>
      <c r="LO701"/>
      <c r="LP701"/>
      <c r="LQ701"/>
      <c r="LR701"/>
      <c r="LS701"/>
      <c r="LT701"/>
      <c r="LU701"/>
      <c r="LV701"/>
      <c r="LW701"/>
      <c r="LX701"/>
      <c r="LY701"/>
    </row>
    <row r="702" spans="1:337" x14ac:dyDescent="0.35">
      <c r="A702" s="41" t="s">
        <v>31</v>
      </c>
      <c r="B702" s="41" t="s">
        <v>32</v>
      </c>
      <c r="C702" s="42">
        <v>46339</v>
      </c>
      <c r="D702" s="43">
        <v>0</v>
      </c>
      <c r="E702" s="43">
        <v>20</v>
      </c>
      <c r="F702" s="43">
        <v>20</v>
      </c>
      <c r="G702" s="43">
        <v>28</v>
      </c>
      <c r="H702" s="43">
        <v>40</v>
      </c>
      <c r="I702" s="43">
        <v>10</v>
      </c>
      <c r="J702" s="43">
        <v>21449</v>
      </c>
      <c r="K702" s="43">
        <f>SUM(L702:L704)</f>
        <v>6</v>
      </c>
      <c r="L702" s="43">
        <v>2</v>
      </c>
      <c r="M702" s="43"/>
      <c r="N702" s="43">
        <v>4</v>
      </c>
      <c r="O702" s="43">
        <v>3</v>
      </c>
      <c r="P702" s="43">
        <v>7</v>
      </c>
      <c r="Q702" s="43">
        <v>6</v>
      </c>
      <c r="R702" s="43">
        <v>9</v>
      </c>
      <c r="S702" s="43">
        <v>9</v>
      </c>
      <c r="T702" s="43">
        <v>25</v>
      </c>
      <c r="U702" s="43">
        <v>4</v>
      </c>
      <c r="V702" s="41" t="s">
        <v>33</v>
      </c>
      <c r="W702" s="41" t="s">
        <v>34</v>
      </c>
      <c r="X702" s="41">
        <v>1</v>
      </c>
      <c r="Y702" s="41">
        <v>3</v>
      </c>
      <c r="Z702" s="41">
        <v>322</v>
      </c>
      <c r="AA702" s="44">
        <v>34</v>
      </c>
      <c r="AB702" s="44">
        <v>34</v>
      </c>
      <c r="AC702" s="43">
        <v>45</v>
      </c>
      <c r="AD702" s="43">
        <v>30</v>
      </c>
      <c r="AE702" s="43">
        <v>45</v>
      </c>
    </row>
    <row r="703" spans="1:337" x14ac:dyDescent="0.35">
      <c r="A703" s="32" t="s">
        <v>31</v>
      </c>
      <c r="B703" s="32" t="s">
        <v>35</v>
      </c>
      <c r="C703" s="33">
        <v>46339</v>
      </c>
      <c r="D703" s="34">
        <v>13</v>
      </c>
      <c r="E703" s="34">
        <v>24</v>
      </c>
      <c r="F703" s="34">
        <v>25</v>
      </c>
      <c r="G703" s="141"/>
      <c r="H703" s="141"/>
      <c r="I703" s="141"/>
      <c r="J703" s="141"/>
      <c r="K703" s="141"/>
      <c r="L703" s="34">
        <v>2</v>
      </c>
      <c r="M703" s="34">
        <v>5</v>
      </c>
      <c r="N703" s="34">
        <v>4</v>
      </c>
      <c r="O703" s="34">
        <v>4</v>
      </c>
      <c r="P703" s="32">
        <v>7</v>
      </c>
      <c r="Q703" s="32">
        <v>7</v>
      </c>
      <c r="R703" s="32">
        <v>8</v>
      </c>
      <c r="S703" s="32">
        <v>6</v>
      </c>
      <c r="T703" s="143"/>
      <c r="U703" s="143"/>
      <c r="V703" s="32" t="s">
        <v>36</v>
      </c>
      <c r="W703" s="32" t="s">
        <v>37</v>
      </c>
      <c r="X703" s="32">
        <v>1</v>
      </c>
      <c r="Y703" s="143"/>
      <c r="Z703" s="143"/>
      <c r="AA703" s="145"/>
      <c r="AB703" s="145"/>
      <c r="AC703" s="141"/>
      <c r="AD703" s="141"/>
      <c r="AE703" s="141"/>
    </row>
    <row r="704" spans="1:337" ht="15" thickBot="1" x14ac:dyDescent="0.4">
      <c r="A704" s="45" t="s">
        <v>31</v>
      </c>
      <c r="B704" s="45" t="s">
        <v>38</v>
      </c>
      <c r="C704" s="46">
        <v>46339</v>
      </c>
      <c r="D704" s="47"/>
      <c r="E704" s="47"/>
      <c r="F704" s="47"/>
      <c r="G704" s="142"/>
      <c r="H704" s="142"/>
      <c r="I704" s="142"/>
      <c r="J704" s="142"/>
      <c r="K704" s="142"/>
      <c r="L704" s="47">
        <v>2</v>
      </c>
      <c r="M704" s="47"/>
      <c r="N704" s="47"/>
      <c r="O704" s="47"/>
      <c r="P704" s="47"/>
      <c r="Q704" s="47"/>
      <c r="R704" s="47"/>
      <c r="S704" s="47"/>
      <c r="T704" s="144"/>
      <c r="U704" s="144"/>
      <c r="V704" s="45"/>
      <c r="W704" s="45"/>
      <c r="X704" s="47"/>
      <c r="Y704" s="144"/>
      <c r="Z704" s="144"/>
      <c r="AA704" s="146"/>
      <c r="AB704" s="146"/>
      <c r="AC704" s="142"/>
      <c r="AD704" s="142"/>
      <c r="AE704" s="142"/>
    </row>
    <row r="705" spans="1:337" s="53" customFormat="1" ht="15" thickBot="1" x14ac:dyDescent="0.4">
      <c r="A705" s="49"/>
      <c r="B705" s="49"/>
      <c r="C705" s="50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49"/>
      <c r="U705" s="49"/>
      <c r="V705" s="49"/>
      <c r="W705" s="49"/>
      <c r="X705" s="51"/>
      <c r="Y705" s="49"/>
      <c r="Z705" s="49"/>
      <c r="AA705" s="52"/>
      <c r="AB705" s="52"/>
      <c r="AC705" s="51"/>
      <c r="AD705" s="51"/>
      <c r="AE705" s="51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  <c r="EW705"/>
      <c r="EX705"/>
      <c r="EY705"/>
      <c r="EZ705"/>
      <c r="FA705"/>
      <c r="FB705"/>
      <c r="FC705"/>
      <c r="FD705"/>
      <c r="FE705"/>
      <c r="FF705"/>
      <c r="FG705"/>
      <c r="FH705"/>
      <c r="FI705"/>
      <c r="FJ705"/>
      <c r="FK705"/>
      <c r="FL705"/>
      <c r="FM705"/>
      <c r="FN705"/>
      <c r="FO705"/>
      <c r="FP705"/>
      <c r="FQ705"/>
      <c r="FR705"/>
      <c r="FS705"/>
      <c r="FT705"/>
      <c r="FU705"/>
      <c r="FV705"/>
      <c r="FW705"/>
      <c r="FX705"/>
      <c r="FY705"/>
      <c r="FZ705"/>
      <c r="GA705"/>
      <c r="GB705"/>
      <c r="GC705"/>
      <c r="GD705"/>
      <c r="GE705"/>
      <c r="GF705"/>
      <c r="GG705"/>
      <c r="GH705"/>
      <c r="GI705"/>
      <c r="GJ705"/>
      <c r="GK705"/>
      <c r="GL705"/>
      <c r="GM705"/>
      <c r="GN705"/>
      <c r="GO705"/>
      <c r="GP705"/>
      <c r="GQ705"/>
      <c r="GR705"/>
      <c r="GS705"/>
      <c r="GT705"/>
      <c r="GU705"/>
      <c r="GV705"/>
      <c r="GW705"/>
      <c r="GX705"/>
      <c r="GY705"/>
      <c r="GZ705"/>
      <c r="HA705"/>
      <c r="HB705"/>
      <c r="HC705"/>
      <c r="HD705"/>
      <c r="HE705"/>
      <c r="HF705"/>
      <c r="HG705"/>
      <c r="HH705"/>
      <c r="HI705"/>
      <c r="HJ705"/>
      <c r="HK705"/>
      <c r="HL705"/>
      <c r="HM705"/>
      <c r="HN705"/>
      <c r="HO705"/>
      <c r="HP705"/>
      <c r="HQ705"/>
      <c r="HR705"/>
      <c r="HS705"/>
      <c r="HT705"/>
      <c r="HU705"/>
      <c r="HV705"/>
      <c r="HW705"/>
      <c r="HX705"/>
      <c r="HY705"/>
      <c r="HZ705"/>
      <c r="IA705"/>
      <c r="IB705"/>
      <c r="IC705"/>
      <c r="ID705"/>
      <c r="IE705"/>
      <c r="IF705"/>
      <c r="IG705"/>
      <c r="IH705"/>
      <c r="II705"/>
      <c r="IJ705"/>
      <c r="IK705"/>
      <c r="IL705"/>
      <c r="IM705"/>
      <c r="IN705"/>
      <c r="IO705"/>
      <c r="IP705"/>
      <c r="IQ705"/>
      <c r="IR705"/>
      <c r="IS705"/>
      <c r="IT705"/>
      <c r="IU705"/>
      <c r="IV705"/>
      <c r="IW705"/>
      <c r="IX705"/>
      <c r="IY705"/>
      <c r="IZ705"/>
      <c r="JA705"/>
      <c r="JB705"/>
      <c r="JC705"/>
      <c r="JD705"/>
      <c r="JE705"/>
      <c r="JF705"/>
      <c r="JG705"/>
      <c r="JH705"/>
      <c r="JI705"/>
      <c r="JJ705"/>
      <c r="JK705"/>
      <c r="JL705"/>
      <c r="JM705"/>
      <c r="JN705"/>
      <c r="JO705"/>
      <c r="JP705"/>
      <c r="JQ705"/>
      <c r="JR705"/>
      <c r="JS705"/>
      <c r="JT705"/>
      <c r="JU705"/>
      <c r="JV705"/>
      <c r="JW705"/>
      <c r="JX705"/>
      <c r="JY705"/>
      <c r="JZ705"/>
      <c r="KA705"/>
      <c r="KB705"/>
      <c r="KC705"/>
      <c r="KD705"/>
      <c r="KE705"/>
      <c r="KF705"/>
      <c r="KG705"/>
      <c r="KH705"/>
      <c r="KI705"/>
      <c r="KJ705"/>
      <c r="KK705"/>
      <c r="KL705"/>
      <c r="KM705"/>
      <c r="KN705"/>
      <c r="KO705"/>
      <c r="KP705"/>
      <c r="KQ705"/>
      <c r="KR705"/>
      <c r="KS705"/>
      <c r="KT705"/>
      <c r="KU705"/>
      <c r="KV705"/>
      <c r="KW705"/>
      <c r="KX705"/>
      <c r="KY705"/>
      <c r="KZ705"/>
      <c r="LA705"/>
      <c r="LB705"/>
      <c r="LC705"/>
      <c r="LD705"/>
      <c r="LE705"/>
      <c r="LF705"/>
      <c r="LG705"/>
      <c r="LH705"/>
      <c r="LI705"/>
      <c r="LJ705"/>
      <c r="LK705"/>
      <c r="LL705"/>
      <c r="LM705"/>
      <c r="LN705"/>
      <c r="LO705"/>
      <c r="LP705"/>
      <c r="LQ705"/>
      <c r="LR705"/>
      <c r="LS705"/>
      <c r="LT705"/>
      <c r="LU705"/>
      <c r="LV705"/>
      <c r="LW705"/>
      <c r="LX705"/>
      <c r="LY705"/>
    </row>
    <row r="706" spans="1:337" x14ac:dyDescent="0.35">
      <c r="A706" s="41" t="s">
        <v>31</v>
      </c>
      <c r="B706" s="41" t="s">
        <v>32</v>
      </c>
      <c r="C706" s="42">
        <v>46342</v>
      </c>
      <c r="D706" s="43">
        <v>0</v>
      </c>
      <c r="E706" s="43">
        <v>20</v>
      </c>
      <c r="F706" s="43">
        <v>20</v>
      </c>
      <c r="G706" s="43">
        <v>28</v>
      </c>
      <c r="H706" s="43">
        <v>40</v>
      </c>
      <c r="I706" s="43">
        <v>10</v>
      </c>
      <c r="J706" s="43">
        <v>21449</v>
      </c>
      <c r="K706" s="43">
        <f>SUM(L706:L708)</f>
        <v>6</v>
      </c>
      <c r="L706" s="43">
        <v>2</v>
      </c>
      <c r="M706" s="43"/>
      <c r="N706" s="43">
        <v>4</v>
      </c>
      <c r="O706" s="43">
        <v>3</v>
      </c>
      <c r="P706" s="43">
        <v>7</v>
      </c>
      <c r="Q706" s="43">
        <v>6</v>
      </c>
      <c r="R706" s="43">
        <v>9</v>
      </c>
      <c r="S706" s="43">
        <v>9</v>
      </c>
      <c r="T706" s="43">
        <v>25</v>
      </c>
      <c r="U706" s="43">
        <v>4</v>
      </c>
      <c r="V706" s="41" t="s">
        <v>33</v>
      </c>
      <c r="W706" s="41" t="s">
        <v>34</v>
      </c>
      <c r="X706" s="41">
        <v>1</v>
      </c>
      <c r="Y706" s="41">
        <v>3</v>
      </c>
      <c r="Z706" s="41">
        <v>322</v>
      </c>
      <c r="AA706" s="44">
        <v>34</v>
      </c>
      <c r="AB706" s="44">
        <v>34</v>
      </c>
      <c r="AC706" s="43">
        <v>45</v>
      </c>
      <c r="AD706" s="43">
        <v>30</v>
      </c>
      <c r="AE706" s="43">
        <v>45</v>
      </c>
    </row>
    <row r="707" spans="1:337" x14ac:dyDescent="0.35">
      <c r="A707" s="32" t="s">
        <v>31</v>
      </c>
      <c r="B707" s="32" t="s">
        <v>35</v>
      </c>
      <c r="C707" s="33">
        <v>46342</v>
      </c>
      <c r="D707" s="34">
        <v>13</v>
      </c>
      <c r="E707" s="34">
        <v>24</v>
      </c>
      <c r="F707" s="34">
        <v>25</v>
      </c>
      <c r="G707" s="141"/>
      <c r="H707" s="141"/>
      <c r="I707" s="141"/>
      <c r="J707" s="141"/>
      <c r="K707" s="141"/>
      <c r="L707" s="34">
        <v>2</v>
      </c>
      <c r="M707" s="34">
        <v>5</v>
      </c>
      <c r="N707" s="34">
        <v>4</v>
      </c>
      <c r="O707" s="34">
        <v>4</v>
      </c>
      <c r="P707" s="32">
        <v>7</v>
      </c>
      <c r="Q707" s="32">
        <v>7</v>
      </c>
      <c r="R707" s="32">
        <v>8</v>
      </c>
      <c r="S707" s="32">
        <v>6</v>
      </c>
      <c r="T707" s="143"/>
      <c r="U707" s="143"/>
      <c r="V707" s="32" t="s">
        <v>36</v>
      </c>
      <c r="W707" s="32" t="s">
        <v>37</v>
      </c>
      <c r="X707" s="32">
        <v>1</v>
      </c>
      <c r="Y707" s="143"/>
      <c r="Z707" s="143"/>
      <c r="AA707" s="145"/>
      <c r="AB707" s="145"/>
      <c r="AC707" s="141"/>
      <c r="AD707" s="141"/>
      <c r="AE707" s="141"/>
    </row>
    <row r="708" spans="1:337" ht="15" thickBot="1" x14ac:dyDescent="0.4">
      <c r="A708" s="45" t="s">
        <v>31</v>
      </c>
      <c r="B708" s="45" t="s">
        <v>38</v>
      </c>
      <c r="C708" s="46">
        <v>46342</v>
      </c>
      <c r="D708" s="47"/>
      <c r="E708" s="47"/>
      <c r="F708" s="47"/>
      <c r="G708" s="142"/>
      <c r="H708" s="142"/>
      <c r="I708" s="142"/>
      <c r="J708" s="142"/>
      <c r="K708" s="142"/>
      <c r="L708" s="47">
        <v>2</v>
      </c>
      <c r="M708" s="47"/>
      <c r="N708" s="47"/>
      <c r="O708" s="47"/>
      <c r="P708" s="47"/>
      <c r="Q708" s="47"/>
      <c r="R708" s="47"/>
      <c r="S708" s="47"/>
      <c r="T708" s="144"/>
      <c r="U708" s="144"/>
      <c r="V708" s="45"/>
      <c r="W708" s="45"/>
      <c r="X708" s="47"/>
      <c r="Y708" s="144"/>
      <c r="Z708" s="144"/>
      <c r="AA708" s="146"/>
      <c r="AB708" s="146"/>
      <c r="AC708" s="142"/>
      <c r="AD708" s="142"/>
      <c r="AE708" s="142"/>
    </row>
    <row r="709" spans="1:337" s="53" customFormat="1" ht="15" thickBot="1" x14ac:dyDescent="0.4">
      <c r="A709" s="49"/>
      <c r="B709" s="49"/>
      <c r="C709" s="50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49"/>
      <c r="U709" s="49"/>
      <c r="V709" s="49"/>
      <c r="W709" s="49"/>
      <c r="X709" s="51"/>
      <c r="Y709" s="49"/>
      <c r="Z709" s="49"/>
      <c r="AA709" s="52"/>
      <c r="AB709" s="52"/>
      <c r="AC709" s="51"/>
      <c r="AD709" s="51"/>
      <c r="AE709" s="51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  <c r="FB709"/>
      <c r="FC709"/>
      <c r="FD709"/>
      <c r="FE709"/>
      <c r="FF709"/>
      <c r="FG709"/>
      <c r="FH709"/>
      <c r="FI709"/>
      <c r="FJ709"/>
      <c r="FK709"/>
      <c r="FL709"/>
      <c r="FM709"/>
      <c r="FN709"/>
      <c r="FO709"/>
      <c r="FP709"/>
      <c r="FQ709"/>
      <c r="FR709"/>
      <c r="FS709"/>
      <c r="FT709"/>
      <c r="FU709"/>
      <c r="FV709"/>
      <c r="FW709"/>
      <c r="FX709"/>
      <c r="FY709"/>
      <c r="FZ709"/>
      <c r="GA709"/>
      <c r="GB709"/>
      <c r="GC709"/>
      <c r="GD709"/>
      <c r="GE709"/>
      <c r="GF709"/>
      <c r="GG709"/>
      <c r="GH709"/>
      <c r="GI709"/>
      <c r="GJ709"/>
      <c r="GK709"/>
      <c r="GL709"/>
      <c r="GM709"/>
      <c r="GN709"/>
      <c r="GO709"/>
      <c r="GP709"/>
      <c r="GQ709"/>
      <c r="GR709"/>
      <c r="GS709"/>
      <c r="GT709"/>
      <c r="GU709"/>
      <c r="GV709"/>
      <c r="GW709"/>
      <c r="GX709"/>
      <c r="GY709"/>
      <c r="GZ709"/>
      <c r="HA709"/>
      <c r="HB709"/>
      <c r="HC709"/>
      <c r="HD709"/>
      <c r="HE709"/>
      <c r="HF709"/>
      <c r="HG709"/>
      <c r="HH709"/>
      <c r="HI709"/>
      <c r="HJ709"/>
      <c r="HK709"/>
      <c r="HL709"/>
      <c r="HM709"/>
      <c r="HN709"/>
      <c r="HO709"/>
      <c r="HP709"/>
      <c r="HQ709"/>
      <c r="HR709"/>
      <c r="HS709"/>
      <c r="HT709"/>
      <c r="HU709"/>
      <c r="HV709"/>
      <c r="HW709"/>
      <c r="HX709"/>
      <c r="HY709"/>
      <c r="HZ709"/>
      <c r="IA709"/>
      <c r="IB709"/>
      <c r="IC709"/>
      <c r="ID709"/>
      <c r="IE709"/>
      <c r="IF709"/>
      <c r="IG709"/>
      <c r="IH709"/>
      <c r="II709"/>
      <c r="IJ709"/>
      <c r="IK709"/>
      <c r="IL709"/>
      <c r="IM709"/>
      <c r="IN709"/>
      <c r="IO709"/>
      <c r="IP709"/>
      <c r="IQ709"/>
      <c r="IR709"/>
      <c r="IS709"/>
      <c r="IT709"/>
      <c r="IU709"/>
      <c r="IV709"/>
      <c r="IW709"/>
      <c r="IX709"/>
      <c r="IY709"/>
      <c r="IZ709"/>
      <c r="JA709"/>
      <c r="JB709"/>
      <c r="JC709"/>
      <c r="JD709"/>
      <c r="JE709"/>
      <c r="JF709"/>
      <c r="JG709"/>
      <c r="JH709"/>
      <c r="JI709"/>
      <c r="JJ709"/>
      <c r="JK709"/>
      <c r="JL709"/>
      <c r="JM709"/>
      <c r="JN709"/>
      <c r="JO709"/>
      <c r="JP709"/>
      <c r="JQ709"/>
      <c r="JR709"/>
      <c r="JS709"/>
      <c r="JT709"/>
      <c r="JU709"/>
      <c r="JV709"/>
      <c r="JW709"/>
      <c r="JX709"/>
      <c r="JY709"/>
      <c r="JZ709"/>
      <c r="KA709"/>
      <c r="KB709"/>
      <c r="KC709"/>
      <c r="KD709"/>
      <c r="KE709"/>
      <c r="KF709"/>
      <c r="KG709"/>
      <c r="KH709"/>
      <c r="KI709"/>
      <c r="KJ709"/>
      <c r="KK709"/>
      <c r="KL709"/>
      <c r="KM709"/>
      <c r="KN709"/>
      <c r="KO709"/>
      <c r="KP709"/>
      <c r="KQ709"/>
      <c r="KR709"/>
      <c r="KS709"/>
      <c r="KT709"/>
      <c r="KU709"/>
      <c r="KV709"/>
      <c r="KW709"/>
      <c r="KX709"/>
      <c r="KY709"/>
      <c r="KZ709"/>
      <c r="LA709"/>
      <c r="LB709"/>
      <c r="LC709"/>
      <c r="LD709"/>
      <c r="LE709"/>
      <c r="LF709"/>
      <c r="LG709"/>
      <c r="LH709"/>
      <c r="LI709"/>
      <c r="LJ709"/>
      <c r="LK709"/>
      <c r="LL709"/>
      <c r="LM709"/>
      <c r="LN709"/>
      <c r="LO709"/>
      <c r="LP709"/>
      <c r="LQ709"/>
      <c r="LR709"/>
      <c r="LS709"/>
      <c r="LT709"/>
      <c r="LU709"/>
      <c r="LV709"/>
      <c r="LW709"/>
      <c r="LX709"/>
      <c r="LY709"/>
    </row>
    <row r="710" spans="1:337" x14ac:dyDescent="0.35">
      <c r="A710" s="41" t="s">
        <v>31</v>
      </c>
      <c r="B710" s="41" t="s">
        <v>32</v>
      </c>
      <c r="C710" s="42">
        <v>46343</v>
      </c>
      <c r="D710" s="43">
        <v>0</v>
      </c>
      <c r="E710" s="43">
        <v>20</v>
      </c>
      <c r="F710" s="43">
        <v>20</v>
      </c>
      <c r="G710" s="43">
        <v>28</v>
      </c>
      <c r="H710" s="43">
        <v>40</v>
      </c>
      <c r="I710" s="43">
        <v>10</v>
      </c>
      <c r="J710" s="43">
        <v>21449</v>
      </c>
      <c r="K710" s="43">
        <f>SUM(L710:L712)</f>
        <v>6</v>
      </c>
      <c r="L710" s="43">
        <v>2</v>
      </c>
      <c r="M710" s="43"/>
      <c r="N710" s="43">
        <v>4</v>
      </c>
      <c r="O710" s="43">
        <v>3</v>
      </c>
      <c r="P710" s="43">
        <v>7</v>
      </c>
      <c r="Q710" s="43">
        <v>6</v>
      </c>
      <c r="R710" s="43">
        <v>9</v>
      </c>
      <c r="S710" s="43">
        <v>9</v>
      </c>
      <c r="T710" s="43">
        <v>25</v>
      </c>
      <c r="U710" s="43">
        <v>4</v>
      </c>
      <c r="V710" s="41" t="s">
        <v>33</v>
      </c>
      <c r="W710" s="41" t="s">
        <v>34</v>
      </c>
      <c r="X710" s="41">
        <v>1</v>
      </c>
      <c r="Y710" s="41">
        <v>3</v>
      </c>
      <c r="Z710" s="41">
        <v>322</v>
      </c>
      <c r="AA710" s="44">
        <v>34</v>
      </c>
      <c r="AB710" s="44">
        <v>34</v>
      </c>
      <c r="AC710" s="43">
        <v>45</v>
      </c>
      <c r="AD710" s="43">
        <v>30</v>
      </c>
      <c r="AE710" s="43">
        <v>45</v>
      </c>
    </row>
    <row r="711" spans="1:337" x14ac:dyDescent="0.35">
      <c r="A711" s="32" t="s">
        <v>31</v>
      </c>
      <c r="B711" s="32" t="s">
        <v>35</v>
      </c>
      <c r="C711" s="33">
        <v>46343</v>
      </c>
      <c r="D711" s="34">
        <v>13</v>
      </c>
      <c r="E711" s="34">
        <v>24</v>
      </c>
      <c r="F711" s="34">
        <v>25</v>
      </c>
      <c r="G711" s="141"/>
      <c r="H711" s="141"/>
      <c r="I711" s="141"/>
      <c r="J711" s="141"/>
      <c r="K711" s="141"/>
      <c r="L711" s="34">
        <v>2</v>
      </c>
      <c r="M711" s="34">
        <v>5</v>
      </c>
      <c r="N711" s="34">
        <v>4</v>
      </c>
      <c r="O711" s="34">
        <v>4</v>
      </c>
      <c r="P711" s="32">
        <v>7</v>
      </c>
      <c r="Q711" s="32">
        <v>7</v>
      </c>
      <c r="R711" s="32">
        <v>8</v>
      </c>
      <c r="S711" s="32">
        <v>6</v>
      </c>
      <c r="T711" s="143"/>
      <c r="U711" s="143"/>
      <c r="V711" s="32" t="s">
        <v>36</v>
      </c>
      <c r="W711" s="32" t="s">
        <v>37</v>
      </c>
      <c r="X711" s="32">
        <v>1</v>
      </c>
      <c r="Y711" s="143"/>
      <c r="Z711" s="143"/>
      <c r="AA711" s="145"/>
      <c r="AB711" s="145"/>
      <c r="AC711" s="141"/>
      <c r="AD711" s="141"/>
      <c r="AE711" s="141"/>
    </row>
    <row r="712" spans="1:337" ht="15" thickBot="1" x14ac:dyDescent="0.4">
      <c r="A712" s="45" t="s">
        <v>31</v>
      </c>
      <c r="B712" s="45" t="s">
        <v>38</v>
      </c>
      <c r="C712" s="46">
        <v>46343</v>
      </c>
      <c r="D712" s="47"/>
      <c r="E712" s="47"/>
      <c r="F712" s="47"/>
      <c r="G712" s="142"/>
      <c r="H712" s="142"/>
      <c r="I712" s="142"/>
      <c r="J712" s="142"/>
      <c r="K712" s="142"/>
      <c r="L712" s="47">
        <v>2</v>
      </c>
      <c r="M712" s="47"/>
      <c r="N712" s="47"/>
      <c r="O712" s="47"/>
      <c r="P712" s="47"/>
      <c r="Q712" s="47"/>
      <c r="R712" s="47"/>
      <c r="S712" s="47"/>
      <c r="T712" s="144"/>
      <c r="U712" s="144"/>
      <c r="V712" s="45"/>
      <c r="W712" s="45"/>
      <c r="X712" s="47"/>
      <c r="Y712" s="144"/>
      <c r="Z712" s="144"/>
      <c r="AA712" s="146"/>
      <c r="AB712" s="146"/>
      <c r="AC712" s="142"/>
      <c r="AD712" s="142"/>
      <c r="AE712" s="142"/>
    </row>
    <row r="713" spans="1:337" s="53" customFormat="1" ht="15" thickBot="1" x14ac:dyDescent="0.4">
      <c r="A713" s="49"/>
      <c r="B713" s="49"/>
      <c r="C713" s="50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49"/>
      <c r="U713" s="49"/>
      <c r="V713" s="49"/>
      <c r="W713" s="49"/>
      <c r="X713" s="51"/>
      <c r="Y713" s="49"/>
      <c r="Z713" s="49"/>
      <c r="AA713" s="52"/>
      <c r="AB713" s="52"/>
      <c r="AC713" s="51"/>
      <c r="AD713" s="51"/>
      <c r="AE713" s="51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  <c r="EW713"/>
      <c r="EX713"/>
      <c r="EY713"/>
      <c r="EZ713"/>
      <c r="FA713"/>
      <c r="FB713"/>
      <c r="FC713"/>
      <c r="FD713"/>
      <c r="FE713"/>
      <c r="FF713"/>
      <c r="FG713"/>
      <c r="FH713"/>
      <c r="FI713"/>
      <c r="FJ713"/>
      <c r="FK713"/>
      <c r="FL713"/>
      <c r="FM713"/>
      <c r="FN713"/>
      <c r="FO713"/>
      <c r="FP713"/>
      <c r="FQ713"/>
      <c r="FR713"/>
      <c r="FS713"/>
      <c r="FT713"/>
      <c r="FU713"/>
      <c r="FV713"/>
      <c r="FW713"/>
      <c r="FX713"/>
      <c r="FY713"/>
      <c r="FZ713"/>
      <c r="GA713"/>
      <c r="GB713"/>
      <c r="GC713"/>
      <c r="GD713"/>
      <c r="GE713"/>
      <c r="GF713"/>
      <c r="GG713"/>
      <c r="GH713"/>
      <c r="GI713"/>
      <c r="GJ713"/>
      <c r="GK713"/>
      <c r="GL713"/>
      <c r="GM713"/>
      <c r="GN713"/>
      <c r="GO713"/>
      <c r="GP713"/>
      <c r="GQ713"/>
      <c r="GR713"/>
      <c r="GS713"/>
      <c r="GT713"/>
      <c r="GU713"/>
      <c r="GV713"/>
      <c r="GW713"/>
      <c r="GX713"/>
      <c r="GY713"/>
      <c r="GZ713"/>
      <c r="HA713"/>
      <c r="HB713"/>
      <c r="HC713"/>
      <c r="HD713"/>
      <c r="HE713"/>
      <c r="HF713"/>
      <c r="HG713"/>
      <c r="HH713"/>
      <c r="HI713"/>
      <c r="HJ713"/>
      <c r="HK713"/>
      <c r="HL713"/>
      <c r="HM713"/>
      <c r="HN713"/>
      <c r="HO713"/>
      <c r="HP713"/>
      <c r="HQ713"/>
      <c r="HR713"/>
      <c r="HS713"/>
      <c r="HT713"/>
      <c r="HU713"/>
      <c r="HV713"/>
      <c r="HW713"/>
      <c r="HX713"/>
      <c r="HY713"/>
      <c r="HZ713"/>
      <c r="IA713"/>
      <c r="IB713"/>
      <c r="IC713"/>
      <c r="ID713"/>
      <c r="IE713"/>
      <c r="IF713"/>
      <c r="IG713"/>
      <c r="IH713"/>
      <c r="II713"/>
      <c r="IJ713"/>
      <c r="IK713"/>
      <c r="IL713"/>
      <c r="IM713"/>
      <c r="IN713"/>
      <c r="IO713"/>
      <c r="IP713"/>
      <c r="IQ713"/>
      <c r="IR713"/>
      <c r="IS713"/>
      <c r="IT713"/>
      <c r="IU713"/>
      <c r="IV713"/>
      <c r="IW713"/>
      <c r="IX713"/>
      <c r="IY713"/>
      <c r="IZ713"/>
      <c r="JA713"/>
      <c r="JB713"/>
      <c r="JC713"/>
      <c r="JD713"/>
      <c r="JE713"/>
      <c r="JF713"/>
      <c r="JG713"/>
      <c r="JH713"/>
      <c r="JI713"/>
      <c r="JJ713"/>
      <c r="JK713"/>
      <c r="JL713"/>
      <c r="JM713"/>
      <c r="JN713"/>
      <c r="JO713"/>
      <c r="JP713"/>
      <c r="JQ713"/>
      <c r="JR713"/>
      <c r="JS713"/>
      <c r="JT713"/>
      <c r="JU713"/>
      <c r="JV713"/>
      <c r="JW713"/>
      <c r="JX713"/>
      <c r="JY713"/>
      <c r="JZ713"/>
      <c r="KA713"/>
      <c r="KB713"/>
      <c r="KC713"/>
      <c r="KD713"/>
      <c r="KE713"/>
      <c r="KF713"/>
      <c r="KG713"/>
      <c r="KH713"/>
      <c r="KI713"/>
      <c r="KJ713"/>
      <c r="KK713"/>
      <c r="KL713"/>
      <c r="KM713"/>
      <c r="KN713"/>
      <c r="KO713"/>
      <c r="KP713"/>
      <c r="KQ713"/>
      <c r="KR713"/>
      <c r="KS713"/>
      <c r="KT713"/>
      <c r="KU713"/>
      <c r="KV713"/>
      <c r="KW713"/>
      <c r="KX713"/>
      <c r="KY713"/>
      <c r="KZ713"/>
      <c r="LA713"/>
      <c r="LB713"/>
      <c r="LC713"/>
      <c r="LD713"/>
      <c r="LE713"/>
      <c r="LF713"/>
      <c r="LG713"/>
      <c r="LH713"/>
      <c r="LI713"/>
      <c r="LJ713"/>
      <c r="LK713"/>
      <c r="LL713"/>
      <c r="LM713"/>
      <c r="LN713"/>
      <c r="LO713"/>
      <c r="LP713"/>
      <c r="LQ713"/>
      <c r="LR713"/>
      <c r="LS713"/>
      <c r="LT713"/>
      <c r="LU713"/>
      <c r="LV713"/>
      <c r="LW713"/>
      <c r="LX713"/>
      <c r="LY713"/>
    </row>
    <row r="714" spans="1:337" x14ac:dyDescent="0.35">
      <c r="A714" s="41" t="s">
        <v>31</v>
      </c>
      <c r="B714" s="41" t="s">
        <v>32</v>
      </c>
      <c r="C714" s="42">
        <v>46344</v>
      </c>
      <c r="D714" s="43">
        <v>0</v>
      </c>
      <c r="E714" s="43">
        <v>20</v>
      </c>
      <c r="F714" s="43">
        <v>20</v>
      </c>
      <c r="G714" s="43">
        <v>28</v>
      </c>
      <c r="H714" s="43">
        <v>40</v>
      </c>
      <c r="I714" s="43">
        <v>10</v>
      </c>
      <c r="J714" s="43">
        <v>21449</v>
      </c>
      <c r="K714" s="43">
        <f>SUM(L714:L716)</f>
        <v>6</v>
      </c>
      <c r="L714" s="43">
        <v>2</v>
      </c>
      <c r="M714" s="43"/>
      <c r="N714" s="43">
        <v>4</v>
      </c>
      <c r="O714" s="43">
        <v>3</v>
      </c>
      <c r="P714" s="43">
        <v>7</v>
      </c>
      <c r="Q714" s="43">
        <v>6</v>
      </c>
      <c r="R714" s="43">
        <v>9</v>
      </c>
      <c r="S714" s="43">
        <v>9</v>
      </c>
      <c r="T714" s="43">
        <v>20</v>
      </c>
      <c r="U714" s="43">
        <v>3</v>
      </c>
      <c r="V714" s="41" t="s">
        <v>33</v>
      </c>
      <c r="W714" s="41" t="s">
        <v>34</v>
      </c>
      <c r="X714" s="41">
        <v>1</v>
      </c>
      <c r="Y714" s="41">
        <v>3</v>
      </c>
      <c r="Z714" s="41">
        <v>322</v>
      </c>
      <c r="AA714" s="44">
        <v>34</v>
      </c>
      <c r="AB714" s="44">
        <v>34</v>
      </c>
      <c r="AC714" s="43">
        <v>45</v>
      </c>
      <c r="AD714" s="43">
        <v>30</v>
      </c>
      <c r="AE714" s="43">
        <v>45</v>
      </c>
    </row>
    <row r="715" spans="1:337" x14ac:dyDescent="0.35">
      <c r="A715" s="32" t="s">
        <v>31</v>
      </c>
      <c r="B715" s="32" t="s">
        <v>35</v>
      </c>
      <c r="C715" s="33">
        <v>46344</v>
      </c>
      <c r="D715" s="34">
        <v>13</v>
      </c>
      <c r="E715" s="34">
        <v>24</v>
      </c>
      <c r="F715" s="34">
        <v>25</v>
      </c>
      <c r="G715" s="141"/>
      <c r="H715" s="141"/>
      <c r="I715" s="141"/>
      <c r="J715" s="141"/>
      <c r="K715" s="141"/>
      <c r="L715" s="34">
        <v>2</v>
      </c>
      <c r="M715" s="34">
        <v>5</v>
      </c>
      <c r="N715" s="34">
        <v>4</v>
      </c>
      <c r="O715" s="34">
        <v>4</v>
      </c>
      <c r="P715" s="32">
        <v>7</v>
      </c>
      <c r="Q715" s="32">
        <v>7</v>
      </c>
      <c r="R715" s="32">
        <v>8</v>
      </c>
      <c r="S715" s="32">
        <v>6</v>
      </c>
      <c r="T715" s="143"/>
      <c r="U715" s="143"/>
      <c r="V715" s="32" t="s">
        <v>36</v>
      </c>
      <c r="W715" s="32" t="s">
        <v>37</v>
      </c>
      <c r="X715" s="32">
        <v>1</v>
      </c>
      <c r="Y715" s="143"/>
      <c r="Z715" s="143"/>
      <c r="AA715" s="145"/>
      <c r="AB715" s="145"/>
      <c r="AC715" s="141"/>
      <c r="AD715" s="141"/>
      <c r="AE715" s="141"/>
    </row>
    <row r="716" spans="1:337" ht="15" thickBot="1" x14ac:dyDescent="0.4">
      <c r="A716" s="45" t="s">
        <v>31</v>
      </c>
      <c r="B716" s="45" t="s">
        <v>38</v>
      </c>
      <c r="C716" s="46">
        <v>46344</v>
      </c>
      <c r="D716" s="47"/>
      <c r="E716" s="47"/>
      <c r="F716" s="47"/>
      <c r="G716" s="142"/>
      <c r="H716" s="142"/>
      <c r="I716" s="142"/>
      <c r="J716" s="142"/>
      <c r="K716" s="142"/>
      <c r="L716" s="47">
        <v>2</v>
      </c>
      <c r="M716" s="47"/>
      <c r="N716" s="47"/>
      <c r="O716" s="47"/>
      <c r="P716" s="47"/>
      <c r="Q716" s="47"/>
      <c r="R716" s="47"/>
      <c r="S716" s="47"/>
      <c r="T716" s="144"/>
      <c r="U716" s="144"/>
      <c r="V716" s="45"/>
      <c r="W716" s="45"/>
      <c r="X716" s="47"/>
      <c r="Y716" s="144"/>
      <c r="Z716" s="144"/>
      <c r="AA716" s="146"/>
      <c r="AB716" s="146"/>
      <c r="AC716" s="142"/>
      <c r="AD716" s="142"/>
      <c r="AE716" s="142"/>
    </row>
    <row r="717" spans="1:337" s="53" customFormat="1" ht="15" thickBot="1" x14ac:dyDescent="0.4">
      <c r="A717" s="49"/>
      <c r="B717" s="49"/>
      <c r="C717" s="50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49"/>
      <c r="U717" s="49"/>
      <c r="V717" s="49"/>
      <c r="W717" s="49"/>
      <c r="X717" s="51"/>
      <c r="Y717" s="49"/>
      <c r="Z717" s="49"/>
      <c r="AA717" s="52"/>
      <c r="AB717" s="52"/>
      <c r="AC717" s="51"/>
      <c r="AD717" s="51"/>
      <c r="AE717" s="51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/>
      <c r="EU717"/>
      <c r="EV717"/>
      <c r="EW717"/>
      <c r="EX717"/>
      <c r="EY717"/>
      <c r="EZ717"/>
      <c r="FA717"/>
      <c r="FB717"/>
      <c r="FC717"/>
      <c r="FD717"/>
      <c r="FE717"/>
      <c r="FF717"/>
      <c r="FG717"/>
      <c r="FH717"/>
      <c r="FI717"/>
      <c r="FJ717"/>
      <c r="FK717"/>
      <c r="FL717"/>
      <c r="FM717"/>
      <c r="FN717"/>
      <c r="FO717"/>
      <c r="FP717"/>
      <c r="FQ717"/>
      <c r="FR717"/>
      <c r="FS717"/>
      <c r="FT717"/>
      <c r="FU717"/>
      <c r="FV717"/>
      <c r="FW717"/>
      <c r="FX717"/>
      <c r="FY717"/>
      <c r="FZ717"/>
      <c r="GA717"/>
      <c r="GB717"/>
      <c r="GC717"/>
      <c r="GD717"/>
      <c r="GE717"/>
      <c r="GF717"/>
      <c r="GG717"/>
      <c r="GH717"/>
      <c r="GI717"/>
      <c r="GJ717"/>
      <c r="GK717"/>
      <c r="GL717"/>
      <c r="GM717"/>
      <c r="GN717"/>
      <c r="GO717"/>
      <c r="GP717"/>
      <c r="GQ717"/>
      <c r="GR717"/>
      <c r="GS717"/>
      <c r="GT717"/>
      <c r="GU717"/>
      <c r="GV717"/>
      <c r="GW717"/>
      <c r="GX717"/>
      <c r="GY717"/>
      <c r="GZ717"/>
      <c r="HA717"/>
      <c r="HB717"/>
      <c r="HC717"/>
      <c r="HD717"/>
      <c r="HE717"/>
      <c r="HF717"/>
      <c r="HG717"/>
      <c r="HH717"/>
      <c r="HI717"/>
      <c r="HJ717"/>
      <c r="HK717"/>
      <c r="HL717"/>
      <c r="HM717"/>
      <c r="HN717"/>
      <c r="HO717"/>
      <c r="HP717"/>
      <c r="HQ717"/>
      <c r="HR717"/>
      <c r="HS717"/>
      <c r="HT717"/>
      <c r="HU717"/>
      <c r="HV717"/>
      <c r="HW717"/>
      <c r="HX717"/>
      <c r="HY717"/>
      <c r="HZ717"/>
      <c r="IA717"/>
      <c r="IB717"/>
      <c r="IC717"/>
      <c r="ID717"/>
      <c r="IE717"/>
      <c r="IF717"/>
      <c r="IG717"/>
      <c r="IH717"/>
      <c r="II717"/>
      <c r="IJ717"/>
      <c r="IK717"/>
      <c r="IL717"/>
      <c r="IM717"/>
      <c r="IN717"/>
      <c r="IO717"/>
      <c r="IP717"/>
      <c r="IQ717"/>
      <c r="IR717"/>
      <c r="IS717"/>
      <c r="IT717"/>
      <c r="IU717"/>
      <c r="IV717"/>
      <c r="IW717"/>
      <c r="IX717"/>
      <c r="IY717"/>
      <c r="IZ717"/>
      <c r="JA717"/>
      <c r="JB717"/>
      <c r="JC717"/>
      <c r="JD717"/>
      <c r="JE717"/>
      <c r="JF717"/>
      <c r="JG717"/>
      <c r="JH717"/>
      <c r="JI717"/>
      <c r="JJ717"/>
      <c r="JK717"/>
      <c r="JL717"/>
      <c r="JM717"/>
      <c r="JN717"/>
      <c r="JO717"/>
      <c r="JP717"/>
      <c r="JQ717"/>
      <c r="JR717"/>
      <c r="JS717"/>
      <c r="JT717"/>
      <c r="JU717"/>
      <c r="JV717"/>
      <c r="JW717"/>
      <c r="JX717"/>
      <c r="JY717"/>
      <c r="JZ717"/>
      <c r="KA717"/>
      <c r="KB717"/>
      <c r="KC717"/>
      <c r="KD717"/>
      <c r="KE717"/>
      <c r="KF717"/>
      <c r="KG717"/>
      <c r="KH717"/>
      <c r="KI717"/>
      <c r="KJ717"/>
      <c r="KK717"/>
      <c r="KL717"/>
      <c r="KM717"/>
      <c r="KN717"/>
      <c r="KO717"/>
      <c r="KP717"/>
      <c r="KQ717"/>
      <c r="KR717"/>
      <c r="KS717"/>
      <c r="KT717"/>
      <c r="KU717"/>
      <c r="KV717"/>
      <c r="KW717"/>
      <c r="KX717"/>
      <c r="KY717"/>
      <c r="KZ717"/>
      <c r="LA717"/>
      <c r="LB717"/>
      <c r="LC717"/>
      <c r="LD717"/>
      <c r="LE717"/>
      <c r="LF717"/>
      <c r="LG717"/>
      <c r="LH717"/>
      <c r="LI717"/>
      <c r="LJ717"/>
      <c r="LK717"/>
      <c r="LL717"/>
      <c r="LM717"/>
      <c r="LN717"/>
      <c r="LO717"/>
      <c r="LP717"/>
      <c r="LQ717"/>
      <c r="LR717"/>
      <c r="LS717"/>
      <c r="LT717"/>
      <c r="LU717"/>
      <c r="LV717"/>
      <c r="LW717"/>
      <c r="LX717"/>
      <c r="LY717"/>
    </row>
    <row r="718" spans="1:337" x14ac:dyDescent="0.35">
      <c r="A718" s="41" t="s">
        <v>31</v>
      </c>
      <c r="B718" s="41" t="s">
        <v>32</v>
      </c>
      <c r="C718" s="42">
        <v>46345</v>
      </c>
      <c r="D718" s="43">
        <v>0</v>
      </c>
      <c r="E718" s="43">
        <v>20</v>
      </c>
      <c r="F718" s="43">
        <v>20</v>
      </c>
      <c r="G718" s="43">
        <v>28</v>
      </c>
      <c r="H718" s="43">
        <v>40</v>
      </c>
      <c r="I718" s="43">
        <v>10</v>
      </c>
      <c r="J718" s="43">
        <v>21449</v>
      </c>
      <c r="K718" s="43">
        <f>SUM(L718:L720)</f>
        <v>6</v>
      </c>
      <c r="L718" s="43">
        <v>2</v>
      </c>
      <c r="M718" s="43"/>
      <c r="N718" s="43">
        <v>4</v>
      </c>
      <c r="O718" s="43">
        <v>3</v>
      </c>
      <c r="P718" s="43">
        <v>7</v>
      </c>
      <c r="Q718" s="43">
        <v>6</v>
      </c>
      <c r="R718" s="43">
        <v>9</v>
      </c>
      <c r="S718" s="43">
        <v>9</v>
      </c>
      <c r="T718" s="43">
        <v>25</v>
      </c>
      <c r="U718" s="43">
        <v>4</v>
      </c>
      <c r="V718" s="41" t="s">
        <v>33</v>
      </c>
      <c r="W718" s="41" t="s">
        <v>34</v>
      </c>
      <c r="X718" s="41">
        <v>1</v>
      </c>
      <c r="Y718" s="41">
        <v>3</v>
      </c>
      <c r="Z718" s="41">
        <v>322</v>
      </c>
      <c r="AA718" s="44">
        <v>34</v>
      </c>
      <c r="AB718" s="44">
        <v>34</v>
      </c>
      <c r="AC718" s="43">
        <v>45</v>
      </c>
      <c r="AD718" s="43">
        <v>30</v>
      </c>
      <c r="AE718" s="43">
        <v>45</v>
      </c>
    </row>
    <row r="719" spans="1:337" x14ac:dyDescent="0.35">
      <c r="A719" s="32" t="s">
        <v>31</v>
      </c>
      <c r="B719" s="32" t="s">
        <v>35</v>
      </c>
      <c r="C719" s="33">
        <v>46345</v>
      </c>
      <c r="D719" s="34">
        <v>13</v>
      </c>
      <c r="E719" s="34">
        <v>24</v>
      </c>
      <c r="F719" s="34">
        <v>25</v>
      </c>
      <c r="G719" s="141"/>
      <c r="H719" s="141"/>
      <c r="I719" s="141"/>
      <c r="J719" s="141"/>
      <c r="K719" s="141"/>
      <c r="L719" s="34">
        <v>2</v>
      </c>
      <c r="M719" s="34">
        <v>5</v>
      </c>
      <c r="N719" s="34">
        <v>4</v>
      </c>
      <c r="O719" s="34">
        <v>4</v>
      </c>
      <c r="P719" s="32">
        <v>7</v>
      </c>
      <c r="Q719" s="32">
        <v>7</v>
      </c>
      <c r="R719" s="32">
        <v>8</v>
      </c>
      <c r="S719" s="32">
        <v>6</v>
      </c>
      <c r="T719" s="143"/>
      <c r="U719" s="143"/>
      <c r="V719" s="32" t="s">
        <v>36</v>
      </c>
      <c r="W719" s="32" t="s">
        <v>37</v>
      </c>
      <c r="X719" s="32">
        <v>1</v>
      </c>
      <c r="Y719" s="143"/>
      <c r="Z719" s="143"/>
      <c r="AA719" s="145"/>
      <c r="AB719" s="145"/>
      <c r="AC719" s="141"/>
      <c r="AD719" s="141"/>
      <c r="AE719" s="141"/>
    </row>
    <row r="720" spans="1:337" ht="15" thickBot="1" x14ac:dyDescent="0.4">
      <c r="A720" s="45" t="s">
        <v>31</v>
      </c>
      <c r="B720" s="45" t="s">
        <v>38</v>
      </c>
      <c r="C720" s="46">
        <v>46345</v>
      </c>
      <c r="D720" s="47"/>
      <c r="E720" s="47"/>
      <c r="F720" s="47"/>
      <c r="G720" s="142"/>
      <c r="H720" s="142"/>
      <c r="I720" s="142"/>
      <c r="J720" s="142"/>
      <c r="K720" s="142"/>
      <c r="L720" s="47">
        <v>2</v>
      </c>
      <c r="M720" s="47"/>
      <c r="N720" s="47"/>
      <c r="O720" s="47"/>
      <c r="P720" s="47"/>
      <c r="Q720" s="47"/>
      <c r="R720" s="47"/>
      <c r="S720" s="47"/>
      <c r="T720" s="144"/>
      <c r="U720" s="144"/>
      <c r="V720" s="45"/>
      <c r="W720" s="45"/>
      <c r="X720" s="47"/>
      <c r="Y720" s="144"/>
      <c r="Z720" s="144"/>
      <c r="AA720" s="146"/>
      <c r="AB720" s="146"/>
      <c r="AC720" s="142"/>
      <c r="AD720" s="142"/>
      <c r="AE720" s="142"/>
    </row>
    <row r="721" spans="1:337" s="53" customFormat="1" ht="15" thickBot="1" x14ac:dyDescent="0.4">
      <c r="A721" s="49"/>
      <c r="B721" s="49"/>
      <c r="C721" s="50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49"/>
      <c r="U721" s="49"/>
      <c r="V721" s="49"/>
      <c r="W721" s="49"/>
      <c r="X721" s="51"/>
      <c r="Y721" s="49"/>
      <c r="Z721" s="49"/>
      <c r="AA721" s="52"/>
      <c r="AB721" s="52"/>
      <c r="AC721" s="51"/>
      <c r="AD721" s="51"/>
      <c r="AE721" s="5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/>
      <c r="EY721"/>
      <c r="EZ721"/>
      <c r="FA721"/>
      <c r="FB721"/>
      <c r="FC721"/>
      <c r="FD721"/>
      <c r="FE721"/>
      <c r="FF721"/>
      <c r="FG721"/>
      <c r="FH721"/>
      <c r="FI721"/>
      <c r="FJ721"/>
      <c r="FK721"/>
      <c r="FL721"/>
      <c r="FM721"/>
      <c r="FN721"/>
      <c r="FO721"/>
      <c r="FP721"/>
      <c r="FQ721"/>
      <c r="FR721"/>
      <c r="FS721"/>
      <c r="FT721"/>
      <c r="FU721"/>
      <c r="FV721"/>
      <c r="FW721"/>
      <c r="FX721"/>
      <c r="FY721"/>
      <c r="FZ721"/>
      <c r="GA721"/>
      <c r="GB721"/>
      <c r="GC721"/>
      <c r="GD721"/>
      <c r="GE721"/>
      <c r="GF721"/>
      <c r="GG721"/>
      <c r="GH721"/>
      <c r="GI721"/>
      <c r="GJ721"/>
      <c r="GK721"/>
      <c r="GL721"/>
      <c r="GM721"/>
      <c r="GN721"/>
      <c r="GO721"/>
      <c r="GP721"/>
      <c r="GQ721"/>
      <c r="GR721"/>
      <c r="GS721"/>
      <c r="GT721"/>
      <c r="GU721"/>
      <c r="GV721"/>
      <c r="GW721"/>
      <c r="GX721"/>
      <c r="GY721"/>
      <c r="GZ721"/>
      <c r="HA721"/>
      <c r="HB721"/>
      <c r="HC721"/>
      <c r="HD721"/>
      <c r="HE721"/>
      <c r="HF721"/>
      <c r="HG721"/>
      <c r="HH721"/>
      <c r="HI721"/>
      <c r="HJ721"/>
      <c r="HK721"/>
      <c r="HL721"/>
      <c r="HM721"/>
      <c r="HN721"/>
      <c r="HO721"/>
      <c r="HP721"/>
      <c r="HQ721"/>
      <c r="HR721"/>
      <c r="HS721"/>
      <c r="HT721"/>
      <c r="HU721"/>
      <c r="HV721"/>
      <c r="HW721"/>
      <c r="HX721"/>
      <c r="HY721"/>
      <c r="HZ721"/>
      <c r="IA721"/>
      <c r="IB721"/>
      <c r="IC721"/>
      <c r="ID721"/>
      <c r="IE721"/>
      <c r="IF721"/>
      <c r="IG721"/>
      <c r="IH721"/>
      <c r="II721"/>
      <c r="IJ721"/>
      <c r="IK721"/>
      <c r="IL721"/>
      <c r="IM721"/>
      <c r="IN721"/>
      <c r="IO721"/>
      <c r="IP721"/>
      <c r="IQ721"/>
      <c r="IR721"/>
      <c r="IS721"/>
      <c r="IT721"/>
      <c r="IU721"/>
      <c r="IV721"/>
      <c r="IW721"/>
      <c r="IX721"/>
      <c r="IY721"/>
      <c r="IZ721"/>
      <c r="JA721"/>
      <c r="JB721"/>
      <c r="JC721"/>
      <c r="JD721"/>
      <c r="JE721"/>
      <c r="JF721"/>
      <c r="JG721"/>
      <c r="JH721"/>
      <c r="JI721"/>
      <c r="JJ721"/>
      <c r="JK721"/>
      <c r="JL721"/>
      <c r="JM721"/>
      <c r="JN721"/>
      <c r="JO721"/>
      <c r="JP721"/>
      <c r="JQ721"/>
      <c r="JR721"/>
      <c r="JS721"/>
      <c r="JT721"/>
      <c r="JU721"/>
      <c r="JV721"/>
      <c r="JW721"/>
      <c r="JX721"/>
      <c r="JY721"/>
      <c r="JZ721"/>
      <c r="KA721"/>
      <c r="KB721"/>
      <c r="KC721"/>
      <c r="KD721"/>
      <c r="KE721"/>
      <c r="KF721"/>
      <c r="KG721"/>
      <c r="KH721"/>
      <c r="KI721"/>
      <c r="KJ721"/>
      <c r="KK721"/>
      <c r="KL721"/>
      <c r="KM721"/>
      <c r="KN721"/>
      <c r="KO721"/>
      <c r="KP721"/>
      <c r="KQ721"/>
      <c r="KR721"/>
      <c r="KS721"/>
      <c r="KT721"/>
      <c r="KU721"/>
      <c r="KV721"/>
      <c r="KW721"/>
      <c r="KX721"/>
      <c r="KY721"/>
      <c r="KZ721"/>
      <c r="LA721"/>
      <c r="LB721"/>
      <c r="LC721"/>
      <c r="LD721"/>
      <c r="LE721"/>
      <c r="LF721"/>
      <c r="LG721"/>
      <c r="LH721"/>
      <c r="LI721"/>
      <c r="LJ721"/>
      <c r="LK721"/>
      <c r="LL721"/>
      <c r="LM721"/>
      <c r="LN721"/>
      <c r="LO721"/>
      <c r="LP721"/>
      <c r="LQ721"/>
      <c r="LR721"/>
      <c r="LS721"/>
      <c r="LT721"/>
      <c r="LU721"/>
      <c r="LV721"/>
      <c r="LW721"/>
      <c r="LX721"/>
      <c r="LY721"/>
    </row>
    <row r="722" spans="1:337" x14ac:dyDescent="0.35">
      <c r="A722" s="41" t="s">
        <v>31</v>
      </c>
      <c r="B722" s="41" t="s">
        <v>32</v>
      </c>
      <c r="C722" s="42">
        <v>46346</v>
      </c>
      <c r="D722" s="43">
        <v>0</v>
      </c>
      <c r="E722" s="43">
        <v>20</v>
      </c>
      <c r="F722" s="43">
        <v>20</v>
      </c>
      <c r="G722" s="43">
        <v>28</v>
      </c>
      <c r="H722" s="43">
        <v>40</v>
      </c>
      <c r="I722" s="43">
        <v>10</v>
      </c>
      <c r="J722" s="43">
        <v>21449</v>
      </c>
      <c r="K722" s="43">
        <f>SUM(L722:L724)</f>
        <v>6</v>
      </c>
      <c r="L722" s="43">
        <v>2</v>
      </c>
      <c r="M722" s="43"/>
      <c r="N722" s="43">
        <v>4</v>
      </c>
      <c r="O722" s="43">
        <v>3</v>
      </c>
      <c r="P722" s="43">
        <v>7</v>
      </c>
      <c r="Q722" s="43">
        <v>6</v>
      </c>
      <c r="R722" s="43">
        <v>9</v>
      </c>
      <c r="S722" s="43">
        <v>9</v>
      </c>
      <c r="T722" s="43">
        <v>25</v>
      </c>
      <c r="U722" s="43">
        <v>4</v>
      </c>
      <c r="V722" s="41" t="s">
        <v>33</v>
      </c>
      <c r="W722" s="41" t="s">
        <v>34</v>
      </c>
      <c r="X722" s="41">
        <v>1</v>
      </c>
      <c r="Y722" s="41">
        <v>3</v>
      </c>
      <c r="Z722" s="41">
        <v>322</v>
      </c>
      <c r="AA722" s="44">
        <v>34</v>
      </c>
      <c r="AB722" s="44">
        <v>34</v>
      </c>
      <c r="AC722" s="43">
        <v>45</v>
      </c>
      <c r="AD722" s="43">
        <v>30</v>
      </c>
      <c r="AE722" s="43">
        <v>45</v>
      </c>
    </row>
    <row r="723" spans="1:337" x14ac:dyDescent="0.35">
      <c r="A723" s="32" t="s">
        <v>31</v>
      </c>
      <c r="B723" s="32" t="s">
        <v>35</v>
      </c>
      <c r="C723" s="33">
        <v>46346</v>
      </c>
      <c r="D723" s="34">
        <v>13</v>
      </c>
      <c r="E723" s="34">
        <v>24</v>
      </c>
      <c r="F723" s="34">
        <v>25</v>
      </c>
      <c r="G723" s="141"/>
      <c r="H723" s="141"/>
      <c r="I723" s="141"/>
      <c r="J723" s="141"/>
      <c r="K723" s="141"/>
      <c r="L723" s="34">
        <v>2</v>
      </c>
      <c r="M723" s="34">
        <v>5</v>
      </c>
      <c r="N723" s="34">
        <v>4</v>
      </c>
      <c r="O723" s="34">
        <v>4</v>
      </c>
      <c r="P723" s="32">
        <v>7</v>
      </c>
      <c r="Q723" s="32">
        <v>7</v>
      </c>
      <c r="R723" s="32">
        <v>8</v>
      </c>
      <c r="S723" s="32">
        <v>6</v>
      </c>
      <c r="T723" s="143"/>
      <c r="U723" s="143"/>
      <c r="V723" s="32" t="s">
        <v>36</v>
      </c>
      <c r="W723" s="32" t="s">
        <v>37</v>
      </c>
      <c r="X723" s="32">
        <v>1</v>
      </c>
      <c r="Y723" s="143"/>
      <c r="Z723" s="143"/>
      <c r="AA723" s="145"/>
      <c r="AB723" s="145"/>
      <c r="AC723" s="141"/>
      <c r="AD723" s="141"/>
      <c r="AE723" s="141"/>
    </row>
    <row r="724" spans="1:337" ht="15" thickBot="1" x14ac:dyDescent="0.4">
      <c r="A724" s="45" t="s">
        <v>31</v>
      </c>
      <c r="B724" s="45" t="s">
        <v>38</v>
      </c>
      <c r="C724" s="46">
        <v>46346</v>
      </c>
      <c r="D724" s="47"/>
      <c r="E724" s="47"/>
      <c r="F724" s="47"/>
      <c r="G724" s="142"/>
      <c r="H724" s="142"/>
      <c r="I724" s="142"/>
      <c r="J724" s="142"/>
      <c r="K724" s="142"/>
      <c r="L724" s="47">
        <v>2</v>
      </c>
      <c r="M724" s="47"/>
      <c r="N724" s="47"/>
      <c r="O724" s="47"/>
      <c r="P724" s="47"/>
      <c r="Q724" s="47"/>
      <c r="R724" s="47"/>
      <c r="S724" s="47"/>
      <c r="T724" s="144"/>
      <c r="U724" s="144"/>
      <c r="V724" s="45"/>
      <c r="W724" s="45"/>
      <c r="X724" s="47"/>
      <c r="Y724" s="144"/>
      <c r="Z724" s="144"/>
      <c r="AA724" s="146"/>
      <c r="AB724" s="146"/>
      <c r="AC724" s="142"/>
      <c r="AD724" s="142"/>
      <c r="AE724" s="142"/>
    </row>
    <row r="725" spans="1:337" s="53" customFormat="1" ht="15" thickBot="1" x14ac:dyDescent="0.4">
      <c r="A725" s="49"/>
      <c r="B725" s="49"/>
      <c r="C725" s="50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49"/>
      <c r="U725" s="49"/>
      <c r="V725" s="49"/>
      <c r="W725" s="49"/>
      <c r="X725" s="51"/>
      <c r="Y725" s="49"/>
      <c r="Z725" s="49"/>
      <c r="AA725" s="52"/>
      <c r="AB725" s="52"/>
      <c r="AC725" s="51"/>
      <c r="AD725" s="51"/>
      <c r="AE725" s="51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/>
      <c r="ED725"/>
      <c r="EE725"/>
      <c r="EF725"/>
      <c r="EG725"/>
      <c r="EH725"/>
      <c r="EI725"/>
      <c r="EJ725"/>
      <c r="EK725"/>
      <c r="EL725"/>
      <c r="EM725"/>
      <c r="EN725"/>
      <c r="EO725"/>
      <c r="EP725"/>
      <c r="EQ725"/>
      <c r="ER725"/>
      <c r="ES725"/>
      <c r="ET725"/>
      <c r="EU725"/>
      <c r="EV725"/>
      <c r="EW725"/>
      <c r="EX725"/>
      <c r="EY725"/>
      <c r="EZ725"/>
      <c r="FA725"/>
      <c r="FB725"/>
      <c r="FC725"/>
      <c r="FD725"/>
      <c r="FE725"/>
      <c r="FF725"/>
      <c r="FG725"/>
      <c r="FH725"/>
      <c r="FI725"/>
      <c r="FJ725"/>
      <c r="FK725"/>
      <c r="FL725"/>
      <c r="FM725"/>
      <c r="FN725"/>
      <c r="FO725"/>
      <c r="FP725"/>
      <c r="FQ725"/>
      <c r="FR725"/>
      <c r="FS725"/>
      <c r="FT725"/>
      <c r="FU725"/>
      <c r="FV725"/>
      <c r="FW725"/>
      <c r="FX725"/>
      <c r="FY725"/>
      <c r="FZ725"/>
      <c r="GA725"/>
      <c r="GB725"/>
      <c r="GC725"/>
      <c r="GD725"/>
      <c r="GE725"/>
      <c r="GF725"/>
      <c r="GG725"/>
      <c r="GH725"/>
      <c r="GI725"/>
      <c r="GJ725"/>
      <c r="GK725"/>
      <c r="GL725"/>
      <c r="GM725"/>
      <c r="GN725"/>
      <c r="GO725"/>
      <c r="GP725"/>
      <c r="GQ725"/>
      <c r="GR725"/>
      <c r="GS725"/>
      <c r="GT725"/>
      <c r="GU725"/>
      <c r="GV725"/>
      <c r="GW725"/>
      <c r="GX725"/>
      <c r="GY725"/>
      <c r="GZ725"/>
      <c r="HA725"/>
      <c r="HB725"/>
      <c r="HC725"/>
      <c r="HD725"/>
      <c r="HE725"/>
      <c r="HF725"/>
      <c r="HG725"/>
      <c r="HH725"/>
      <c r="HI725"/>
      <c r="HJ725"/>
      <c r="HK725"/>
      <c r="HL725"/>
      <c r="HM725"/>
      <c r="HN725"/>
      <c r="HO725"/>
      <c r="HP725"/>
      <c r="HQ725"/>
      <c r="HR725"/>
      <c r="HS725"/>
      <c r="HT725"/>
      <c r="HU725"/>
      <c r="HV725"/>
      <c r="HW725"/>
      <c r="HX725"/>
      <c r="HY725"/>
      <c r="HZ725"/>
      <c r="IA725"/>
      <c r="IB725"/>
      <c r="IC725"/>
      <c r="ID725"/>
      <c r="IE725"/>
      <c r="IF725"/>
      <c r="IG725"/>
      <c r="IH725"/>
      <c r="II725"/>
      <c r="IJ725"/>
      <c r="IK725"/>
      <c r="IL725"/>
      <c r="IM725"/>
      <c r="IN725"/>
      <c r="IO725"/>
      <c r="IP725"/>
      <c r="IQ725"/>
      <c r="IR725"/>
      <c r="IS725"/>
      <c r="IT725"/>
      <c r="IU725"/>
      <c r="IV725"/>
      <c r="IW725"/>
      <c r="IX725"/>
      <c r="IY725"/>
      <c r="IZ725"/>
      <c r="JA725"/>
      <c r="JB725"/>
      <c r="JC725"/>
      <c r="JD725"/>
      <c r="JE725"/>
      <c r="JF725"/>
      <c r="JG725"/>
      <c r="JH725"/>
      <c r="JI725"/>
      <c r="JJ725"/>
      <c r="JK725"/>
      <c r="JL725"/>
      <c r="JM725"/>
      <c r="JN725"/>
      <c r="JO725"/>
      <c r="JP725"/>
      <c r="JQ725"/>
      <c r="JR725"/>
      <c r="JS725"/>
      <c r="JT725"/>
      <c r="JU725"/>
      <c r="JV725"/>
      <c r="JW725"/>
      <c r="JX725"/>
      <c r="JY725"/>
      <c r="JZ725"/>
      <c r="KA725"/>
      <c r="KB725"/>
      <c r="KC725"/>
      <c r="KD725"/>
      <c r="KE725"/>
      <c r="KF725"/>
      <c r="KG725"/>
      <c r="KH725"/>
      <c r="KI725"/>
      <c r="KJ725"/>
      <c r="KK725"/>
      <c r="KL725"/>
      <c r="KM725"/>
      <c r="KN725"/>
      <c r="KO725"/>
      <c r="KP725"/>
      <c r="KQ725"/>
      <c r="KR725"/>
      <c r="KS725"/>
      <c r="KT725"/>
      <c r="KU725"/>
      <c r="KV725"/>
      <c r="KW725"/>
      <c r="KX725"/>
      <c r="KY725"/>
      <c r="KZ725"/>
      <c r="LA725"/>
      <c r="LB725"/>
      <c r="LC725"/>
      <c r="LD725"/>
      <c r="LE725"/>
      <c r="LF725"/>
      <c r="LG725"/>
      <c r="LH725"/>
      <c r="LI725"/>
      <c r="LJ725"/>
      <c r="LK725"/>
      <c r="LL725"/>
      <c r="LM725"/>
      <c r="LN725"/>
      <c r="LO725"/>
      <c r="LP725"/>
      <c r="LQ725"/>
      <c r="LR725"/>
      <c r="LS725"/>
      <c r="LT725"/>
      <c r="LU725"/>
      <c r="LV725"/>
      <c r="LW725"/>
      <c r="LX725"/>
      <c r="LY725"/>
    </row>
    <row r="726" spans="1:337" x14ac:dyDescent="0.35">
      <c r="A726" s="41" t="s">
        <v>31</v>
      </c>
      <c r="B726" s="41" t="s">
        <v>32</v>
      </c>
      <c r="C726" s="42">
        <v>46349</v>
      </c>
      <c r="D726" s="43">
        <v>0</v>
      </c>
      <c r="E726" s="43">
        <v>20</v>
      </c>
      <c r="F726" s="43">
        <v>20</v>
      </c>
      <c r="G726" s="43">
        <v>28</v>
      </c>
      <c r="H726" s="43">
        <v>40</v>
      </c>
      <c r="I726" s="43">
        <v>10</v>
      </c>
      <c r="J726" s="43">
        <v>21449</v>
      </c>
      <c r="K726" s="43">
        <f>SUM(L726:L728)</f>
        <v>6</v>
      </c>
      <c r="L726" s="43">
        <v>2</v>
      </c>
      <c r="M726" s="43"/>
      <c r="N726" s="43">
        <v>4</v>
      </c>
      <c r="O726" s="43">
        <v>3</v>
      </c>
      <c r="P726" s="43">
        <v>7</v>
      </c>
      <c r="Q726" s="43">
        <v>6</v>
      </c>
      <c r="R726" s="43">
        <v>9</v>
      </c>
      <c r="S726" s="43">
        <v>9</v>
      </c>
      <c r="T726" s="43">
        <v>25</v>
      </c>
      <c r="U726" s="43">
        <v>4</v>
      </c>
      <c r="V726" s="41" t="s">
        <v>33</v>
      </c>
      <c r="W726" s="41" t="s">
        <v>34</v>
      </c>
      <c r="X726" s="41">
        <v>1</v>
      </c>
      <c r="Y726" s="41">
        <v>3</v>
      </c>
      <c r="Z726" s="41">
        <v>322</v>
      </c>
      <c r="AA726" s="44">
        <v>34</v>
      </c>
      <c r="AB726" s="44">
        <v>34</v>
      </c>
      <c r="AC726" s="43">
        <v>45</v>
      </c>
      <c r="AD726" s="43">
        <v>30</v>
      </c>
      <c r="AE726" s="43">
        <v>45</v>
      </c>
    </row>
    <row r="727" spans="1:337" x14ac:dyDescent="0.35">
      <c r="A727" s="32" t="s">
        <v>31</v>
      </c>
      <c r="B727" s="32" t="s">
        <v>35</v>
      </c>
      <c r="C727" s="33">
        <v>46349</v>
      </c>
      <c r="D727" s="34">
        <v>13</v>
      </c>
      <c r="E727" s="34">
        <v>24</v>
      </c>
      <c r="F727" s="34">
        <v>25</v>
      </c>
      <c r="G727" s="141"/>
      <c r="H727" s="141"/>
      <c r="I727" s="141"/>
      <c r="J727" s="141"/>
      <c r="K727" s="141"/>
      <c r="L727" s="34">
        <v>2</v>
      </c>
      <c r="M727" s="34">
        <v>5</v>
      </c>
      <c r="N727" s="34">
        <v>4</v>
      </c>
      <c r="O727" s="34">
        <v>4</v>
      </c>
      <c r="P727" s="32">
        <v>7</v>
      </c>
      <c r="Q727" s="32">
        <v>7</v>
      </c>
      <c r="R727" s="32">
        <v>8</v>
      </c>
      <c r="S727" s="32">
        <v>6</v>
      </c>
      <c r="T727" s="143"/>
      <c r="U727" s="143"/>
      <c r="V727" s="32" t="s">
        <v>36</v>
      </c>
      <c r="W727" s="32" t="s">
        <v>37</v>
      </c>
      <c r="X727" s="32">
        <v>1</v>
      </c>
      <c r="Y727" s="143"/>
      <c r="Z727" s="143"/>
      <c r="AA727" s="145"/>
      <c r="AB727" s="145"/>
      <c r="AC727" s="141"/>
      <c r="AD727" s="141"/>
      <c r="AE727" s="141"/>
    </row>
    <row r="728" spans="1:337" ht="15" thickBot="1" x14ac:dyDescent="0.4">
      <c r="A728" s="45" t="s">
        <v>31</v>
      </c>
      <c r="B728" s="45" t="s">
        <v>38</v>
      </c>
      <c r="C728" s="46">
        <v>46349</v>
      </c>
      <c r="D728" s="47"/>
      <c r="E728" s="47"/>
      <c r="F728" s="47"/>
      <c r="G728" s="142"/>
      <c r="H728" s="142"/>
      <c r="I728" s="142"/>
      <c r="J728" s="142"/>
      <c r="K728" s="142"/>
      <c r="L728" s="47">
        <v>2</v>
      </c>
      <c r="M728" s="47"/>
      <c r="N728" s="47"/>
      <c r="O728" s="47"/>
      <c r="P728" s="47"/>
      <c r="Q728" s="47"/>
      <c r="R728" s="47"/>
      <c r="S728" s="47"/>
      <c r="T728" s="144"/>
      <c r="U728" s="144"/>
      <c r="V728" s="45"/>
      <c r="W728" s="45"/>
      <c r="X728" s="47"/>
      <c r="Y728" s="144"/>
      <c r="Z728" s="144"/>
      <c r="AA728" s="146"/>
      <c r="AB728" s="146"/>
      <c r="AC728" s="142"/>
      <c r="AD728" s="142"/>
      <c r="AE728" s="142"/>
    </row>
    <row r="729" spans="1:337" s="53" customFormat="1" ht="15" thickBot="1" x14ac:dyDescent="0.4">
      <c r="A729" s="49"/>
      <c r="B729" s="49"/>
      <c r="C729" s="50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49"/>
      <c r="U729" s="49"/>
      <c r="V729" s="49"/>
      <c r="W729" s="49"/>
      <c r="X729" s="51"/>
      <c r="Y729" s="49"/>
      <c r="Z729" s="49"/>
      <c r="AA729" s="52"/>
      <c r="AB729" s="52"/>
      <c r="AC729" s="51"/>
      <c r="AD729" s="51"/>
      <c r="AE729" s="51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/>
      <c r="EU729"/>
      <c r="EV729"/>
      <c r="EW729"/>
      <c r="EX729"/>
      <c r="EY729"/>
      <c r="EZ729"/>
      <c r="FA729"/>
      <c r="FB729"/>
      <c r="FC729"/>
      <c r="FD729"/>
      <c r="FE729"/>
      <c r="FF729"/>
      <c r="FG729"/>
      <c r="FH729"/>
      <c r="FI729"/>
      <c r="FJ729"/>
      <c r="FK729"/>
      <c r="FL729"/>
      <c r="FM729"/>
      <c r="FN729"/>
      <c r="FO729"/>
      <c r="FP729"/>
      <c r="FQ729"/>
      <c r="FR729"/>
      <c r="FS729"/>
      <c r="FT729"/>
      <c r="FU729"/>
      <c r="FV729"/>
      <c r="FW729"/>
      <c r="FX729"/>
      <c r="FY729"/>
      <c r="FZ729"/>
      <c r="GA729"/>
      <c r="GB729"/>
      <c r="GC729"/>
      <c r="GD729"/>
      <c r="GE729"/>
      <c r="GF729"/>
      <c r="GG729"/>
      <c r="GH729"/>
      <c r="GI729"/>
      <c r="GJ729"/>
      <c r="GK729"/>
      <c r="GL729"/>
      <c r="GM729"/>
      <c r="GN729"/>
      <c r="GO729"/>
      <c r="GP729"/>
      <c r="GQ729"/>
      <c r="GR729"/>
      <c r="GS729"/>
      <c r="GT729"/>
      <c r="GU729"/>
      <c r="GV729"/>
      <c r="GW729"/>
      <c r="GX729"/>
      <c r="GY729"/>
      <c r="GZ729"/>
      <c r="HA729"/>
      <c r="HB729"/>
      <c r="HC729"/>
      <c r="HD729"/>
      <c r="HE729"/>
      <c r="HF729"/>
      <c r="HG729"/>
      <c r="HH729"/>
      <c r="HI729"/>
      <c r="HJ729"/>
      <c r="HK729"/>
      <c r="HL729"/>
      <c r="HM729"/>
      <c r="HN729"/>
      <c r="HO729"/>
      <c r="HP729"/>
      <c r="HQ729"/>
      <c r="HR729"/>
      <c r="HS729"/>
      <c r="HT729"/>
      <c r="HU729"/>
      <c r="HV729"/>
      <c r="HW729"/>
      <c r="HX729"/>
      <c r="HY729"/>
      <c r="HZ729"/>
      <c r="IA729"/>
      <c r="IB729"/>
      <c r="IC729"/>
      <c r="ID729"/>
      <c r="IE729"/>
      <c r="IF729"/>
      <c r="IG729"/>
      <c r="IH729"/>
      <c r="II729"/>
      <c r="IJ729"/>
      <c r="IK729"/>
      <c r="IL729"/>
      <c r="IM729"/>
      <c r="IN729"/>
      <c r="IO729"/>
      <c r="IP729"/>
      <c r="IQ729"/>
      <c r="IR729"/>
      <c r="IS729"/>
      <c r="IT729"/>
      <c r="IU729"/>
      <c r="IV729"/>
      <c r="IW729"/>
      <c r="IX729"/>
      <c r="IY729"/>
      <c r="IZ729"/>
      <c r="JA729"/>
      <c r="JB729"/>
      <c r="JC729"/>
      <c r="JD729"/>
      <c r="JE729"/>
      <c r="JF729"/>
      <c r="JG729"/>
      <c r="JH729"/>
      <c r="JI729"/>
      <c r="JJ729"/>
      <c r="JK729"/>
      <c r="JL729"/>
      <c r="JM729"/>
      <c r="JN729"/>
      <c r="JO729"/>
      <c r="JP729"/>
      <c r="JQ729"/>
      <c r="JR729"/>
      <c r="JS729"/>
      <c r="JT729"/>
      <c r="JU729"/>
      <c r="JV729"/>
      <c r="JW729"/>
      <c r="JX729"/>
      <c r="JY729"/>
      <c r="JZ729"/>
      <c r="KA729"/>
      <c r="KB729"/>
      <c r="KC729"/>
      <c r="KD729"/>
      <c r="KE729"/>
      <c r="KF729"/>
      <c r="KG729"/>
      <c r="KH729"/>
      <c r="KI729"/>
      <c r="KJ729"/>
      <c r="KK729"/>
      <c r="KL729"/>
      <c r="KM729"/>
      <c r="KN729"/>
      <c r="KO729"/>
      <c r="KP729"/>
      <c r="KQ729"/>
      <c r="KR729"/>
      <c r="KS729"/>
      <c r="KT729"/>
      <c r="KU729"/>
      <c r="KV729"/>
      <c r="KW729"/>
      <c r="KX729"/>
      <c r="KY729"/>
      <c r="KZ729"/>
      <c r="LA729"/>
      <c r="LB729"/>
      <c r="LC729"/>
      <c r="LD729"/>
      <c r="LE729"/>
      <c r="LF729"/>
      <c r="LG729"/>
      <c r="LH729"/>
      <c r="LI729"/>
      <c r="LJ729"/>
      <c r="LK729"/>
      <c r="LL729"/>
      <c r="LM729"/>
      <c r="LN729"/>
      <c r="LO729"/>
      <c r="LP729"/>
      <c r="LQ729"/>
      <c r="LR729"/>
      <c r="LS729"/>
      <c r="LT729"/>
      <c r="LU729"/>
      <c r="LV729"/>
      <c r="LW729"/>
      <c r="LX729"/>
      <c r="LY729"/>
    </row>
    <row r="730" spans="1:337" x14ac:dyDescent="0.35">
      <c r="A730" s="41" t="s">
        <v>31</v>
      </c>
      <c r="B730" s="41" t="s">
        <v>32</v>
      </c>
      <c r="C730" s="42">
        <v>46350</v>
      </c>
      <c r="D730" s="43">
        <v>0</v>
      </c>
      <c r="E730" s="43">
        <v>20</v>
      </c>
      <c r="F730" s="43">
        <v>20</v>
      </c>
      <c r="G730" s="43">
        <v>28</v>
      </c>
      <c r="H730" s="43">
        <v>40</v>
      </c>
      <c r="I730" s="43">
        <v>10</v>
      </c>
      <c r="J730" s="43">
        <v>21449</v>
      </c>
      <c r="K730" s="43">
        <f>SUM(L730:L732)</f>
        <v>6</v>
      </c>
      <c r="L730" s="43">
        <v>2</v>
      </c>
      <c r="M730" s="43"/>
      <c r="N730" s="43">
        <v>4</v>
      </c>
      <c r="O730" s="43">
        <v>3</v>
      </c>
      <c r="P730" s="43">
        <v>7</v>
      </c>
      <c r="Q730" s="43">
        <v>6</v>
      </c>
      <c r="R730" s="43">
        <v>9</v>
      </c>
      <c r="S730" s="43">
        <v>9</v>
      </c>
      <c r="T730" s="43">
        <v>25</v>
      </c>
      <c r="U730" s="43">
        <v>4</v>
      </c>
      <c r="V730" s="41" t="s">
        <v>33</v>
      </c>
      <c r="W730" s="41" t="s">
        <v>34</v>
      </c>
      <c r="X730" s="41">
        <v>1</v>
      </c>
      <c r="Y730" s="41">
        <v>3</v>
      </c>
      <c r="Z730" s="41">
        <v>322</v>
      </c>
      <c r="AA730" s="44">
        <v>34</v>
      </c>
      <c r="AB730" s="44">
        <v>34</v>
      </c>
      <c r="AC730" s="43">
        <v>45</v>
      </c>
      <c r="AD730" s="43">
        <v>30</v>
      </c>
      <c r="AE730" s="43">
        <v>45</v>
      </c>
    </row>
    <row r="731" spans="1:337" x14ac:dyDescent="0.35">
      <c r="A731" s="32" t="s">
        <v>31</v>
      </c>
      <c r="B731" s="32" t="s">
        <v>35</v>
      </c>
      <c r="C731" s="33">
        <v>46350</v>
      </c>
      <c r="D731" s="34">
        <v>13</v>
      </c>
      <c r="E731" s="34">
        <v>24</v>
      </c>
      <c r="F731" s="34">
        <v>25</v>
      </c>
      <c r="G731" s="141"/>
      <c r="H731" s="141"/>
      <c r="I731" s="141"/>
      <c r="J731" s="141"/>
      <c r="K731" s="141"/>
      <c r="L731" s="34">
        <v>2</v>
      </c>
      <c r="M731" s="34">
        <v>5</v>
      </c>
      <c r="N731" s="34">
        <v>4</v>
      </c>
      <c r="O731" s="34">
        <v>4</v>
      </c>
      <c r="P731" s="32">
        <v>7</v>
      </c>
      <c r="Q731" s="32">
        <v>7</v>
      </c>
      <c r="R731" s="32">
        <v>8</v>
      </c>
      <c r="S731" s="32">
        <v>6</v>
      </c>
      <c r="T731" s="143"/>
      <c r="U731" s="143"/>
      <c r="V731" s="32" t="s">
        <v>36</v>
      </c>
      <c r="W731" s="32" t="s">
        <v>37</v>
      </c>
      <c r="X731" s="32">
        <v>1</v>
      </c>
      <c r="Y731" s="143"/>
      <c r="Z731" s="143"/>
      <c r="AA731" s="145"/>
      <c r="AB731" s="145"/>
      <c r="AC731" s="141"/>
      <c r="AD731" s="141"/>
      <c r="AE731" s="141"/>
    </row>
    <row r="732" spans="1:337" ht="15" thickBot="1" x14ac:dyDescent="0.4">
      <c r="A732" s="45" t="s">
        <v>31</v>
      </c>
      <c r="B732" s="45" t="s">
        <v>38</v>
      </c>
      <c r="C732" s="46">
        <v>46350</v>
      </c>
      <c r="D732" s="47"/>
      <c r="E732" s="47"/>
      <c r="F732" s="47"/>
      <c r="G732" s="142"/>
      <c r="H732" s="142"/>
      <c r="I732" s="142"/>
      <c r="J732" s="142"/>
      <c r="K732" s="142"/>
      <c r="L732" s="47">
        <v>2</v>
      </c>
      <c r="M732" s="47"/>
      <c r="N732" s="47"/>
      <c r="O732" s="47"/>
      <c r="P732" s="47"/>
      <c r="Q732" s="47"/>
      <c r="R732" s="47"/>
      <c r="S732" s="47"/>
      <c r="T732" s="144"/>
      <c r="U732" s="144"/>
      <c r="V732" s="45"/>
      <c r="W732" s="45"/>
      <c r="X732" s="47"/>
      <c r="Y732" s="144"/>
      <c r="Z732" s="144"/>
      <c r="AA732" s="146"/>
      <c r="AB732" s="146"/>
      <c r="AC732" s="142"/>
      <c r="AD732" s="142"/>
      <c r="AE732" s="142"/>
    </row>
    <row r="733" spans="1:337" s="53" customFormat="1" ht="15" thickBot="1" x14ac:dyDescent="0.4">
      <c r="A733" s="49"/>
      <c r="B733" s="49"/>
      <c r="C733" s="50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49"/>
      <c r="U733" s="49"/>
      <c r="V733" s="49"/>
      <c r="W733" s="49"/>
      <c r="X733" s="51"/>
      <c r="Y733" s="49"/>
      <c r="Z733" s="49"/>
      <c r="AA733" s="52"/>
      <c r="AB733" s="52"/>
      <c r="AC733" s="51"/>
      <c r="AD733" s="51"/>
      <c r="AE733" s="51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/>
      <c r="EP733"/>
      <c r="EQ733"/>
      <c r="ER733"/>
      <c r="ES733"/>
      <c r="ET733"/>
      <c r="EU733"/>
      <c r="EV733"/>
      <c r="EW733"/>
      <c r="EX733"/>
      <c r="EY733"/>
      <c r="EZ733"/>
      <c r="FA733"/>
      <c r="FB733"/>
      <c r="FC733"/>
      <c r="FD733"/>
      <c r="FE733"/>
      <c r="FF733"/>
      <c r="FG733"/>
      <c r="FH733"/>
      <c r="FI733"/>
      <c r="FJ733"/>
      <c r="FK733"/>
      <c r="FL733"/>
      <c r="FM733"/>
      <c r="FN733"/>
      <c r="FO733"/>
      <c r="FP733"/>
      <c r="FQ733"/>
      <c r="FR733"/>
      <c r="FS733"/>
      <c r="FT733"/>
      <c r="FU733"/>
      <c r="FV733"/>
      <c r="FW733"/>
      <c r="FX733"/>
      <c r="FY733"/>
      <c r="FZ733"/>
      <c r="GA733"/>
      <c r="GB733"/>
      <c r="GC733"/>
      <c r="GD733"/>
      <c r="GE733"/>
      <c r="GF733"/>
      <c r="GG733"/>
      <c r="GH733"/>
      <c r="GI733"/>
      <c r="GJ733"/>
      <c r="GK733"/>
      <c r="GL733"/>
      <c r="GM733"/>
      <c r="GN733"/>
      <c r="GO733"/>
      <c r="GP733"/>
      <c r="GQ733"/>
      <c r="GR733"/>
      <c r="GS733"/>
      <c r="GT733"/>
      <c r="GU733"/>
      <c r="GV733"/>
      <c r="GW733"/>
      <c r="GX733"/>
      <c r="GY733"/>
      <c r="GZ733"/>
      <c r="HA733"/>
      <c r="HB733"/>
      <c r="HC733"/>
      <c r="HD733"/>
      <c r="HE733"/>
      <c r="HF733"/>
      <c r="HG733"/>
      <c r="HH733"/>
      <c r="HI733"/>
      <c r="HJ733"/>
      <c r="HK733"/>
      <c r="HL733"/>
      <c r="HM733"/>
      <c r="HN733"/>
      <c r="HO733"/>
      <c r="HP733"/>
      <c r="HQ733"/>
      <c r="HR733"/>
      <c r="HS733"/>
      <c r="HT733"/>
      <c r="HU733"/>
      <c r="HV733"/>
      <c r="HW733"/>
      <c r="HX733"/>
      <c r="HY733"/>
      <c r="HZ733"/>
      <c r="IA733"/>
      <c r="IB733"/>
      <c r="IC733"/>
      <c r="ID733"/>
      <c r="IE733"/>
      <c r="IF733"/>
      <c r="IG733"/>
      <c r="IH733"/>
      <c r="II733"/>
      <c r="IJ733"/>
      <c r="IK733"/>
      <c r="IL733"/>
      <c r="IM733"/>
      <c r="IN733"/>
      <c r="IO733"/>
      <c r="IP733"/>
      <c r="IQ733"/>
      <c r="IR733"/>
      <c r="IS733"/>
      <c r="IT733"/>
      <c r="IU733"/>
      <c r="IV733"/>
      <c r="IW733"/>
      <c r="IX733"/>
      <c r="IY733"/>
      <c r="IZ733"/>
      <c r="JA733"/>
      <c r="JB733"/>
      <c r="JC733"/>
      <c r="JD733"/>
      <c r="JE733"/>
      <c r="JF733"/>
      <c r="JG733"/>
      <c r="JH733"/>
      <c r="JI733"/>
      <c r="JJ733"/>
      <c r="JK733"/>
      <c r="JL733"/>
      <c r="JM733"/>
      <c r="JN733"/>
      <c r="JO733"/>
      <c r="JP733"/>
      <c r="JQ733"/>
      <c r="JR733"/>
      <c r="JS733"/>
      <c r="JT733"/>
      <c r="JU733"/>
      <c r="JV733"/>
      <c r="JW733"/>
      <c r="JX733"/>
      <c r="JY733"/>
      <c r="JZ733"/>
      <c r="KA733"/>
      <c r="KB733"/>
      <c r="KC733"/>
      <c r="KD733"/>
      <c r="KE733"/>
      <c r="KF733"/>
      <c r="KG733"/>
      <c r="KH733"/>
      <c r="KI733"/>
      <c r="KJ733"/>
      <c r="KK733"/>
      <c r="KL733"/>
      <c r="KM733"/>
      <c r="KN733"/>
      <c r="KO733"/>
      <c r="KP733"/>
      <c r="KQ733"/>
      <c r="KR733"/>
      <c r="KS733"/>
      <c r="KT733"/>
      <c r="KU733"/>
      <c r="KV733"/>
      <c r="KW733"/>
      <c r="KX733"/>
      <c r="KY733"/>
      <c r="KZ733"/>
      <c r="LA733"/>
      <c r="LB733"/>
      <c r="LC733"/>
      <c r="LD733"/>
      <c r="LE733"/>
      <c r="LF733"/>
      <c r="LG733"/>
      <c r="LH733"/>
      <c r="LI733"/>
      <c r="LJ733"/>
      <c r="LK733"/>
      <c r="LL733"/>
      <c r="LM733"/>
      <c r="LN733"/>
      <c r="LO733"/>
      <c r="LP733"/>
      <c r="LQ733"/>
      <c r="LR733"/>
      <c r="LS733"/>
      <c r="LT733"/>
      <c r="LU733"/>
      <c r="LV733"/>
      <c r="LW733"/>
      <c r="LX733"/>
      <c r="LY733"/>
    </row>
    <row r="734" spans="1:337" x14ac:dyDescent="0.35">
      <c r="A734" s="41" t="s">
        <v>31</v>
      </c>
      <c r="B734" s="41" t="s">
        <v>32</v>
      </c>
      <c r="C734" s="42">
        <v>46351</v>
      </c>
      <c r="D734" s="43">
        <v>0</v>
      </c>
      <c r="E734" s="43">
        <v>20</v>
      </c>
      <c r="F734" s="43">
        <v>20</v>
      </c>
      <c r="G734" s="43">
        <v>28</v>
      </c>
      <c r="H734" s="43">
        <v>40</v>
      </c>
      <c r="I734" s="43">
        <v>10</v>
      </c>
      <c r="J734" s="43">
        <v>21449</v>
      </c>
      <c r="K734" s="43">
        <f>SUM(L734:L736)</f>
        <v>6</v>
      </c>
      <c r="L734" s="43">
        <v>2</v>
      </c>
      <c r="M734" s="43"/>
      <c r="N734" s="43">
        <v>4</v>
      </c>
      <c r="O734" s="43">
        <v>3</v>
      </c>
      <c r="P734" s="43">
        <v>7</v>
      </c>
      <c r="Q734" s="43">
        <v>6</v>
      </c>
      <c r="R734" s="43">
        <v>9</v>
      </c>
      <c r="S734" s="43">
        <v>9</v>
      </c>
      <c r="T734" s="43">
        <v>25</v>
      </c>
      <c r="U734" s="43">
        <v>4</v>
      </c>
      <c r="V734" s="41" t="s">
        <v>33</v>
      </c>
      <c r="W734" s="41" t="s">
        <v>34</v>
      </c>
      <c r="X734" s="41">
        <v>1</v>
      </c>
      <c r="Y734" s="41">
        <v>3</v>
      </c>
      <c r="Z734" s="41">
        <v>322</v>
      </c>
      <c r="AA734" s="44">
        <v>34</v>
      </c>
      <c r="AB734" s="44">
        <v>34</v>
      </c>
      <c r="AC734" s="43">
        <v>45</v>
      </c>
      <c r="AD734" s="43">
        <v>30</v>
      </c>
      <c r="AE734" s="43">
        <v>45</v>
      </c>
    </row>
    <row r="735" spans="1:337" x14ac:dyDescent="0.35">
      <c r="A735" s="32" t="s">
        <v>31</v>
      </c>
      <c r="B735" s="32" t="s">
        <v>35</v>
      </c>
      <c r="C735" s="33">
        <v>46351</v>
      </c>
      <c r="D735" s="34">
        <v>13</v>
      </c>
      <c r="E735" s="34">
        <v>24</v>
      </c>
      <c r="F735" s="34">
        <v>25</v>
      </c>
      <c r="G735" s="141"/>
      <c r="H735" s="141"/>
      <c r="I735" s="141"/>
      <c r="J735" s="141"/>
      <c r="K735" s="141"/>
      <c r="L735" s="34">
        <v>2</v>
      </c>
      <c r="M735" s="34">
        <v>5</v>
      </c>
      <c r="N735" s="34">
        <v>4</v>
      </c>
      <c r="O735" s="34">
        <v>4</v>
      </c>
      <c r="P735" s="32">
        <v>7</v>
      </c>
      <c r="Q735" s="32">
        <v>7</v>
      </c>
      <c r="R735" s="32">
        <v>8</v>
      </c>
      <c r="S735" s="32">
        <v>6</v>
      </c>
      <c r="T735" s="143"/>
      <c r="U735" s="143"/>
      <c r="V735" s="32" t="s">
        <v>36</v>
      </c>
      <c r="W735" s="32" t="s">
        <v>37</v>
      </c>
      <c r="X735" s="32">
        <v>1</v>
      </c>
      <c r="Y735" s="143"/>
      <c r="Z735" s="143"/>
      <c r="AA735" s="145"/>
      <c r="AB735" s="145"/>
      <c r="AC735" s="141"/>
      <c r="AD735" s="141"/>
      <c r="AE735" s="141"/>
    </row>
    <row r="736" spans="1:337" ht="15" thickBot="1" x14ac:dyDescent="0.4">
      <c r="A736" s="45" t="s">
        <v>31</v>
      </c>
      <c r="B736" s="45" t="s">
        <v>38</v>
      </c>
      <c r="C736" s="46">
        <v>46351</v>
      </c>
      <c r="D736" s="47"/>
      <c r="E736" s="47"/>
      <c r="F736" s="47"/>
      <c r="G736" s="142"/>
      <c r="H736" s="142"/>
      <c r="I736" s="142"/>
      <c r="J736" s="142"/>
      <c r="K736" s="142"/>
      <c r="L736" s="47">
        <v>2</v>
      </c>
      <c r="M736" s="47"/>
      <c r="N736" s="47"/>
      <c r="O736" s="47"/>
      <c r="P736" s="47"/>
      <c r="Q736" s="47"/>
      <c r="R736" s="47"/>
      <c r="S736" s="47"/>
      <c r="T736" s="144"/>
      <c r="U736" s="144"/>
      <c r="V736" s="45"/>
      <c r="W736" s="45"/>
      <c r="X736" s="47"/>
      <c r="Y736" s="144"/>
      <c r="Z736" s="144"/>
      <c r="AA736" s="146"/>
      <c r="AB736" s="146"/>
      <c r="AC736" s="142"/>
      <c r="AD736" s="142"/>
      <c r="AE736" s="142"/>
    </row>
    <row r="737" spans="1:337" s="53" customFormat="1" ht="15" thickBot="1" x14ac:dyDescent="0.4">
      <c r="A737" s="49"/>
      <c r="B737" s="49"/>
      <c r="C737" s="50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49"/>
      <c r="U737" s="49"/>
      <c r="V737" s="49"/>
      <c r="W737" s="49"/>
      <c r="X737" s="51"/>
      <c r="Y737" s="49"/>
      <c r="Z737" s="49"/>
      <c r="AA737" s="52"/>
      <c r="AB737" s="52"/>
      <c r="AC737" s="51"/>
      <c r="AD737" s="51"/>
      <c r="AE737" s="51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/>
      <c r="ED737"/>
      <c r="EE737"/>
      <c r="EF737"/>
      <c r="EG737"/>
      <c r="EH737"/>
      <c r="EI737"/>
      <c r="EJ737"/>
      <c r="EK737"/>
      <c r="EL737"/>
      <c r="EM737"/>
      <c r="EN737"/>
      <c r="EO737"/>
      <c r="EP737"/>
      <c r="EQ737"/>
      <c r="ER737"/>
      <c r="ES737"/>
      <c r="ET737"/>
      <c r="EU737"/>
      <c r="EV737"/>
      <c r="EW737"/>
      <c r="EX737"/>
      <c r="EY737"/>
      <c r="EZ737"/>
      <c r="FA737"/>
      <c r="FB737"/>
      <c r="FC737"/>
      <c r="FD737"/>
      <c r="FE737"/>
      <c r="FF737"/>
      <c r="FG737"/>
      <c r="FH737"/>
      <c r="FI737"/>
      <c r="FJ737"/>
      <c r="FK737"/>
      <c r="FL737"/>
      <c r="FM737"/>
      <c r="FN737"/>
      <c r="FO737"/>
      <c r="FP737"/>
      <c r="FQ737"/>
      <c r="FR737"/>
      <c r="FS737"/>
      <c r="FT737"/>
      <c r="FU737"/>
      <c r="FV737"/>
      <c r="FW737"/>
      <c r="FX737"/>
      <c r="FY737"/>
      <c r="FZ737"/>
      <c r="GA737"/>
      <c r="GB737"/>
      <c r="GC737"/>
      <c r="GD737"/>
      <c r="GE737"/>
      <c r="GF737"/>
      <c r="GG737"/>
      <c r="GH737"/>
      <c r="GI737"/>
      <c r="GJ737"/>
      <c r="GK737"/>
      <c r="GL737"/>
      <c r="GM737"/>
      <c r="GN737"/>
      <c r="GO737"/>
      <c r="GP737"/>
      <c r="GQ737"/>
      <c r="GR737"/>
      <c r="GS737"/>
      <c r="GT737"/>
      <c r="GU737"/>
      <c r="GV737"/>
      <c r="GW737"/>
      <c r="GX737"/>
      <c r="GY737"/>
      <c r="GZ737"/>
      <c r="HA737"/>
      <c r="HB737"/>
      <c r="HC737"/>
      <c r="HD737"/>
      <c r="HE737"/>
      <c r="HF737"/>
      <c r="HG737"/>
      <c r="HH737"/>
      <c r="HI737"/>
      <c r="HJ737"/>
      <c r="HK737"/>
      <c r="HL737"/>
      <c r="HM737"/>
      <c r="HN737"/>
      <c r="HO737"/>
      <c r="HP737"/>
      <c r="HQ737"/>
      <c r="HR737"/>
      <c r="HS737"/>
      <c r="HT737"/>
      <c r="HU737"/>
      <c r="HV737"/>
      <c r="HW737"/>
      <c r="HX737"/>
      <c r="HY737"/>
      <c r="HZ737"/>
      <c r="IA737"/>
      <c r="IB737"/>
      <c r="IC737"/>
      <c r="ID737"/>
      <c r="IE737"/>
      <c r="IF737"/>
      <c r="IG737"/>
      <c r="IH737"/>
      <c r="II737"/>
      <c r="IJ737"/>
      <c r="IK737"/>
      <c r="IL737"/>
      <c r="IM737"/>
      <c r="IN737"/>
      <c r="IO737"/>
      <c r="IP737"/>
      <c r="IQ737"/>
      <c r="IR737"/>
      <c r="IS737"/>
      <c r="IT737"/>
      <c r="IU737"/>
      <c r="IV737"/>
      <c r="IW737"/>
      <c r="IX737"/>
      <c r="IY737"/>
      <c r="IZ737"/>
      <c r="JA737"/>
      <c r="JB737"/>
      <c r="JC737"/>
      <c r="JD737"/>
      <c r="JE737"/>
      <c r="JF737"/>
      <c r="JG737"/>
      <c r="JH737"/>
      <c r="JI737"/>
      <c r="JJ737"/>
      <c r="JK737"/>
      <c r="JL737"/>
      <c r="JM737"/>
      <c r="JN737"/>
      <c r="JO737"/>
      <c r="JP737"/>
      <c r="JQ737"/>
      <c r="JR737"/>
      <c r="JS737"/>
      <c r="JT737"/>
      <c r="JU737"/>
      <c r="JV737"/>
      <c r="JW737"/>
      <c r="JX737"/>
      <c r="JY737"/>
      <c r="JZ737"/>
      <c r="KA737"/>
      <c r="KB737"/>
      <c r="KC737"/>
      <c r="KD737"/>
      <c r="KE737"/>
      <c r="KF737"/>
      <c r="KG737"/>
      <c r="KH737"/>
      <c r="KI737"/>
      <c r="KJ737"/>
      <c r="KK737"/>
      <c r="KL737"/>
      <c r="KM737"/>
      <c r="KN737"/>
      <c r="KO737"/>
      <c r="KP737"/>
      <c r="KQ737"/>
      <c r="KR737"/>
      <c r="KS737"/>
      <c r="KT737"/>
      <c r="KU737"/>
      <c r="KV737"/>
      <c r="KW737"/>
      <c r="KX737"/>
      <c r="KY737"/>
      <c r="KZ737"/>
      <c r="LA737"/>
      <c r="LB737"/>
      <c r="LC737"/>
      <c r="LD737"/>
      <c r="LE737"/>
      <c r="LF737"/>
      <c r="LG737"/>
      <c r="LH737"/>
      <c r="LI737"/>
      <c r="LJ737"/>
      <c r="LK737"/>
      <c r="LL737"/>
      <c r="LM737"/>
      <c r="LN737"/>
      <c r="LO737"/>
      <c r="LP737"/>
      <c r="LQ737"/>
      <c r="LR737"/>
      <c r="LS737"/>
      <c r="LT737"/>
      <c r="LU737"/>
      <c r="LV737"/>
      <c r="LW737"/>
      <c r="LX737"/>
      <c r="LY737"/>
    </row>
    <row r="738" spans="1:337" x14ac:dyDescent="0.35">
      <c r="A738" s="41" t="s">
        <v>31</v>
      </c>
      <c r="B738" s="41" t="s">
        <v>32</v>
      </c>
      <c r="C738" s="42">
        <v>46352</v>
      </c>
      <c r="D738" s="43">
        <v>0</v>
      </c>
      <c r="E738" s="43">
        <v>20</v>
      </c>
      <c r="F738" s="43">
        <v>20</v>
      </c>
      <c r="G738" s="43">
        <v>28</v>
      </c>
      <c r="H738" s="43">
        <v>40</v>
      </c>
      <c r="I738" s="43">
        <v>10</v>
      </c>
      <c r="J738" s="43">
        <v>21449</v>
      </c>
      <c r="K738" s="43">
        <f>SUM(L738:L740)</f>
        <v>6</v>
      </c>
      <c r="L738" s="43">
        <v>2</v>
      </c>
      <c r="M738" s="43"/>
      <c r="N738" s="43">
        <v>4</v>
      </c>
      <c r="O738" s="43">
        <v>3</v>
      </c>
      <c r="P738" s="43">
        <v>7</v>
      </c>
      <c r="Q738" s="43">
        <v>6</v>
      </c>
      <c r="R738" s="43">
        <v>9</v>
      </c>
      <c r="S738" s="43">
        <v>9</v>
      </c>
      <c r="T738" s="43">
        <v>25</v>
      </c>
      <c r="U738" s="43">
        <v>4</v>
      </c>
      <c r="V738" s="41" t="s">
        <v>33</v>
      </c>
      <c r="W738" s="41" t="s">
        <v>34</v>
      </c>
      <c r="X738" s="41">
        <v>1</v>
      </c>
      <c r="Y738" s="41">
        <v>3</v>
      </c>
      <c r="Z738" s="41">
        <v>322</v>
      </c>
      <c r="AA738" s="44">
        <v>34</v>
      </c>
      <c r="AB738" s="44">
        <v>34</v>
      </c>
      <c r="AC738" s="43">
        <v>45</v>
      </c>
      <c r="AD738" s="43">
        <v>30</v>
      </c>
      <c r="AE738" s="43">
        <v>45</v>
      </c>
    </row>
    <row r="739" spans="1:337" x14ac:dyDescent="0.35">
      <c r="A739" s="32" t="s">
        <v>31</v>
      </c>
      <c r="B739" s="32" t="s">
        <v>35</v>
      </c>
      <c r="C739" s="33">
        <v>46352</v>
      </c>
      <c r="D739" s="34">
        <v>13</v>
      </c>
      <c r="E739" s="34">
        <v>24</v>
      </c>
      <c r="F739" s="34">
        <v>25</v>
      </c>
      <c r="G739" s="141"/>
      <c r="H739" s="141"/>
      <c r="I739" s="141"/>
      <c r="J739" s="141"/>
      <c r="K739" s="141"/>
      <c r="L739" s="34">
        <v>2</v>
      </c>
      <c r="M739" s="34">
        <v>5</v>
      </c>
      <c r="N739" s="34">
        <v>4</v>
      </c>
      <c r="O739" s="34">
        <v>4</v>
      </c>
      <c r="P739" s="32">
        <v>7</v>
      </c>
      <c r="Q739" s="32">
        <v>7</v>
      </c>
      <c r="R739" s="32">
        <v>8</v>
      </c>
      <c r="S739" s="32">
        <v>6</v>
      </c>
      <c r="T739" s="143"/>
      <c r="U739" s="143"/>
      <c r="V739" s="32" t="s">
        <v>36</v>
      </c>
      <c r="W739" s="32" t="s">
        <v>37</v>
      </c>
      <c r="X739" s="32">
        <v>1</v>
      </c>
      <c r="Y739" s="143"/>
      <c r="Z739" s="143"/>
      <c r="AA739" s="145"/>
      <c r="AB739" s="145"/>
      <c r="AC739" s="141"/>
      <c r="AD739" s="141"/>
      <c r="AE739" s="141"/>
    </row>
    <row r="740" spans="1:337" ht="15" thickBot="1" x14ac:dyDescent="0.4">
      <c r="A740" s="45" t="s">
        <v>31</v>
      </c>
      <c r="B740" s="45" t="s">
        <v>38</v>
      </c>
      <c r="C740" s="46">
        <v>46352</v>
      </c>
      <c r="D740" s="47"/>
      <c r="E740" s="47"/>
      <c r="F740" s="47"/>
      <c r="G740" s="142"/>
      <c r="H740" s="142"/>
      <c r="I740" s="142"/>
      <c r="J740" s="142"/>
      <c r="K740" s="142"/>
      <c r="L740" s="47">
        <v>2</v>
      </c>
      <c r="M740" s="47"/>
      <c r="N740" s="47"/>
      <c r="O740" s="47"/>
      <c r="P740" s="47"/>
      <c r="Q740" s="47"/>
      <c r="R740" s="47"/>
      <c r="S740" s="47"/>
      <c r="T740" s="144"/>
      <c r="U740" s="144"/>
      <c r="V740" s="45"/>
      <c r="W740" s="45"/>
      <c r="X740" s="47"/>
      <c r="Y740" s="144"/>
      <c r="Z740" s="144"/>
      <c r="AA740" s="146"/>
      <c r="AB740" s="146"/>
      <c r="AC740" s="142"/>
      <c r="AD740" s="142"/>
      <c r="AE740" s="142"/>
    </row>
    <row r="741" spans="1:337" s="53" customFormat="1" ht="15" thickBot="1" x14ac:dyDescent="0.4">
      <c r="A741" s="49"/>
      <c r="B741" s="49"/>
      <c r="C741" s="50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49"/>
      <c r="U741" s="49"/>
      <c r="V741" s="49"/>
      <c r="W741" s="49"/>
      <c r="X741" s="51"/>
      <c r="Y741" s="49"/>
      <c r="Z741" s="49"/>
      <c r="AA741" s="52"/>
      <c r="AB741" s="52"/>
      <c r="AC741" s="51"/>
      <c r="AD741" s="51"/>
      <c r="AE741" s="5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/>
      <c r="EU741"/>
      <c r="EV741"/>
      <c r="EW741"/>
      <c r="EX741"/>
      <c r="EY741"/>
      <c r="EZ741"/>
      <c r="FA741"/>
      <c r="FB741"/>
      <c r="FC741"/>
      <c r="FD741"/>
      <c r="FE741"/>
      <c r="FF741"/>
      <c r="FG741"/>
      <c r="FH741"/>
      <c r="FI741"/>
      <c r="FJ741"/>
      <c r="FK741"/>
      <c r="FL741"/>
      <c r="FM741"/>
      <c r="FN741"/>
      <c r="FO741"/>
      <c r="FP741"/>
      <c r="FQ741"/>
      <c r="FR741"/>
      <c r="FS741"/>
      <c r="FT741"/>
      <c r="FU741"/>
      <c r="FV741"/>
      <c r="FW741"/>
      <c r="FX741"/>
      <c r="FY741"/>
      <c r="FZ741"/>
      <c r="GA741"/>
      <c r="GB741"/>
      <c r="GC741"/>
      <c r="GD741"/>
      <c r="GE741"/>
      <c r="GF741"/>
      <c r="GG741"/>
      <c r="GH741"/>
      <c r="GI741"/>
      <c r="GJ741"/>
      <c r="GK741"/>
      <c r="GL741"/>
      <c r="GM741"/>
      <c r="GN741"/>
      <c r="GO741"/>
      <c r="GP741"/>
      <c r="GQ741"/>
      <c r="GR741"/>
      <c r="GS741"/>
      <c r="GT741"/>
      <c r="GU741"/>
      <c r="GV741"/>
      <c r="GW741"/>
      <c r="GX741"/>
      <c r="GY741"/>
      <c r="GZ741"/>
      <c r="HA741"/>
      <c r="HB741"/>
      <c r="HC741"/>
      <c r="HD741"/>
      <c r="HE741"/>
      <c r="HF741"/>
      <c r="HG741"/>
      <c r="HH741"/>
      <c r="HI741"/>
      <c r="HJ741"/>
      <c r="HK741"/>
      <c r="HL741"/>
      <c r="HM741"/>
      <c r="HN741"/>
      <c r="HO741"/>
      <c r="HP741"/>
      <c r="HQ741"/>
      <c r="HR741"/>
      <c r="HS741"/>
      <c r="HT741"/>
      <c r="HU741"/>
      <c r="HV741"/>
      <c r="HW741"/>
      <c r="HX741"/>
      <c r="HY741"/>
      <c r="HZ741"/>
      <c r="IA741"/>
      <c r="IB741"/>
      <c r="IC741"/>
      <c r="ID741"/>
      <c r="IE741"/>
      <c r="IF741"/>
      <c r="IG741"/>
      <c r="IH741"/>
      <c r="II741"/>
      <c r="IJ741"/>
      <c r="IK741"/>
      <c r="IL741"/>
      <c r="IM741"/>
      <c r="IN741"/>
      <c r="IO741"/>
      <c r="IP741"/>
      <c r="IQ741"/>
      <c r="IR741"/>
      <c r="IS741"/>
      <c r="IT741"/>
      <c r="IU741"/>
      <c r="IV741"/>
      <c r="IW741"/>
      <c r="IX741"/>
      <c r="IY741"/>
      <c r="IZ741"/>
      <c r="JA741"/>
      <c r="JB741"/>
      <c r="JC741"/>
      <c r="JD741"/>
      <c r="JE741"/>
      <c r="JF741"/>
      <c r="JG741"/>
      <c r="JH741"/>
      <c r="JI741"/>
      <c r="JJ741"/>
      <c r="JK741"/>
      <c r="JL741"/>
      <c r="JM741"/>
      <c r="JN741"/>
      <c r="JO741"/>
      <c r="JP741"/>
      <c r="JQ741"/>
      <c r="JR741"/>
      <c r="JS741"/>
      <c r="JT741"/>
      <c r="JU741"/>
      <c r="JV741"/>
      <c r="JW741"/>
      <c r="JX741"/>
      <c r="JY741"/>
      <c r="JZ741"/>
      <c r="KA741"/>
      <c r="KB741"/>
      <c r="KC741"/>
      <c r="KD741"/>
      <c r="KE741"/>
      <c r="KF741"/>
      <c r="KG741"/>
      <c r="KH741"/>
      <c r="KI741"/>
      <c r="KJ741"/>
      <c r="KK741"/>
      <c r="KL741"/>
      <c r="KM741"/>
      <c r="KN741"/>
      <c r="KO741"/>
      <c r="KP741"/>
      <c r="KQ741"/>
      <c r="KR741"/>
      <c r="KS741"/>
      <c r="KT741"/>
      <c r="KU741"/>
      <c r="KV741"/>
      <c r="KW741"/>
      <c r="KX741"/>
      <c r="KY741"/>
      <c r="KZ741"/>
      <c r="LA741"/>
      <c r="LB741"/>
      <c r="LC741"/>
      <c r="LD741"/>
      <c r="LE741"/>
      <c r="LF741"/>
      <c r="LG741"/>
      <c r="LH741"/>
      <c r="LI741"/>
      <c r="LJ741"/>
      <c r="LK741"/>
      <c r="LL741"/>
      <c r="LM741"/>
      <c r="LN741"/>
      <c r="LO741"/>
      <c r="LP741"/>
      <c r="LQ741"/>
      <c r="LR741"/>
      <c r="LS741"/>
      <c r="LT741"/>
      <c r="LU741"/>
      <c r="LV741"/>
      <c r="LW741"/>
      <c r="LX741"/>
      <c r="LY741"/>
    </row>
    <row r="742" spans="1:337" x14ac:dyDescent="0.35">
      <c r="A742" s="41" t="s">
        <v>31</v>
      </c>
      <c r="B742" s="41" t="s">
        <v>32</v>
      </c>
      <c r="C742" s="42">
        <v>46353</v>
      </c>
      <c r="D742" s="43">
        <v>0</v>
      </c>
      <c r="E742" s="43">
        <v>20</v>
      </c>
      <c r="F742" s="43">
        <v>20</v>
      </c>
      <c r="G742" s="43">
        <v>28</v>
      </c>
      <c r="H742" s="43">
        <v>40</v>
      </c>
      <c r="I742" s="43">
        <v>10</v>
      </c>
      <c r="J742" s="43">
        <v>21449</v>
      </c>
      <c r="K742" s="43">
        <f>SUM(L742:L744)</f>
        <v>6</v>
      </c>
      <c r="L742" s="43">
        <v>2</v>
      </c>
      <c r="M742" s="43"/>
      <c r="N742" s="43">
        <v>4</v>
      </c>
      <c r="O742" s="43">
        <v>3</v>
      </c>
      <c r="P742" s="43">
        <v>7</v>
      </c>
      <c r="Q742" s="43">
        <v>6</v>
      </c>
      <c r="R742" s="43">
        <v>9</v>
      </c>
      <c r="S742" s="43">
        <v>9</v>
      </c>
      <c r="T742" s="43">
        <v>20</v>
      </c>
      <c r="U742" s="43">
        <v>3</v>
      </c>
      <c r="V742" s="41" t="s">
        <v>33</v>
      </c>
      <c r="W742" s="41" t="s">
        <v>34</v>
      </c>
      <c r="X742" s="41">
        <v>1</v>
      </c>
      <c r="Y742" s="41">
        <v>3</v>
      </c>
      <c r="Z742" s="41">
        <v>322</v>
      </c>
      <c r="AA742" s="44">
        <v>34</v>
      </c>
      <c r="AB742" s="44">
        <v>34</v>
      </c>
      <c r="AC742" s="43">
        <v>45</v>
      </c>
      <c r="AD742" s="43">
        <v>30</v>
      </c>
      <c r="AE742" s="43">
        <v>45</v>
      </c>
    </row>
    <row r="743" spans="1:337" x14ac:dyDescent="0.35">
      <c r="A743" s="32" t="s">
        <v>31</v>
      </c>
      <c r="B743" s="32" t="s">
        <v>35</v>
      </c>
      <c r="C743" s="33">
        <v>46353</v>
      </c>
      <c r="D743" s="34">
        <v>13</v>
      </c>
      <c r="E743" s="34">
        <v>24</v>
      </c>
      <c r="F743" s="34">
        <v>25</v>
      </c>
      <c r="G743" s="141"/>
      <c r="H743" s="141"/>
      <c r="I743" s="141"/>
      <c r="J743" s="141"/>
      <c r="K743" s="141"/>
      <c r="L743" s="34">
        <v>2</v>
      </c>
      <c r="M743" s="34">
        <v>5</v>
      </c>
      <c r="N743" s="34">
        <v>4</v>
      </c>
      <c r="O743" s="34">
        <v>4</v>
      </c>
      <c r="P743" s="32">
        <v>7</v>
      </c>
      <c r="Q743" s="32">
        <v>7</v>
      </c>
      <c r="R743" s="32">
        <v>8</v>
      </c>
      <c r="S743" s="32">
        <v>6</v>
      </c>
      <c r="T743" s="143"/>
      <c r="U743" s="143"/>
      <c r="V743" s="32" t="s">
        <v>36</v>
      </c>
      <c r="W743" s="32" t="s">
        <v>37</v>
      </c>
      <c r="X743" s="32">
        <v>1</v>
      </c>
      <c r="Y743" s="143"/>
      <c r="Z743" s="143"/>
      <c r="AA743" s="145"/>
      <c r="AB743" s="145"/>
      <c r="AC743" s="141"/>
      <c r="AD743" s="141"/>
      <c r="AE743" s="141"/>
    </row>
    <row r="744" spans="1:337" ht="15" thickBot="1" x14ac:dyDescent="0.4">
      <c r="A744" s="45" t="s">
        <v>31</v>
      </c>
      <c r="B744" s="45" t="s">
        <v>38</v>
      </c>
      <c r="C744" s="46">
        <v>46353</v>
      </c>
      <c r="D744" s="47"/>
      <c r="E744" s="47"/>
      <c r="F744" s="47"/>
      <c r="G744" s="142"/>
      <c r="H744" s="142"/>
      <c r="I744" s="142"/>
      <c r="J744" s="142"/>
      <c r="K744" s="142"/>
      <c r="L744" s="47">
        <v>2</v>
      </c>
      <c r="M744" s="47"/>
      <c r="N744" s="47"/>
      <c r="O744" s="47"/>
      <c r="P744" s="47"/>
      <c r="Q744" s="47"/>
      <c r="R744" s="47"/>
      <c r="S744" s="47"/>
      <c r="T744" s="144"/>
      <c r="U744" s="144"/>
      <c r="V744" s="45"/>
      <c r="W744" s="45"/>
      <c r="X744" s="47"/>
      <c r="Y744" s="144"/>
      <c r="Z744" s="144"/>
      <c r="AA744" s="146"/>
      <c r="AB744" s="146"/>
      <c r="AC744" s="142"/>
      <c r="AD744" s="142"/>
      <c r="AE744" s="142"/>
    </row>
    <row r="745" spans="1:337" s="53" customFormat="1" ht="15" thickBot="1" x14ac:dyDescent="0.4">
      <c r="A745" s="49"/>
      <c r="B745" s="49"/>
      <c r="C745" s="50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49"/>
      <c r="U745" s="49"/>
      <c r="V745" s="49"/>
      <c r="W745" s="49"/>
      <c r="X745" s="51"/>
      <c r="Y745" s="49"/>
      <c r="Z745" s="49"/>
      <c r="AA745" s="52"/>
      <c r="AB745" s="52"/>
      <c r="AC745" s="51"/>
      <c r="AD745" s="51"/>
      <c r="AE745" s="51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/>
      <c r="EU745"/>
      <c r="EV745"/>
      <c r="EW745"/>
      <c r="EX745"/>
      <c r="EY745"/>
      <c r="EZ745"/>
      <c r="FA745"/>
      <c r="FB745"/>
      <c r="FC745"/>
      <c r="FD745"/>
      <c r="FE745"/>
      <c r="FF745"/>
      <c r="FG745"/>
      <c r="FH745"/>
      <c r="FI745"/>
      <c r="FJ745"/>
      <c r="FK745"/>
      <c r="FL745"/>
      <c r="FM745"/>
      <c r="FN745"/>
      <c r="FO745"/>
      <c r="FP745"/>
      <c r="FQ745"/>
      <c r="FR745"/>
      <c r="FS745"/>
      <c r="FT745"/>
      <c r="FU745"/>
      <c r="FV745"/>
      <c r="FW745"/>
      <c r="FX745"/>
      <c r="FY745"/>
      <c r="FZ745"/>
      <c r="GA745"/>
      <c r="GB745"/>
      <c r="GC745"/>
      <c r="GD745"/>
      <c r="GE745"/>
      <c r="GF745"/>
      <c r="GG745"/>
      <c r="GH745"/>
      <c r="GI745"/>
      <c r="GJ745"/>
      <c r="GK745"/>
      <c r="GL745"/>
      <c r="GM745"/>
      <c r="GN745"/>
      <c r="GO745"/>
      <c r="GP745"/>
      <c r="GQ745"/>
      <c r="GR745"/>
      <c r="GS745"/>
      <c r="GT745"/>
      <c r="GU745"/>
      <c r="GV745"/>
      <c r="GW745"/>
      <c r="GX745"/>
      <c r="GY745"/>
      <c r="GZ745"/>
      <c r="HA745"/>
      <c r="HB745"/>
      <c r="HC745"/>
      <c r="HD745"/>
      <c r="HE745"/>
      <c r="HF745"/>
      <c r="HG745"/>
      <c r="HH745"/>
      <c r="HI745"/>
      <c r="HJ745"/>
      <c r="HK745"/>
      <c r="HL745"/>
      <c r="HM745"/>
      <c r="HN745"/>
      <c r="HO745"/>
      <c r="HP745"/>
      <c r="HQ745"/>
      <c r="HR745"/>
      <c r="HS745"/>
      <c r="HT745"/>
      <c r="HU745"/>
      <c r="HV745"/>
      <c r="HW745"/>
      <c r="HX745"/>
      <c r="HY745"/>
      <c r="HZ745"/>
      <c r="IA745"/>
      <c r="IB745"/>
      <c r="IC745"/>
      <c r="ID745"/>
      <c r="IE745"/>
      <c r="IF745"/>
      <c r="IG745"/>
      <c r="IH745"/>
      <c r="II745"/>
      <c r="IJ745"/>
      <c r="IK745"/>
      <c r="IL745"/>
      <c r="IM745"/>
      <c r="IN745"/>
      <c r="IO745"/>
      <c r="IP745"/>
      <c r="IQ745"/>
      <c r="IR745"/>
      <c r="IS745"/>
      <c r="IT745"/>
      <c r="IU745"/>
      <c r="IV745"/>
      <c r="IW745"/>
      <c r="IX745"/>
      <c r="IY745"/>
      <c r="IZ745"/>
      <c r="JA745"/>
      <c r="JB745"/>
      <c r="JC745"/>
      <c r="JD745"/>
      <c r="JE745"/>
      <c r="JF745"/>
      <c r="JG745"/>
      <c r="JH745"/>
      <c r="JI745"/>
      <c r="JJ745"/>
      <c r="JK745"/>
      <c r="JL745"/>
      <c r="JM745"/>
      <c r="JN745"/>
      <c r="JO745"/>
      <c r="JP745"/>
      <c r="JQ745"/>
      <c r="JR745"/>
      <c r="JS745"/>
      <c r="JT745"/>
      <c r="JU745"/>
      <c r="JV745"/>
      <c r="JW745"/>
      <c r="JX745"/>
      <c r="JY745"/>
      <c r="JZ745"/>
      <c r="KA745"/>
      <c r="KB745"/>
      <c r="KC745"/>
      <c r="KD745"/>
      <c r="KE745"/>
      <c r="KF745"/>
      <c r="KG745"/>
      <c r="KH745"/>
      <c r="KI745"/>
      <c r="KJ745"/>
      <c r="KK745"/>
      <c r="KL745"/>
      <c r="KM745"/>
      <c r="KN745"/>
      <c r="KO745"/>
      <c r="KP745"/>
      <c r="KQ745"/>
      <c r="KR745"/>
      <c r="KS745"/>
      <c r="KT745"/>
      <c r="KU745"/>
      <c r="KV745"/>
      <c r="KW745"/>
      <c r="KX745"/>
      <c r="KY745"/>
      <c r="KZ745"/>
      <c r="LA745"/>
      <c r="LB745"/>
      <c r="LC745"/>
      <c r="LD745"/>
      <c r="LE745"/>
      <c r="LF745"/>
      <c r="LG745"/>
      <c r="LH745"/>
      <c r="LI745"/>
      <c r="LJ745"/>
      <c r="LK745"/>
      <c r="LL745"/>
      <c r="LM745"/>
      <c r="LN745"/>
      <c r="LO745"/>
      <c r="LP745"/>
      <c r="LQ745"/>
      <c r="LR745"/>
      <c r="LS745"/>
      <c r="LT745"/>
      <c r="LU745"/>
      <c r="LV745"/>
      <c r="LW745"/>
      <c r="LX745"/>
      <c r="LY745"/>
    </row>
    <row r="746" spans="1:337" x14ac:dyDescent="0.35">
      <c r="A746" s="41" t="s">
        <v>31</v>
      </c>
      <c r="B746" s="41" t="s">
        <v>32</v>
      </c>
      <c r="C746" s="42">
        <v>46356</v>
      </c>
      <c r="D746" s="43">
        <v>0</v>
      </c>
      <c r="E746" s="43">
        <v>20</v>
      </c>
      <c r="F746" s="43">
        <v>20</v>
      </c>
      <c r="G746" s="43">
        <v>28</v>
      </c>
      <c r="H746" s="43">
        <v>40</v>
      </c>
      <c r="I746" s="43">
        <v>10</v>
      </c>
      <c r="J746" s="43">
        <v>21449</v>
      </c>
      <c r="K746" s="43">
        <f>SUM(L746:L748)</f>
        <v>6</v>
      </c>
      <c r="L746" s="43">
        <v>2</v>
      </c>
      <c r="M746" s="43"/>
      <c r="N746" s="43">
        <v>4</v>
      </c>
      <c r="O746" s="43">
        <v>3</v>
      </c>
      <c r="P746" s="43">
        <v>7</v>
      </c>
      <c r="Q746" s="43">
        <v>6</v>
      </c>
      <c r="R746" s="43">
        <v>9</v>
      </c>
      <c r="S746" s="43">
        <v>9</v>
      </c>
      <c r="T746" s="43">
        <v>25</v>
      </c>
      <c r="U746" s="43">
        <v>4</v>
      </c>
      <c r="V746" s="41" t="s">
        <v>33</v>
      </c>
      <c r="W746" s="41" t="s">
        <v>34</v>
      </c>
      <c r="X746" s="41">
        <v>1</v>
      </c>
      <c r="Y746" s="41">
        <v>3</v>
      </c>
      <c r="Z746" s="41">
        <v>322</v>
      </c>
      <c r="AA746" s="44">
        <v>34</v>
      </c>
      <c r="AB746" s="44">
        <v>34</v>
      </c>
      <c r="AC746" s="43">
        <v>45</v>
      </c>
      <c r="AD746" s="43">
        <v>30</v>
      </c>
      <c r="AE746" s="43">
        <v>45</v>
      </c>
    </row>
    <row r="747" spans="1:337" x14ac:dyDescent="0.35">
      <c r="A747" s="32" t="s">
        <v>31</v>
      </c>
      <c r="B747" s="32" t="s">
        <v>35</v>
      </c>
      <c r="C747" s="33">
        <v>46356</v>
      </c>
      <c r="D747" s="34">
        <v>13</v>
      </c>
      <c r="E747" s="34">
        <v>24</v>
      </c>
      <c r="F747" s="34">
        <v>25</v>
      </c>
      <c r="G747" s="141"/>
      <c r="H747" s="141"/>
      <c r="I747" s="141"/>
      <c r="J747" s="141"/>
      <c r="K747" s="141"/>
      <c r="L747" s="34">
        <v>2</v>
      </c>
      <c r="M747" s="34">
        <v>5</v>
      </c>
      <c r="N747" s="34">
        <v>4</v>
      </c>
      <c r="O747" s="34">
        <v>4</v>
      </c>
      <c r="P747" s="32">
        <v>7</v>
      </c>
      <c r="Q747" s="32">
        <v>7</v>
      </c>
      <c r="R747" s="32">
        <v>8</v>
      </c>
      <c r="S747" s="32">
        <v>6</v>
      </c>
      <c r="T747" s="143"/>
      <c r="U747" s="143"/>
      <c r="V747" s="32" t="s">
        <v>36</v>
      </c>
      <c r="W747" s="32" t="s">
        <v>37</v>
      </c>
      <c r="X747" s="32">
        <v>1</v>
      </c>
      <c r="Y747" s="143"/>
      <c r="Z747" s="143"/>
      <c r="AA747" s="145"/>
      <c r="AB747" s="145"/>
      <c r="AC747" s="141"/>
      <c r="AD747" s="141"/>
      <c r="AE747" s="141"/>
    </row>
    <row r="748" spans="1:337" ht="15" thickBot="1" x14ac:dyDescent="0.4">
      <c r="A748" s="45" t="s">
        <v>31</v>
      </c>
      <c r="B748" s="45" t="s">
        <v>38</v>
      </c>
      <c r="C748" s="46">
        <v>46356</v>
      </c>
      <c r="D748" s="47"/>
      <c r="E748" s="47"/>
      <c r="F748" s="47"/>
      <c r="G748" s="142"/>
      <c r="H748" s="142"/>
      <c r="I748" s="142"/>
      <c r="J748" s="142"/>
      <c r="K748" s="142"/>
      <c r="L748" s="47">
        <v>2</v>
      </c>
      <c r="M748" s="47"/>
      <c r="N748" s="47"/>
      <c r="O748" s="47"/>
      <c r="P748" s="47"/>
      <c r="Q748" s="47"/>
      <c r="R748" s="47"/>
      <c r="S748" s="47"/>
      <c r="T748" s="144"/>
      <c r="U748" s="144"/>
      <c r="V748" s="45"/>
      <c r="W748" s="45"/>
      <c r="X748" s="47"/>
      <c r="Y748" s="144"/>
      <c r="Z748" s="144"/>
      <c r="AA748" s="146"/>
      <c r="AB748" s="146"/>
      <c r="AC748" s="142"/>
      <c r="AD748" s="142"/>
      <c r="AE748" s="142"/>
    </row>
    <row r="749" spans="1:337" s="53" customFormat="1" ht="15" thickBot="1" x14ac:dyDescent="0.4">
      <c r="A749" s="49"/>
      <c r="B749" s="49"/>
      <c r="C749" s="50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49"/>
      <c r="U749" s="49"/>
      <c r="V749" s="49"/>
      <c r="W749" s="49"/>
      <c r="X749" s="51"/>
      <c r="Y749" s="49"/>
      <c r="Z749" s="49"/>
      <c r="AA749" s="52"/>
      <c r="AB749" s="52"/>
      <c r="AC749" s="51"/>
      <c r="AD749" s="51"/>
      <c r="AE749" s="51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/>
      <c r="EU749"/>
      <c r="EV749"/>
      <c r="EW749"/>
      <c r="EX749"/>
      <c r="EY749"/>
      <c r="EZ749"/>
      <c r="FA749"/>
      <c r="FB749"/>
      <c r="FC749"/>
      <c r="FD749"/>
      <c r="FE749"/>
      <c r="FF749"/>
      <c r="FG749"/>
      <c r="FH749"/>
      <c r="FI749"/>
      <c r="FJ749"/>
      <c r="FK749"/>
      <c r="FL749"/>
      <c r="FM749"/>
      <c r="FN749"/>
      <c r="FO749"/>
      <c r="FP749"/>
      <c r="FQ749"/>
      <c r="FR749"/>
      <c r="FS749"/>
      <c r="FT749"/>
      <c r="FU749"/>
      <c r="FV749"/>
      <c r="FW749"/>
      <c r="FX749"/>
      <c r="FY749"/>
      <c r="FZ749"/>
      <c r="GA749"/>
      <c r="GB749"/>
      <c r="GC749"/>
      <c r="GD749"/>
      <c r="GE749"/>
      <c r="GF749"/>
      <c r="GG749"/>
      <c r="GH749"/>
      <c r="GI749"/>
      <c r="GJ749"/>
      <c r="GK749"/>
      <c r="GL749"/>
      <c r="GM749"/>
      <c r="GN749"/>
      <c r="GO749"/>
      <c r="GP749"/>
      <c r="GQ749"/>
      <c r="GR749"/>
      <c r="GS749"/>
      <c r="GT749"/>
      <c r="GU749"/>
      <c r="GV749"/>
      <c r="GW749"/>
      <c r="GX749"/>
      <c r="GY749"/>
      <c r="GZ749"/>
      <c r="HA749"/>
      <c r="HB749"/>
      <c r="HC749"/>
      <c r="HD749"/>
      <c r="HE749"/>
      <c r="HF749"/>
      <c r="HG749"/>
      <c r="HH749"/>
      <c r="HI749"/>
      <c r="HJ749"/>
      <c r="HK749"/>
      <c r="HL749"/>
      <c r="HM749"/>
      <c r="HN749"/>
      <c r="HO749"/>
      <c r="HP749"/>
      <c r="HQ749"/>
      <c r="HR749"/>
      <c r="HS749"/>
      <c r="HT749"/>
      <c r="HU749"/>
      <c r="HV749"/>
      <c r="HW749"/>
      <c r="HX749"/>
      <c r="HY749"/>
      <c r="HZ749"/>
      <c r="IA749"/>
      <c r="IB749"/>
      <c r="IC749"/>
      <c r="ID749"/>
      <c r="IE749"/>
      <c r="IF749"/>
      <c r="IG749"/>
      <c r="IH749"/>
      <c r="II749"/>
      <c r="IJ749"/>
      <c r="IK749"/>
      <c r="IL749"/>
      <c r="IM749"/>
      <c r="IN749"/>
      <c r="IO749"/>
      <c r="IP749"/>
      <c r="IQ749"/>
      <c r="IR749"/>
      <c r="IS749"/>
      <c r="IT749"/>
      <c r="IU749"/>
      <c r="IV749"/>
      <c r="IW749"/>
      <c r="IX749"/>
      <c r="IY749"/>
      <c r="IZ749"/>
      <c r="JA749"/>
      <c r="JB749"/>
      <c r="JC749"/>
      <c r="JD749"/>
      <c r="JE749"/>
      <c r="JF749"/>
      <c r="JG749"/>
      <c r="JH749"/>
      <c r="JI749"/>
      <c r="JJ749"/>
      <c r="JK749"/>
      <c r="JL749"/>
      <c r="JM749"/>
      <c r="JN749"/>
      <c r="JO749"/>
      <c r="JP749"/>
      <c r="JQ749"/>
      <c r="JR749"/>
      <c r="JS749"/>
      <c r="JT749"/>
      <c r="JU749"/>
      <c r="JV749"/>
      <c r="JW749"/>
      <c r="JX749"/>
      <c r="JY749"/>
      <c r="JZ749"/>
      <c r="KA749"/>
      <c r="KB749"/>
      <c r="KC749"/>
      <c r="KD749"/>
      <c r="KE749"/>
      <c r="KF749"/>
      <c r="KG749"/>
      <c r="KH749"/>
      <c r="KI749"/>
      <c r="KJ749"/>
      <c r="KK749"/>
      <c r="KL749"/>
      <c r="KM749"/>
      <c r="KN749"/>
      <c r="KO749"/>
      <c r="KP749"/>
      <c r="KQ749"/>
      <c r="KR749"/>
      <c r="KS749"/>
      <c r="KT749"/>
      <c r="KU749"/>
      <c r="KV749"/>
      <c r="KW749"/>
      <c r="KX749"/>
      <c r="KY749"/>
      <c r="KZ749"/>
      <c r="LA749"/>
      <c r="LB749"/>
      <c r="LC749"/>
      <c r="LD749"/>
      <c r="LE749"/>
      <c r="LF749"/>
      <c r="LG749"/>
      <c r="LH749"/>
      <c r="LI749"/>
      <c r="LJ749"/>
      <c r="LK749"/>
      <c r="LL749"/>
      <c r="LM749"/>
      <c r="LN749"/>
      <c r="LO749"/>
      <c r="LP749"/>
      <c r="LQ749"/>
      <c r="LR749"/>
      <c r="LS749"/>
      <c r="LT749"/>
      <c r="LU749"/>
      <c r="LV749"/>
      <c r="LW749"/>
      <c r="LX749"/>
      <c r="LY749"/>
    </row>
    <row r="750" spans="1:337" x14ac:dyDescent="0.35">
      <c r="A750" s="41" t="s">
        <v>31</v>
      </c>
      <c r="B750" s="41" t="s">
        <v>32</v>
      </c>
      <c r="C750" s="42">
        <v>46357</v>
      </c>
      <c r="D750" s="43">
        <v>0</v>
      </c>
      <c r="E750" s="43">
        <v>20</v>
      </c>
      <c r="F750" s="43">
        <v>20</v>
      </c>
      <c r="G750" s="43">
        <v>28</v>
      </c>
      <c r="H750" s="43">
        <v>40</v>
      </c>
      <c r="I750" s="43">
        <v>10</v>
      </c>
      <c r="J750" s="43">
        <v>21449</v>
      </c>
      <c r="K750" s="43">
        <f>SUM(L750:L752)</f>
        <v>6</v>
      </c>
      <c r="L750" s="43">
        <v>2</v>
      </c>
      <c r="M750" s="43"/>
      <c r="N750" s="43">
        <v>4</v>
      </c>
      <c r="O750" s="43">
        <v>3</v>
      </c>
      <c r="P750" s="43">
        <v>7</v>
      </c>
      <c r="Q750" s="43">
        <v>6</v>
      </c>
      <c r="R750" s="43">
        <v>9</v>
      </c>
      <c r="S750" s="43">
        <v>9</v>
      </c>
      <c r="T750" s="43">
        <v>25</v>
      </c>
      <c r="U750" s="43">
        <v>4</v>
      </c>
      <c r="V750" s="41" t="s">
        <v>33</v>
      </c>
      <c r="W750" s="41" t="s">
        <v>34</v>
      </c>
      <c r="X750" s="41">
        <v>1</v>
      </c>
      <c r="Y750" s="41">
        <v>3</v>
      </c>
      <c r="Z750" s="41">
        <v>322</v>
      </c>
      <c r="AA750" s="44">
        <v>34</v>
      </c>
      <c r="AB750" s="44">
        <v>34</v>
      </c>
      <c r="AC750" s="43">
        <v>45</v>
      </c>
      <c r="AD750" s="43">
        <v>30</v>
      </c>
      <c r="AE750" s="43">
        <v>45</v>
      </c>
    </row>
    <row r="751" spans="1:337" x14ac:dyDescent="0.35">
      <c r="A751" s="32" t="s">
        <v>31</v>
      </c>
      <c r="B751" s="32" t="s">
        <v>35</v>
      </c>
      <c r="C751" s="33">
        <v>46357</v>
      </c>
      <c r="D751" s="34">
        <v>13</v>
      </c>
      <c r="E751" s="34">
        <v>24</v>
      </c>
      <c r="F751" s="34">
        <v>25</v>
      </c>
      <c r="G751" s="141"/>
      <c r="H751" s="141"/>
      <c r="I751" s="141"/>
      <c r="J751" s="141"/>
      <c r="K751" s="141"/>
      <c r="L751" s="34">
        <v>2</v>
      </c>
      <c r="M751" s="34">
        <v>5</v>
      </c>
      <c r="N751" s="34">
        <v>4</v>
      </c>
      <c r="O751" s="34">
        <v>4</v>
      </c>
      <c r="P751" s="32">
        <v>7</v>
      </c>
      <c r="Q751" s="32">
        <v>7</v>
      </c>
      <c r="R751" s="32">
        <v>8</v>
      </c>
      <c r="S751" s="32">
        <v>6</v>
      </c>
      <c r="T751" s="143"/>
      <c r="U751" s="143"/>
      <c r="V751" s="32" t="s">
        <v>36</v>
      </c>
      <c r="W751" s="32" t="s">
        <v>37</v>
      </c>
      <c r="X751" s="32">
        <v>1</v>
      </c>
      <c r="Y751" s="143"/>
      <c r="Z751" s="143"/>
      <c r="AA751" s="145"/>
      <c r="AB751" s="145"/>
      <c r="AC751" s="141"/>
      <c r="AD751" s="141"/>
      <c r="AE751" s="141"/>
    </row>
    <row r="752" spans="1:337" ht="15" thickBot="1" x14ac:dyDescent="0.4">
      <c r="A752" s="45" t="s">
        <v>31</v>
      </c>
      <c r="B752" s="45" t="s">
        <v>38</v>
      </c>
      <c r="C752" s="46">
        <v>46357</v>
      </c>
      <c r="D752" s="47"/>
      <c r="E752" s="47"/>
      <c r="F752" s="47"/>
      <c r="G752" s="142"/>
      <c r="H752" s="142"/>
      <c r="I752" s="142"/>
      <c r="J752" s="142"/>
      <c r="K752" s="142"/>
      <c r="L752" s="47">
        <v>2</v>
      </c>
      <c r="M752" s="47"/>
      <c r="N752" s="47"/>
      <c r="O752" s="47"/>
      <c r="P752" s="47"/>
      <c r="Q752" s="47"/>
      <c r="R752" s="47"/>
      <c r="S752" s="47"/>
      <c r="T752" s="144"/>
      <c r="U752" s="144"/>
      <c r="V752" s="45"/>
      <c r="W752" s="45"/>
      <c r="X752" s="47"/>
      <c r="Y752" s="144"/>
      <c r="Z752" s="144"/>
      <c r="AA752" s="146"/>
      <c r="AB752" s="146"/>
      <c r="AC752" s="142"/>
      <c r="AD752" s="142"/>
      <c r="AE752" s="142"/>
    </row>
    <row r="753" spans="1:337" s="53" customFormat="1" ht="15" thickBot="1" x14ac:dyDescent="0.4">
      <c r="A753" s="49"/>
      <c r="B753" s="49"/>
      <c r="C753" s="50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49"/>
      <c r="U753" s="49"/>
      <c r="V753" s="49"/>
      <c r="W753" s="49"/>
      <c r="X753" s="51"/>
      <c r="Y753" s="49"/>
      <c r="Z753" s="49"/>
      <c r="AA753" s="52"/>
      <c r="AB753" s="52"/>
      <c r="AC753" s="51"/>
      <c r="AD753" s="51"/>
      <c r="AE753" s="51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  <c r="FB753"/>
      <c r="FC753"/>
      <c r="FD753"/>
      <c r="FE753"/>
      <c r="FF753"/>
      <c r="FG753"/>
      <c r="FH753"/>
      <c r="FI753"/>
      <c r="FJ753"/>
      <c r="FK753"/>
      <c r="FL753"/>
      <c r="FM753"/>
      <c r="FN753"/>
      <c r="FO753"/>
      <c r="FP753"/>
      <c r="FQ753"/>
      <c r="FR753"/>
      <c r="FS753"/>
      <c r="FT753"/>
      <c r="FU753"/>
      <c r="FV753"/>
      <c r="FW753"/>
      <c r="FX753"/>
      <c r="FY753"/>
      <c r="FZ753"/>
      <c r="GA753"/>
      <c r="GB753"/>
      <c r="GC753"/>
      <c r="GD753"/>
      <c r="GE753"/>
      <c r="GF753"/>
      <c r="GG753"/>
      <c r="GH753"/>
      <c r="GI753"/>
      <c r="GJ753"/>
      <c r="GK753"/>
      <c r="GL753"/>
      <c r="GM753"/>
      <c r="GN753"/>
      <c r="GO753"/>
      <c r="GP753"/>
      <c r="GQ753"/>
      <c r="GR753"/>
      <c r="GS753"/>
      <c r="GT753"/>
      <c r="GU753"/>
      <c r="GV753"/>
      <c r="GW753"/>
      <c r="GX753"/>
      <c r="GY753"/>
      <c r="GZ753"/>
      <c r="HA753"/>
      <c r="HB753"/>
      <c r="HC753"/>
      <c r="HD753"/>
      <c r="HE753"/>
      <c r="HF753"/>
      <c r="HG753"/>
      <c r="HH753"/>
      <c r="HI753"/>
      <c r="HJ753"/>
      <c r="HK753"/>
      <c r="HL753"/>
      <c r="HM753"/>
      <c r="HN753"/>
      <c r="HO753"/>
      <c r="HP753"/>
      <c r="HQ753"/>
      <c r="HR753"/>
      <c r="HS753"/>
      <c r="HT753"/>
      <c r="HU753"/>
      <c r="HV753"/>
      <c r="HW753"/>
      <c r="HX753"/>
      <c r="HY753"/>
      <c r="HZ753"/>
      <c r="IA753"/>
      <c r="IB753"/>
      <c r="IC753"/>
      <c r="ID753"/>
      <c r="IE753"/>
      <c r="IF753"/>
      <c r="IG753"/>
      <c r="IH753"/>
      <c r="II753"/>
      <c r="IJ753"/>
      <c r="IK753"/>
      <c r="IL753"/>
      <c r="IM753"/>
      <c r="IN753"/>
      <c r="IO753"/>
      <c r="IP753"/>
      <c r="IQ753"/>
      <c r="IR753"/>
      <c r="IS753"/>
      <c r="IT753"/>
      <c r="IU753"/>
      <c r="IV753"/>
      <c r="IW753"/>
      <c r="IX753"/>
      <c r="IY753"/>
      <c r="IZ753"/>
      <c r="JA753"/>
      <c r="JB753"/>
      <c r="JC753"/>
      <c r="JD753"/>
      <c r="JE753"/>
      <c r="JF753"/>
      <c r="JG753"/>
      <c r="JH753"/>
      <c r="JI753"/>
      <c r="JJ753"/>
      <c r="JK753"/>
      <c r="JL753"/>
      <c r="JM753"/>
      <c r="JN753"/>
      <c r="JO753"/>
      <c r="JP753"/>
      <c r="JQ753"/>
      <c r="JR753"/>
      <c r="JS753"/>
      <c r="JT753"/>
      <c r="JU753"/>
      <c r="JV753"/>
      <c r="JW753"/>
      <c r="JX753"/>
      <c r="JY753"/>
      <c r="JZ753"/>
      <c r="KA753"/>
      <c r="KB753"/>
      <c r="KC753"/>
      <c r="KD753"/>
      <c r="KE753"/>
      <c r="KF753"/>
      <c r="KG753"/>
      <c r="KH753"/>
      <c r="KI753"/>
      <c r="KJ753"/>
      <c r="KK753"/>
      <c r="KL753"/>
      <c r="KM753"/>
      <c r="KN753"/>
      <c r="KO753"/>
      <c r="KP753"/>
      <c r="KQ753"/>
      <c r="KR753"/>
      <c r="KS753"/>
      <c r="KT753"/>
      <c r="KU753"/>
      <c r="KV753"/>
      <c r="KW753"/>
      <c r="KX753"/>
      <c r="KY753"/>
      <c r="KZ753"/>
      <c r="LA753"/>
      <c r="LB753"/>
      <c r="LC753"/>
      <c r="LD753"/>
      <c r="LE753"/>
      <c r="LF753"/>
      <c r="LG753"/>
      <c r="LH753"/>
      <c r="LI753"/>
      <c r="LJ753"/>
      <c r="LK753"/>
      <c r="LL753"/>
      <c r="LM753"/>
      <c r="LN753"/>
      <c r="LO753"/>
      <c r="LP753"/>
      <c r="LQ753"/>
      <c r="LR753"/>
      <c r="LS753"/>
      <c r="LT753"/>
      <c r="LU753"/>
      <c r="LV753"/>
      <c r="LW753"/>
      <c r="LX753"/>
      <c r="LY753"/>
    </row>
    <row r="754" spans="1:337" x14ac:dyDescent="0.35">
      <c r="A754" s="41" t="s">
        <v>31</v>
      </c>
      <c r="B754" s="41" t="s">
        <v>32</v>
      </c>
      <c r="C754" s="42">
        <v>46358</v>
      </c>
      <c r="D754" s="43">
        <v>0</v>
      </c>
      <c r="E754" s="43">
        <v>20</v>
      </c>
      <c r="F754" s="43">
        <v>20</v>
      </c>
      <c r="G754" s="43">
        <v>28</v>
      </c>
      <c r="H754" s="43">
        <v>40</v>
      </c>
      <c r="I754" s="43">
        <v>10</v>
      </c>
      <c r="J754" s="43">
        <v>21449</v>
      </c>
      <c r="K754" s="43">
        <f>SUM(L754:L756)</f>
        <v>6</v>
      </c>
      <c r="L754" s="43">
        <v>2</v>
      </c>
      <c r="M754" s="43"/>
      <c r="N754" s="43">
        <v>4</v>
      </c>
      <c r="O754" s="43">
        <v>3</v>
      </c>
      <c r="P754" s="43">
        <v>7</v>
      </c>
      <c r="Q754" s="43">
        <v>6</v>
      </c>
      <c r="R754" s="43">
        <v>9</v>
      </c>
      <c r="S754" s="43">
        <v>9</v>
      </c>
      <c r="T754" s="43">
        <v>25</v>
      </c>
      <c r="U754" s="43">
        <v>4</v>
      </c>
      <c r="V754" s="41" t="s">
        <v>33</v>
      </c>
      <c r="W754" s="41" t="s">
        <v>34</v>
      </c>
      <c r="X754" s="41">
        <v>1</v>
      </c>
      <c r="Y754" s="41">
        <v>3</v>
      </c>
      <c r="Z754" s="41">
        <v>322</v>
      </c>
      <c r="AA754" s="44">
        <v>34</v>
      </c>
      <c r="AB754" s="44">
        <v>34</v>
      </c>
      <c r="AC754" s="43">
        <v>45</v>
      </c>
      <c r="AD754" s="43">
        <v>30</v>
      </c>
      <c r="AE754" s="43">
        <v>45</v>
      </c>
    </row>
    <row r="755" spans="1:337" x14ac:dyDescent="0.35">
      <c r="A755" s="32" t="s">
        <v>31</v>
      </c>
      <c r="B755" s="32" t="s">
        <v>35</v>
      </c>
      <c r="C755" s="33">
        <v>46358</v>
      </c>
      <c r="D755" s="34">
        <v>13</v>
      </c>
      <c r="E755" s="34">
        <v>24</v>
      </c>
      <c r="F755" s="34">
        <v>25</v>
      </c>
      <c r="G755" s="141"/>
      <c r="H755" s="141"/>
      <c r="I755" s="141"/>
      <c r="J755" s="141"/>
      <c r="K755" s="141"/>
      <c r="L755" s="34">
        <v>2</v>
      </c>
      <c r="M755" s="34">
        <v>5</v>
      </c>
      <c r="N755" s="34">
        <v>4</v>
      </c>
      <c r="O755" s="34">
        <v>4</v>
      </c>
      <c r="P755" s="32">
        <v>7</v>
      </c>
      <c r="Q755" s="32">
        <v>7</v>
      </c>
      <c r="R755" s="32">
        <v>8</v>
      </c>
      <c r="S755" s="32">
        <v>6</v>
      </c>
      <c r="T755" s="143"/>
      <c r="U755" s="143"/>
      <c r="V755" s="32" t="s">
        <v>36</v>
      </c>
      <c r="W755" s="32" t="s">
        <v>37</v>
      </c>
      <c r="X755" s="32">
        <v>1</v>
      </c>
      <c r="Y755" s="143"/>
      <c r="Z755" s="143"/>
      <c r="AA755" s="145"/>
      <c r="AB755" s="145"/>
      <c r="AC755" s="141"/>
      <c r="AD755" s="141"/>
      <c r="AE755" s="141"/>
    </row>
    <row r="756" spans="1:337" ht="15" thickBot="1" x14ac:dyDescent="0.4">
      <c r="A756" s="45" t="s">
        <v>31</v>
      </c>
      <c r="B756" s="45" t="s">
        <v>38</v>
      </c>
      <c r="C756" s="46">
        <v>46358</v>
      </c>
      <c r="D756" s="47"/>
      <c r="E756" s="47"/>
      <c r="F756" s="47"/>
      <c r="G756" s="142"/>
      <c r="H756" s="142"/>
      <c r="I756" s="142"/>
      <c r="J756" s="142"/>
      <c r="K756" s="142"/>
      <c r="L756" s="47">
        <v>2</v>
      </c>
      <c r="M756" s="47"/>
      <c r="N756" s="47"/>
      <c r="O756" s="47"/>
      <c r="P756" s="47"/>
      <c r="Q756" s="47"/>
      <c r="R756" s="47"/>
      <c r="S756" s="47"/>
      <c r="T756" s="144"/>
      <c r="U756" s="144"/>
      <c r="V756" s="45"/>
      <c r="W756" s="45"/>
      <c r="X756" s="47"/>
      <c r="Y756" s="144"/>
      <c r="Z756" s="144"/>
      <c r="AA756" s="146"/>
      <c r="AB756" s="146"/>
      <c r="AC756" s="142"/>
      <c r="AD756" s="142"/>
      <c r="AE756" s="142"/>
    </row>
    <row r="757" spans="1:337" s="53" customFormat="1" ht="15" thickBot="1" x14ac:dyDescent="0.4">
      <c r="A757" s="49"/>
      <c r="B757" s="49"/>
      <c r="C757" s="50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49"/>
      <c r="U757" s="49"/>
      <c r="V757" s="49"/>
      <c r="W757" s="49"/>
      <c r="X757" s="51"/>
      <c r="Y757" s="49"/>
      <c r="Z757" s="49"/>
      <c r="AA757" s="52"/>
      <c r="AB757" s="52"/>
      <c r="AC757" s="51"/>
      <c r="AD757" s="51"/>
      <c r="AE757" s="51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/>
      <c r="ED757"/>
      <c r="EE757"/>
      <c r="EF757"/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/>
      <c r="EU757"/>
      <c r="EV757"/>
      <c r="EW757"/>
      <c r="EX757"/>
      <c r="EY757"/>
      <c r="EZ757"/>
      <c r="FA757"/>
      <c r="FB757"/>
      <c r="FC757"/>
      <c r="FD757"/>
      <c r="FE757"/>
      <c r="FF757"/>
      <c r="FG757"/>
      <c r="FH757"/>
      <c r="FI757"/>
      <c r="FJ757"/>
      <c r="FK757"/>
      <c r="FL757"/>
      <c r="FM757"/>
      <c r="FN757"/>
      <c r="FO757"/>
      <c r="FP757"/>
      <c r="FQ757"/>
      <c r="FR757"/>
      <c r="FS757"/>
      <c r="FT757"/>
      <c r="FU757"/>
      <c r="FV757"/>
      <c r="FW757"/>
      <c r="FX757"/>
      <c r="FY757"/>
      <c r="FZ757"/>
      <c r="GA757"/>
      <c r="GB757"/>
      <c r="GC757"/>
      <c r="GD757"/>
      <c r="GE757"/>
      <c r="GF757"/>
      <c r="GG757"/>
      <c r="GH757"/>
      <c r="GI757"/>
      <c r="GJ757"/>
      <c r="GK757"/>
      <c r="GL757"/>
      <c r="GM757"/>
      <c r="GN757"/>
      <c r="GO757"/>
      <c r="GP757"/>
      <c r="GQ757"/>
      <c r="GR757"/>
      <c r="GS757"/>
      <c r="GT757"/>
      <c r="GU757"/>
      <c r="GV757"/>
      <c r="GW757"/>
      <c r="GX757"/>
      <c r="GY757"/>
      <c r="GZ757"/>
      <c r="HA757"/>
      <c r="HB757"/>
      <c r="HC757"/>
      <c r="HD757"/>
      <c r="HE757"/>
      <c r="HF757"/>
      <c r="HG757"/>
      <c r="HH757"/>
      <c r="HI757"/>
      <c r="HJ757"/>
      <c r="HK757"/>
      <c r="HL757"/>
      <c r="HM757"/>
      <c r="HN757"/>
      <c r="HO757"/>
      <c r="HP757"/>
      <c r="HQ757"/>
      <c r="HR757"/>
      <c r="HS757"/>
      <c r="HT757"/>
      <c r="HU757"/>
      <c r="HV757"/>
      <c r="HW757"/>
      <c r="HX757"/>
      <c r="HY757"/>
      <c r="HZ757"/>
      <c r="IA757"/>
      <c r="IB757"/>
      <c r="IC757"/>
      <c r="ID757"/>
      <c r="IE757"/>
      <c r="IF757"/>
      <c r="IG757"/>
      <c r="IH757"/>
      <c r="II757"/>
      <c r="IJ757"/>
      <c r="IK757"/>
      <c r="IL757"/>
      <c r="IM757"/>
      <c r="IN757"/>
      <c r="IO757"/>
      <c r="IP757"/>
      <c r="IQ757"/>
      <c r="IR757"/>
      <c r="IS757"/>
      <c r="IT757"/>
      <c r="IU757"/>
      <c r="IV757"/>
      <c r="IW757"/>
      <c r="IX757"/>
      <c r="IY757"/>
      <c r="IZ757"/>
      <c r="JA757"/>
      <c r="JB757"/>
      <c r="JC757"/>
      <c r="JD757"/>
      <c r="JE757"/>
      <c r="JF757"/>
      <c r="JG757"/>
      <c r="JH757"/>
      <c r="JI757"/>
      <c r="JJ757"/>
      <c r="JK757"/>
      <c r="JL757"/>
      <c r="JM757"/>
      <c r="JN757"/>
      <c r="JO757"/>
      <c r="JP757"/>
      <c r="JQ757"/>
      <c r="JR757"/>
      <c r="JS757"/>
      <c r="JT757"/>
      <c r="JU757"/>
      <c r="JV757"/>
      <c r="JW757"/>
      <c r="JX757"/>
      <c r="JY757"/>
      <c r="JZ757"/>
      <c r="KA757"/>
      <c r="KB757"/>
      <c r="KC757"/>
      <c r="KD757"/>
      <c r="KE757"/>
      <c r="KF757"/>
      <c r="KG757"/>
      <c r="KH757"/>
      <c r="KI757"/>
      <c r="KJ757"/>
      <c r="KK757"/>
      <c r="KL757"/>
      <c r="KM757"/>
      <c r="KN757"/>
      <c r="KO757"/>
      <c r="KP757"/>
      <c r="KQ757"/>
      <c r="KR757"/>
      <c r="KS757"/>
      <c r="KT757"/>
      <c r="KU757"/>
      <c r="KV757"/>
      <c r="KW757"/>
      <c r="KX757"/>
      <c r="KY757"/>
      <c r="KZ757"/>
      <c r="LA757"/>
      <c r="LB757"/>
      <c r="LC757"/>
      <c r="LD757"/>
      <c r="LE757"/>
      <c r="LF757"/>
      <c r="LG757"/>
      <c r="LH757"/>
      <c r="LI757"/>
      <c r="LJ757"/>
      <c r="LK757"/>
      <c r="LL757"/>
      <c r="LM757"/>
      <c r="LN757"/>
      <c r="LO757"/>
      <c r="LP757"/>
      <c r="LQ757"/>
      <c r="LR757"/>
      <c r="LS757"/>
      <c r="LT757"/>
      <c r="LU757"/>
      <c r="LV757"/>
      <c r="LW757"/>
      <c r="LX757"/>
      <c r="LY757"/>
    </row>
    <row r="758" spans="1:337" x14ac:dyDescent="0.35">
      <c r="A758" s="41" t="s">
        <v>31</v>
      </c>
      <c r="B758" s="41" t="s">
        <v>32</v>
      </c>
      <c r="C758" s="42">
        <v>46359</v>
      </c>
      <c r="D758" s="43">
        <v>0</v>
      </c>
      <c r="E758" s="43">
        <v>20</v>
      </c>
      <c r="F758" s="43">
        <v>20</v>
      </c>
      <c r="G758" s="43">
        <v>28</v>
      </c>
      <c r="H758" s="43">
        <v>40</v>
      </c>
      <c r="I758" s="43">
        <v>10</v>
      </c>
      <c r="J758" s="43">
        <v>21449</v>
      </c>
      <c r="K758" s="43">
        <f>SUM(L758:L760)</f>
        <v>6</v>
      </c>
      <c r="L758" s="43">
        <v>2</v>
      </c>
      <c r="M758" s="43"/>
      <c r="N758" s="43">
        <v>4</v>
      </c>
      <c r="O758" s="43">
        <v>3</v>
      </c>
      <c r="P758" s="43">
        <v>7</v>
      </c>
      <c r="Q758" s="43">
        <v>6</v>
      </c>
      <c r="R758" s="43">
        <v>9</v>
      </c>
      <c r="S758" s="43">
        <v>9</v>
      </c>
      <c r="T758" s="43">
        <v>25</v>
      </c>
      <c r="U758" s="43">
        <v>4</v>
      </c>
      <c r="V758" s="41" t="s">
        <v>33</v>
      </c>
      <c r="W758" s="41" t="s">
        <v>34</v>
      </c>
      <c r="X758" s="41">
        <v>1</v>
      </c>
      <c r="Y758" s="41">
        <v>3</v>
      </c>
      <c r="Z758" s="41">
        <v>322</v>
      </c>
      <c r="AA758" s="44">
        <v>34</v>
      </c>
      <c r="AB758" s="44">
        <v>34</v>
      </c>
      <c r="AC758" s="43">
        <v>45</v>
      </c>
      <c r="AD758" s="43">
        <v>30</v>
      </c>
      <c r="AE758" s="43">
        <v>45</v>
      </c>
    </row>
    <row r="759" spans="1:337" x14ac:dyDescent="0.35">
      <c r="A759" s="32" t="s">
        <v>31</v>
      </c>
      <c r="B759" s="32" t="s">
        <v>35</v>
      </c>
      <c r="C759" s="33">
        <v>46359</v>
      </c>
      <c r="D759" s="34">
        <v>13</v>
      </c>
      <c r="E759" s="34">
        <v>24</v>
      </c>
      <c r="F759" s="34">
        <v>25</v>
      </c>
      <c r="G759" s="141"/>
      <c r="H759" s="141"/>
      <c r="I759" s="141"/>
      <c r="J759" s="141"/>
      <c r="K759" s="141"/>
      <c r="L759" s="34">
        <v>2</v>
      </c>
      <c r="M759" s="34">
        <v>5</v>
      </c>
      <c r="N759" s="34">
        <v>4</v>
      </c>
      <c r="O759" s="34">
        <v>4</v>
      </c>
      <c r="P759" s="32">
        <v>7</v>
      </c>
      <c r="Q759" s="32">
        <v>7</v>
      </c>
      <c r="R759" s="32">
        <v>8</v>
      </c>
      <c r="S759" s="32">
        <v>6</v>
      </c>
      <c r="T759" s="143"/>
      <c r="U759" s="143"/>
      <c r="V759" s="32" t="s">
        <v>36</v>
      </c>
      <c r="W759" s="32" t="s">
        <v>37</v>
      </c>
      <c r="X759" s="32">
        <v>1</v>
      </c>
      <c r="Y759" s="143"/>
      <c r="Z759" s="143"/>
      <c r="AA759" s="145"/>
      <c r="AB759" s="145"/>
      <c r="AC759" s="141"/>
      <c r="AD759" s="141"/>
      <c r="AE759" s="141"/>
    </row>
    <row r="760" spans="1:337" ht="15" thickBot="1" x14ac:dyDescent="0.4">
      <c r="A760" s="45" t="s">
        <v>31</v>
      </c>
      <c r="B760" s="45" t="s">
        <v>38</v>
      </c>
      <c r="C760" s="46">
        <v>46359</v>
      </c>
      <c r="D760" s="47"/>
      <c r="E760" s="47"/>
      <c r="F760" s="47"/>
      <c r="G760" s="142"/>
      <c r="H760" s="142"/>
      <c r="I760" s="142"/>
      <c r="J760" s="142"/>
      <c r="K760" s="142"/>
      <c r="L760" s="47">
        <v>2</v>
      </c>
      <c r="M760" s="47"/>
      <c r="N760" s="47"/>
      <c r="O760" s="47"/>
      <c r="P760" s="47"/>
      <c r="Q760" s="47"/>
      <c r="R760" s="47"/>
      <c r="S760" s="47"/>
      <c r="T760" s="144"/>
      <c r="U760" s="144"/>
      <c r="V760" s="45"/>
      <c r="W760" s="45"/>
      <c r="X760" s="47"/>
      <c r="Y760" s="144"/>
      <c r="Z760" s="144"/>
      <c r="AA760" s="146"/>
      <c r="AB760" s="146"/>
      <c r="AC760" s="142"/>
      <c r="AD760" s="142"/>
      <c r="AE760" s="142"/>
    </row>
    <row r="761" spans="1:337" s="53" customFormat="1" ht="15" thickBot="1" x14ac:dyDescent="0.4">
      <c r="A761" s="49"/>
      <c r="B761" s="49"/>
      <c r="C761" s="50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49"/>
      <c r="U761" s="49"/>
      <c r="V761" s="49"/>
      <c r="W761" s="49"/>
      <c r="X761" s="51"/>
      <c r="Y761" s="49"/>
      <c r="Z761" s="49"/>
      <c r="AA761" s="52"/>
      <c r="AB761" s="52"/>
      <c r="AC761" s="51"/>
      <c r="AD761" s="51"/>
      <c r="AE761" s="5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/>
      <c r="DZ761"/>
      <c r="EA761"/>
      <c r="EB761"/>
      <c r="EC761"/>
      <c r="ED761"/>
      <c r="EE761"/>
      <c r="EF761"/>
      <c r="EG761"/>
      <c r="EH761"/>
      <c r="EI761"/>
      <c r="EJ761"/>
      <c r="EK761"/>
      <c r="EL761"/>
      <c r="EM761"/>
      <c r="EN761"/>
      <c r="EO761"/>
      <c r="EP761"/>
      <c r="EQ761"/>
      <c r="ER761"/>
      <c r="ES761"/>
      <c r="ET761"/>
      <c r="EU761"/>
      <c r="EV761"/>
      <c r="EW761"/>
      <c r="EX761"/>
      <c r="EY761"/>
      <c r="EZ761"/>
      <c r="FA761"/>
      <c r="FB761"/>
      <c r="FC761"/>
      <c r="FD761"/>
      <c r="FE761"/>
      <c r="FF761"/>
      <c r="FG761"/>
      <c r="FH761"/>
      <c r="FI761"/>
      <c r="FJ761"/>
      <c r="FK761"/>
      <c r="FL761"/>
      <c r="FM761"/>
      <c r="FN761"/>
      <c r="FO761"/>
      <c r="FP761"/>
      <c r="FQ761"/>
      <c r="FR761"/>
      <c r="FS761"/>
      <c r="FT761"/>
      <c r="FU761"/>
      <c r="FV761"/>
      <c r="FW761"/>
      <c r="FX761"/>
      <c r="FY761"/>
      <c r="FZ761"/>
      <c r="GA761"/>
      <c r="GB761"/>
      <c r="GC761"/>
      <c r="GD761"/>
      <c r="GE761"/>
      <c r="GF761"/>
      <c r="GG761"/>
      <c r="GH761"/>
      <c r="GI761"/>
      <c r="GJ761"/>
      <c r="GK761"/>
      <c r="GL761"/>
      <c r="GM761"/>
      <c r="GN761"/>
      <c r="GO761"/>
      <c r="GP761"/>
      <c r="GQ761"/>
      <c r="GR761"/>
      <c r="GS761"/>
      <c r="GT761"/>
      <c r="GU761"/>
      <c r="GV761"/>
      <c r="GW761"/>
      <c r="GX761"/>
      <c r="GY761"/>
      <c r="GZ761"/>
      <c r="HA761"/>
      <c r="HB761"/>
      <c r="HC761"/>
      <c r="HD761"/>
      <c r="HE761"/>
      <c r="HF761"/>
      <c r="HG761"/>
      <c r="HH761"/>
      <c r="HI761"/>
      <c r="HJ761"/>
      <c r="HK761"/>
      <c r="HL761"/>
      <c r="HM761"/>
      <c r="HN761"/>
      <c r="HO761"/>
      <c r="HP761"/>
      <c r="HQ761"/>
      <c r="HR761"/>
      <c r="HS761"/>
      <c r="HT761"/>
      <c r="HU761"/>
      <c r="HV761"/>
      <c r="HW761"/>
      <c r="HX761"/>
      <c r="HY761"/>
      <c r="HZ761"/>
      <c r="IA761"/>
      <c r="IB761"/>
      <c r="IC761"/>
      <c r="ID761"/>
      <c r="IE761"/>
      <c r="IF761"/>
      <c r="IG761"/>
      <c r="IH761"/>
      <c r="II761"/>
      <c r="IJ761"/>
      <c r="IK761"/>
      <c r="IL761"/>
      <c r="IM761"/>
      <c r="IN761"/>
      <c r="IO761"/>
      <c r="IP761"/>
      <c r="IQ761"/>
      <c r="IR761"/>
      <c r="IS761"/>
      <c r="IT761"/>
      <c r="IU761"/>
      <c r="IV761"/>
      <c r="IW761"/>
      <c r="IX761"/>
      <c r="IY761"/>
      <c r="IZ761"/>
      <c r="JA761"/>
      <c r="JB761"/>
      <c r="JC761"/>
      <c r="JD761"/>
      <c r="JE761"/>
      <c r="JF761"/>
      <c r="JG761"/>
      <c r="JH761"/>
      <c r="JI761"/>
      <c r="JJ761"/>
      <c r="JK761"/>
      <c r="JL761"/>
      <c r="JM761"/>
      <c r="JN761"/>
      <c r="JO761"/>
      <c r="JP761"/>
      <c r="JQ761"/>
      <c r="JR761"/>
      <c r="JS761"/>
      <c r="JT761"/>
      <c r="JU761"/>
      <c r="JV761"/>
      <c r="JW761"/>
      <c r="JX761"/>
      <c r="JY761"/>
      <c r="JZ761"/>
      <c r="KA761"/>
      <c r="KB761"/>
      <c r="KC761"/>
      <c r="KD761"/>
      <c r="KE761"/>
      <c r="KF761"/>
      <c r="KG761"/>
      <c r="KH761"/>
      <c r="KI761"/>
      <c r="KJ761"/>
      <c r="KK761"/>
      <c r="KL761"/>
      <c r="KM761"/>
      <c r="KN761"/>
      <c r="KO761"/>
      <c r="KP761"/>
      <c r="KQ761"/>
      <c r="KR761"/>
      <c r="KS761"/>
      <c r="KT761"/>
      <c r="KU761"/>
      <c r="KV761"/>
      <c r="KW761"/>
      <c r="KX761"/>
      <c r="KY761"/>
      <c r="KZ761"/>
      <c r="LA761"/>
      <c r="LB761"/>
      <c r="LC761"/>
      <c r="LD761"/>
      <c r="LE761"/>
      <c r="LF761"/>
      <c r="LG761"/>
      <c r="LH761"/>
      <c r="LI761"/>
      <c r="LJ761"/>
      <c r="LK761"/>
      <c r="LL761"/>
      <c r="LM761"/>
      <c r="LN761"/>
      <c r="LO761"/>
      <c r="LP761"/>
      <c r="LQ761"/>
      <c r="LR761"/>
      <c r="LS761"/>
      <c r="LT761"/>
      <c r="LU761"/>
      <c r="LV761"/>
      <c r="LW761"/>
      <c r="LX761"/>
      <c r="LY761"/>
    </row>
    <row r="762" spans="1:337" x14ac:dyDescent="0.35">
      <c r="A762" s="41" t="s">
        <v>31</v>
      </c>
      <c r="B762" s="41" t="s">
        <v>32</v>
      </c>
      <c r="C762" s="42">
        <v>46360</v>
      </c>
      <c r="D762" s="43">
        <v>0</v>
      </c>
      <c r="E762" s="43">
        <v>20</v>
      </c>
      <c r="F762" s="43">
        <v>20</v>
      </c>
      <c r="G762" s="43">
        <v>28</v>
      </c>
      <c r="H762" s="43">
        <v>40</v>
      </c>
      <c r="I762" s="43">
        <v>10</v>
      </c>
      <c r="J762" s="43">
        <v>21449</v>
      </c>
      <c r="K762" s="43">
        <f>SUM(L762:L764)</f>
        <v>6</v>
      </c>
      <c r="L762" s="43">
        <v>2</v>
      </c>
      <c r="M762" s="43"/>
      <c r="N762" s="43">
        <v>4</v>
      </c>
      <c r="O762" s="43">
        <v>3</v>
      </c>
      <c r="P762" s="43">
        <v>7</v>
      </c>
      <c r="Q762" s="43">
        <v>6</v>
      </c>
      <c r="R762" s="43">
        <v>9</v>
      </c>
      <c r="S762" s="43">
        <v>9</v>
      </c>
      <c r="T762" s="43">
        <v>25</v>
      </c>
      <c r="U762" s="43">
        <v>4</v>
      </c>
      <c r="V762" s="41" t="s">
        <v>33</v>
      </c>
      <c r="W762" s="41" t="s">
        <v>34</v>
      </c>
      <c r="X762" s="41">
        <v>1</v>
      </c>
      <c r="Y762" s="41">
        <v>3</v>
      </c>
      <c r="Z762" s="41">
        <v>322</v>
      </c>
      <c r="AA762" s="44">
        <v>34</v>
      </c>
      <c r="AB762" s="44">
        <v>34</v>
      </c>
      <c r="AC762" s="43">
        <v>45</v>
      </c>
      <c r="AD762" s="43">
        <v>30</v>
      </c>
      <c r="AE762" s="43">
        <v>45</v>
      </c>
    </row>
    <row r="763" spans="1:337" x14ac:dyDescent="0.35">
      <c r="A763" s="32" t="s">
        <v>31</v>
      </c>
      <c r="B763" s="32" t="s">
        <v>35</v>
      </c>
      <c r="C763" s="33">
        <v>46360</v>
      </c>
      <c r="D763" s="34">
        <v>13</v>
      </c>
      <c r="E763" s="34">
        <v>24</v>
      </c>
      <c r="F763" s="34">
        <v>25</v>
      </c>
      <c r="G763" s="141"/>
      <c r="H763" s="141"/>
      <c r="I763" s="141"/>
      <c r="J763" s="141"/>
      <c r="K763" s="141"/>
      <c r="L763" s="34">
        <v>2</v>
      </c>
      <c r="M763" s="34">
        <v>5</v>
      </c>
      <c r="N763" s="34">
        <v>4</v>
      </c>
      <c r="O763" s="34">
        <v>4</v>
      </c>
      <c r="P763" s="32">
        <v>7</v>
      </c>
      <c r="Q763" s="32">
        <v>7</v>
      </c>
      <c r="R763" s="32">
        <v>8</v>
      </c>
      <c r="S763" s="32">
        <v>6</v>
      </c>
      <c r="T763" s="143"/>
      <c r="U763" s="143"/>
      <c r="V763" s="32" t="s">
        <v>36</v>
      </c>
      <c r="W763" s="32" t="s">
        <v>37</v>
      </c>
      <c r="X763" s="32">
        <v>1</v>
      </c>
      <c r="Y763" s="143"/>
      <c r="Z763" s="143"/>
      <c r="AA763" s="145"/>
      <c r="AB763" s="145"/>
      <c r="AC763" s="141"/>
      <c r="AD763" s="141"/>
      <c r="AE763" s="141"/>
    </row>
    <row r="764" spans="1:337" ht="15" thickBot="1" x14ac:dyDescent="0.4">
      <c r="A764" s="45" t="s">
        <v>31</v>
      </c>
      <c r="B764" s="45" t="s">
        <v>38</v>
      </c>
      <c r="C764" s="46">
        <v>46360</v>
      </c>
      <c r="D764" s="47"/>
      <c r="E764" s="47"/>
      <c r="F764" s="47"/>
      <c r="G764" s="142"/>
      <c r="H764" s="142"/>
      <c r="I764" s="142"/>
      <c r="J764" s="142"/>
      <c r="K764" s="142"/>
      <c r="L764" s="47">
        <v>2</v>
      </c>
      <c r="M764" s="47"/>
      <c r="N764" s="47"/>
      <c r="O764" s="47"/>
      <c r="P764" s="47"/>
      <c r="Q764" s="47"/>
      <c r="R764" s="47"/>
      <c r="S764" s="47"/>
      <c r="T764" s="144"/>
      <c r="U764" s="144"/>
      <c r="V764" s="45"/>
      <c r="W764" s="45"/>
      <c r="X764" s="47"/>
      <c r="Y764" s="144"/>
      <c r="Z764" s="144"/>
      <c r="AA764" s="146"/>
      <c r="AB764" s="146"/>
      <c r="AC764" s="142"/>
      <c r="AD764" s="142"/>
      <c r="AE764" s="142"/>
    </row>
    <row r="765" spans="1:337" s="53" customFormat="1" ht="15" thickBot="1" x14ac:dyDescent="0.4">
      <c r="A765" s="49"/>
      <c r="B765" s="49"/>
      <c r="C765" s="50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49"/>
      <c r="U765" s="49"/>
      <c r="V765" s="49"/>
      <c r="W765" s="49"/>
      <c r="X765" s="51"/>
      <c r="Y765" s="49"/>
      <c r="Z765" s="49"/>
      <c r="AA765" s="52"/>
      <c r="AB765" s="52"/>
      <c r="AC765" s="51"/>
      <c r="AD765" s="51"/>
      <c r="AE765" s="51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  <c r="EW765"/>
      <c r="EX765"/>
      <c r="EY765"/>
      <c r="EZ765"/>
      <c r="FA765"/>
      <c r="FB765"/>
      <c r="FC765"/>
      <c r="FD765"/>
      <c r="FE765"/>
      <c r="FF765"/>
      <c r="FG765"/>
      <c r="FH765"/>
      <c r="FI765"/>
      <c r="FJ765"/>
      <c r="FK765"/>
      <c r="FL765"/>
      <c r="FM765"/>
      <c r="FN765"/>
      <c r="FO765"/>
      <c r="FP765"/>
      <c r="FQ765"/>
      <c r="FR765"/>
      <c r="FS765"/>
      <c r="FT765"/>
      <c r="FU765"/>
      <c r="FV765"/>
      <c r="FW765"/>
      <c r="FX765"/>
      <c r="FY765"/>
      <c r="FZ765"/>
      <c r="GA765"/>
      <c r="GB765"/>
      <c r="GC765"/>
      <c r="GD765"/>
      <c r="GE765"/>
      <c r="GF765"/>
      <c r="GG765"/>
      <c r="GH765"/>
      <c r="GI765"/>
      <c r="GJ765"/>
      <c r="GK765"/>
      <c r="GL765"/>
      <c r="GM765"/>
      <c r="GN765"/>
      <c r="GO765"/>
      <c r="GP765"/>
      <c r="GQ765"/>
      <c r="GR765"/>
      <c r="GS765"/>
      <c r="GT765"/>
      <c r="GU765"/>
      <c r="GV765"/>
      <c r="GW765"/>
      <c r="GX765"/>
      <c r="GY765"/>
      <c r="GZ765"/>
      <c r="HA765"/>
      <c r="HB765"/>
      <c r="HC765"/>
      <c r="HD765"/>
      <c r="HE765"/>
      <c r="HF765"/>
      <c r="HG765"/>
      <c r="HH765"/>
      <c r="HI765"/>
      <c r="HJ765"/>
      <c r="HK765"/>
      <c r="HL765"/>
      <c r="HM765"/>
      <c r="HN765"/>
      <c r="HO765"/>
      <c r="HP765"/>
      <c r="HQ765"/>
      <c r="HR765"/>
      <c r="HS765"/>
      <c r="HT765"/>
      <c r="HU765"/>
      <c r="HV765"/>
      <c r="HW765"/>
      <c r="HX765"/>
      <c r="HY765"/>
      <c r="HZ765"/>
      <c r="IA765"/>
      <c r="IB765"/>
      <c r="IC765"/>
      <c r="ID765"/>
      <c r="IE765"/>
      <c r="IF765"/>
      <c r="IG765"/>
      <c r="IH765"/>
      <c r="II765"/>
      <c r="IJ765"/>
      <c r="IK765"/>
      <c r="IL765"/>
      <c r="IM765"/>
      <c r="IN765"/>
      <c r="IO765"/>
      <c r="IP765"/>
      <c r="IQ765"/>
      <c r="IR765"/>
      <c r="IS765"/>
      <c r="IT765"/>
      <c r="IU765"/>
      <c r="IV765"/>
      <c r="IW765"/>
      <c r="IX765"/>
      <c r="IY765"/>
      <c r="IZ765"/>
      <c r="JA765"/>
      <c r="JB765"/>
      <c r="JC765"/>
      <c r="JD765"/>
      <c r="JE765"/>
      <c r="JF765"/>
      <c r="JG765"/>
      <c r="JH765"/>
      <c r="JI765"/>
      <c r="JJ765"/>
      <c r="JK765"/>
      <c r="JL765"/>
      <c r="JM765"/>
      <c r="JN765"/>
      <c r="JO765"/>
      <c r="JP765"/>
      <c r="JQ765"/>
      <c r="JR765"/>
      <c r="JS765"/>
      <c r="JT765"/>
      <c r="JU765"/>
      <c r="JV765"/>
      <c r="JW765"/>
      <c r="JX765"/>
      <c r="JY765"/>
      <c r="JZ765"/>
      <c r="KA765"/>
      <c r="KB765"/>
      <c r="KC765"/>
      <c r="KD765"/>
      <c r="KE765"/>
      <c r="KF765"/>
      <c r="KG765"/>
      <c r="KH765"/>
      <c r="KI765"/>
      <c r="KJ765"/>
      <c r="KK765"/>
      <c r="KL765"/>
      <c r="KM765"/>
      <c r="KN765"/>
      <c r="KO765"/>
      <c r="KP765"/>
      <c r="KQ765"/>
      <c r="KR765"/>
      <c r="KS765"/>
      <c r="KT765"/>
      <c r="KU765"/>
      <c r="KV765"/>
      <c r="KW765"/>
      <c r="KX765"/>
      <c r="KY765"/>
      <c r="KZ765"/>
      <c r="LA765"/>
      <c r="LB765"/>
      <c r="LC765"/>
      <c r="LD765"/>
      <c r="LE765"/>
      <c r="LF765"/>
      <c r="LG765"/>
      <c r="LH765"/>
      <c r="LI765"/>
      <c r="LJ765"/>
      <c r="LK765"/>
      <c r="LL765"/>
      <c r="LM765"/>
      <c r="LN765"/>
      <c r="LO765"/>
      <c r="LP765"/>
      <c r="LQ765"/>
      <c r="LR765"/>
      <c r="LS765"/>
      <c r="LT765"/>
      <c r="LU765"/>
      <c r="LV765"/>
      <c r="LW765"/>
      <c r="LX765"/>
      <c r="LY765"/>
    </row>
    <row r="766" spans="1:337" x14ac:dyDescent="0.35">
      <c r="A766" s="41" t="s">
        <v>31</v>
      </c>
      <c r="B766" s="41" t="s">
        <v>32</v>
      </c>
      <c r="C766" s="42">
        <v>46363</v>
      </c>
      <c r="D766" s="43">
        <v>0</v>
      </c>
      <c r="E766" s="43">
        <v>20</v>
      </c>
      <c r="F766" s="43">
        <v>20</v>
      </c>
      <c r="G766" s="43">
        <v>28</v>
      </c>
      <c r="H766" s="43">
        <v>40</v>
      </c>
      <c r="I766" s="43">
        <v>10</v>
      </c>
      <c r="J766" s="43">
        <v>21449</v>
      </c>
      <c r="K766" s="43">
        <f>SUM(L766:L768)</f>
        <v>6</v>
      </c>
      <c r="L766" s="43">
        <v>2</v>
      </c>
      <c r="M766" s="43"/>
      <c r="N766" s="43">
        <v>4</v>
      </c>
      <c r="O766" s="43">
        <v>3</v>
      </c>
      <c r="P766" s="43">
        <v>7</v>
      </c>
      <c r="Q766" s="43">
        <v>6</v>
      </c>
      <c r="R766" s="43">
        <v>9</v>
      </c>
      <c r="S766" s="43">
        <v>9</v>
      </c>
      <c r="T766" s="43">
        <v>25</v>
      </c>
      <c r="U766" s="43">
        <v>4</v>
      </c>
      <c r="V766" s="41" t="s">
        <v>33</v>
      </c>
      <c r="W766" s="41" t="s">
        <v>34</v>
      </c>
      <c r="X766" s="41">
        <v>1</v>
      </c>
      <c r="Y766" s="41">
        <v>3</v>
      </c>
      <c r="Z766" s="41">
        <v>322</v>
      </c>
      <c r="AA766" s="44">
        <v>34</v>
      </c>
      <c r="AB766" s="44">
        <v>34</v>
      </c>
      <c r="AC766" s="43">
        <v>45</v>
      </c>
      <c r="AD766" s="43">
        <v>30</v>
      </c>
      <c r="AE766" s="43">
        <v>45</v>
      </c>
    </row>
    <row r="767" spans="1:337" x14ac:dyDescent="0.35">
      <c r="A767" s="32" t="s">
        <v>31</v>
      </c>
      <c r="B767" s="32" t="s">
        <v>35</v>
      </c>
      <c r="C767" s="33">
        <v>46363</v>
      </c>
      <c r="D767" s="34">
        <v>13</v>
      </c>
      <c r="E767" s="34">
        <v>24</v>
      </c>
      <c r="F767" s="34">
        <v>25</v>
      </c>
      <c r="G767" s="141"/>
      <c r="H767" s="141"/>
      <c r="I767" s="141"/>
      <c r="J767" s="141"/>
      <c r="K767" s="141"/>
      <c r="L767" s="34">
        <v>2</v>
      </c>
      <c r="M767" s="34">
        <v>5</v>
      </c>
      <c r="N767" s="34">
        <v>4</v>
      </c>
      <c r="O767" s="34">
        <v>4</v>
      </c>
      <c r="P767" s="32">
        <v>7</v>
      </c>
      <c r="Q767" s="32">
        <v>7</v>
      </c>
      <c r="R767" s="32">
        <v>8</v>
      </c>
      <c r="S767" s="32">
        <v>6</v>
      </c>
      <c r="T767" s="143"/>
      <c r="U767" s="143"/>
      <c r="V767" s="32" t="s">
        <v>36</v>
      </c>
      <c r="W767" s="32" t="s">
        <v>37</v>
      </c>
      <c r="X767" s="32">
        <v>1</v>
      </c>
      <c r="Y767" s="143"/>
      <c r="Z767" s="143"/>
      <c r="AA767" s="145"/>
      <c r="AB767" s="145"/>
      <c r="AC767" s="141"/>
      <c r="AD767" s="141"/>
      <c r="AE767" s="141"/>
    </row>
    <row r="768" spans="1:337" ht="15" thickBot="1" x14ac:dyDescent="0.4">
      <c r="A768" s="45" t="s">
        <v>31</v>
      </c>
      <c r="B768" s="45" t="s">
        <v>38</v>
      </c>
      <c r="C768" s="46">
        <v>46363</v>
      </c>
      <c r="D768" s="47"/>
      <c r="E768" s="47"/>
      <c r="F768" s="47"/>
      <c r="G768" s="142"/>
      <c r="H768" s="142"/>
      <c r="I768" s="142"/>
      <c r="J768" s="142"/>
      <c r="K768" s="142"/>
      <c r="L768" s="47">
        <v>2</v>
      </c>
      <c r="M768" s="47"/>
      <c r="N768" s="47"/>
      <c r="O768" s="47"/>
      <c r="P768" s="47"/>
      <c r="Q768" s="47"/>
      <c r="R768" s="47"/>
      <c r="S768" s="47"/>
      <c r="T768" s="144"/>
      <c r="U768" s="144"/>
      <c r="V768" s="45"/>
      <c r="W768" s="45"/>
      <c r="X768" s="47"/>
      <c r="Y768" s="144"/>
      <c r="Z768" s="144"/>
      <c r="AA768" s="146"/>
      <c r="AB768" s="146"/>
      <c r="AC768" s="142"/>
      <c r="AD768" s="142"/>
      <c r="AE768" s="142"/>
    </row>
    <row r="769" spans="1:337" s="53" customFormat="1" ht="15" thickBot="1" x14ac:dyDescent="0.4">
      <c r="A769" s="49"/>
      <c r="B769" s="49"/>
      <c r="C769" s="50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49"/>
      <c r="U769" s="49"/>
      <c r="V769" s="49"/>
      <c r="W769" s="49"/>
      <c r="X769" s="51"/>
      <c r="Y769" s="49"/>
      <c r="Z769" s="49"/>
      <c r="AA769" s="52"/>
      <c r="AB769" s="52"/>
      <c r="AC769" s="51"/>
      <c r="AD769" s="51"/>
      <c r="AE769" s="51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  <c r="EW769"/>
      <c r="EX769"/>
      <c r="EY769"/>
      <c r="EZ769"/>
      <c r="FA769"/>
      <c r="FB769"/>
      <c r="FC769"/>
      <c r="FD769"/>
      <c r="FE769"/>
      <c r="FF769"/>
      <c r="FG769"/>
      <c r="FH769"/>
      <c r="FI769"/>
      <c r="FJ769"/>
      <c r="FK769"/>
      <c r="FL769"/>
      <c r="FM769"/>
      <c r="FN769"/>
      <c r="FO769"/>
      <c r="FP769"/>
      <c r="FQ769"/>
      <c r="FR769"/>
      <c r="FS769"/>
      <c r="FT769"/>
      <c r="FU769"/>
      <c r="FV769"/>
      <c r="FW769"/>
      <c r="FX769"/>
      <c r="FY769"/>
      <c r="FZ769"/>
      <c r="GA769"/>
      <c r="GB769"/>
      <c r="GC769"/>
      <c r="GD769"/>
      <c r="GE769"/>
      <c r="GF769"/>
      <c r="GG769"/>
      <c r="GH769"/>
      <c r="GI769"/>
      <c r="GJ769"/>
      <c r="GK769"/>
      <c r="GL769"/>
      <c r="GM769"/>
      <c r="GN769"/>
      <c r="GO769"/>
      <c r="GP769"/>
      <c r="GQ769"/>
      <c r="GR769"/>
      <c r="GS769"/>
      <c r="GT769"/>
      <c r="GU769"/>
      <c r="GV769"/>
      <c r="GW769"/>
      <c r="GX769"/>
      <c r="GY769"/>
      <c r="GZ769"/>
      <c r="HA769"/>
      <c r="HB769"/>
      <c r="HC769"/>
      <c r="HD769"/>
      <c r="HE769"/>
      <c r="HF769"/>
      <c r="HG769"/>
      <c r="HH769"/>
      <c r="HI769"/>
      <c r="HJ769"/>
      <c r="HK769"/>
      <c r="HL769"/>
      <c r="HM769"/>
      <c r="HN769"/>
      <c r="HO769"/>
      <c r="HP769"/>
      <c r="HQ769"/>
      <c r="HR769"/>
      <c r="HS769"/>
      <c r="HT769"/>
      <c r="HU769"/>
      <c r="HV769"/>
      <c r="HW769"/>
      <c r="HX769"/>
      <c r="HY769"/>
      <c r="HZ769"/>
      <c r="IA769"/>
      <c r="IB769"/>
      <c r="IC769"/>
      <c r="ID769"/>
      <c r="IE769"/>
      <c r="IF769"/>
      <c r="IG769"/>
      <c r="IH769"/>
      <c r="II769"/>
      <c r="IJ769"/>
      <c r="IK769"/>
      <c r="IL769"/>
      <c r="IM769"/>
      <c r="IN769"/>
      <c r="IO769"/>
      <c r="IP769"/>
      <c r="IQ769"/>
      <c r="IR769"/>
      <c r="IS769"/>
      <c r="IT769"/>
      <c r="IU769"/>
      <c r="IV769"/>
      <c r="IW769"/>
      <c r="IX769"/>
      <c r="IY769"/>
      <c r="IZ769"/>
      <c r="JA769"/>
      <c r="JB769"/>
      <c r="JC769"/>
      <c r="JD769"/>
      <c r="JE769"/>
      <c r="JF769"/>
      <c r="JG769"/>
      <c r="JH769"/>
      <c r="JI769"/>
      <c r="JJ769"/>
      <c r="JK769"/>
      <c r="JL769"/>
      <c r="JM769"/>
      <c r="JN769"/>
      <c r="JO769"/>
      <c r="JP769"/>
      <c r="JQ769"/>
      <c r="JR769"/>
      <c r="JS769"/>
      <c r="JT769"/>
      <c r="JU769"/>
      <c r="JV769"/>
      <c r="JW769"/>
      <c r="JX769"/>
      <c r="JY769"/>
      <c r="JZ769"/>
      <c r="KA769"/>
      <c r="KB769"/>
      <c r="KC769"/>
      <c r="KD769"/>
      <c r="KE769"/>
      <c r="KF769"/>
      <c r="KG769"/>
      <c r="KH769"/>
      <c r="KI769"/>
      <c r="KJ769"/>
      <c r="KK769"/>
      <c r="KL769"/>
      <c r="KM769"/>
      <c r="KN769"/>
      <c r="KO769"/>
      <c r="KP769"/>
      <c r="KQ769"/>
      <c r="KR769"/>
      <c r="KS769"/>
      <c r="KT769"/>
      <c r="KU769"/>
      <c r="KV769"/>
      <c r="KW769"/>
      <c r="KX769"/>
      <c r="KY769"/>
      <c r="KZ769"/>
      <c r="LA769"/>
      <c r="LB769"/>
      <c r="LC769"/>
      <c r="LD769"/>
      <c r="LE769"/>
      <c r="LF769"/>
      <c r="LG769"/>
      <c r="LH769"/>
      <c r="LI769"/>
      <c r="LJ769"/>
      <c r="LK769"/>
      <c r="LL769"/>
      <c r="LM769"/>
      <c r="LN769"/>
      <c r="LO769"/>
      <c r="LP769"/>
      <c r="LQ769"/>
      <c r="LR769"/>
      <c r="LS769"/>
      <c r="LT769"/>
      <c r="LU769"/>
      <c r="LV769"/>
      <c r="LW769"/>
      <c r="LX769"/>
      <c r="LY769"/>
    </row>
    <row r="770" spans="1:337" x14ac:dyDescent="0.35">
      <c r="A770" s="41" t="s">
        <v>31</v>
      </c>
      <c r="B770" s="41" t="s">
        <v>32</v>
      </c>
      <c r="C770" s="42">
        <v>46364</v>
      </c>
      <c r="D770" s="43">
        <v>0</v>
      </c>
      <c r="E770" s="43">
        <v>20</v>
      </c>
      <c r="F770" s="43">
        <v>20</v>
      </c>
      <c r="G770" s="43">
        <v>28</v>
      </c>
      <c r="H770" s="43">
        <v>40</v>
      </c>
      <c r="I770" s="43">
        <v>10</v>
      </c>
      <c r="J770" s="43">
        <v>21449</v>
      </c>
      <c r="K770" s="43">
        <f>SUM(L770:L772)</f>
        <v>6</v>
      </c>
      <c r="L770" s="43">
        <v>2</v>
      </c>
      <c r="M770" s="43"/>
      <c r="N770" s="43">
        <v>4</v>
      </c>
      <c r="O770" s="43">
        <v>3</v>
      </c>
      <c r="P770" s="43">
        <v>7</v>
      </c>
      <c r="Q770" s="43">
        <v>6</v>
      </c>
      <c r="R770" s="43">
        <v>9</v>
      </c>
      <c r="S770" s="43">
        <v>9</v>
      </c>
      <c r="T770" s="43">
        <v>20</v>
      </c>
      <c r="U770" s="43">
        <v>3</v>
      </c>
      <c r="V770" s="41" t="s">
        <v>33</v>
      </c>
      <c r="W770" s="41" t="s">
        <v>34</v>
      </c>
      <c r="X770" s="41">
        <v>1</v>
      </c>
      <c r="Y770" s="41">
        <v>3</v>
      </c>
      <c r="Z770" s="41">
        <v>322</v>
      </c>
      <c r="AA770" s="44">
        <v>34</v>
      </c>
      <c r="AB770" s="44">
        <v>34</v>
      </c>
      <c r="AC770" s="43">
        <v>45</v>
      </c>
      <c r="AD770" s="43">
        <v>30</v>
      </c>
      <c r="AE770" s="43">
        <v>45</v>
      </c>
    </row>
    <row r="771" spans="1:337" x14ac:dyDescent="0.35">
      <c r="A771" s="32" t="s">
        <v>31</v>
      </c>
      <c r="B771" s="32" t="s">
        <v>35</v>
      </c>
      <c r="C771" s="33">
        <v>46364</v>
      </c>
      <c r="D771" s="34">
        <v>13</v>
      </c>
      <c r="E771" s="34">
        <v>24</v>
      </c>
      <c r="F771" s="34">
        <v>25</v>
      </c>
      <c r="G771" s="141"/>
      <c r="H771" s="141"/>
      <c r="I771" s="141"/>
      <c r="J771" s="141"/>
      <c r="K771" s="141"/>
      <c r="L771" s="34">
        <v>2</v>
      </c>
      <c r="M771" s="34">
        <v>5</v>
      </c>
      <c r="N771" s="34">
        <v>4</v>
      </c>
      <c r="O771" s="34">
        <v>4</v>
      </c>
      <c r="P771" s="32">
        <v>7</v>
      </c>
      <c r="Q771" s="32">
        <v>7</v>
      </c>
      <c r="R771" s="32">
        <v>8</v>
      </c>
      <c r="S771" s="32">
        <v>6</v>
      </c>
      <c r="T771" s="143"/>
      <c r="U771" s="143"/>
      <c r="V771" s="32" t="s">
        <v>36</v>
      </c>
      <c r="W771" s="32" t="s">
        <v>37</v>
      </c>
      <c r="X771" s="32">
        <v>1</v>
      </c>
      <c r="Y771" s="143"/>
      <c r="Z771" s="143"/>
      <c r="AA771" s="145"/>
      <c r="AB771" s="145"/>
      <c r="AC771" s="141"/>
      <c r="AD771" s="141"/>
      <c r="AE771" s="141"/>
    </row>
    <row r="772" spans="1:337" ht="15" thickBot="1" x14ac:dyDescent="0.4">
      <c r="A772" s="45" t="s">
        <v>31</v>
      </c>
      <c r="B772" s="45" t="s">
        <v>38</v>
      </c>
      <c r="C772" s="46">
        <v>46364</v>
      </c>
      <c r="D772" s="47"/>
      <c r="E772" s="47"/>
      <c r="F772" s="47"/>
      <c r="G772" s="142"/>
      <c r="H772" s="142"/>
      <c r="I772" s="142"/>
      <c r="J772" s="142"/>
      <c r="K772" s="142"/>
      <c r="L772" s="47">
        <v>2</v>
      </c>
      <c r="M772" s="47"/>
      <c r="N772" s="47"/>
      <c r="O772" s="47"/>
      <c r="P772" s="47"/>
      <c r="Q772" s="47"/>
      <c r="R772" s="47"/>
      <c r="S772" s="47"/>
      <c r="T772" s="144"/>
      <c r="U772" s="144"/>
      <c r="V772" s="45"/>
      <c r="W772" s="45"/>
      <c r="X772" s="47"/>
      <c r="Y772" s="144"/>
      <c r="Z772" s="144"/>
      <c r="AA772" s="146"/>
      <c r="AB772" s="146"/>
      <c r="AC772" s="142"/>
      <c r="AD772" s="142"/>
      <c r="AE772" s="142"/>
    </row>
    <row r="773" spans="1:337" s="53" customFormat="1" ht="15" thickBot="1" x14ac:dyDescent="0.4">
      <c r="A773" s="49"/>
      <c r="B773" s="49"/>
      <c r="C773" s="50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49"/>
      <c r="U773" s="49"/>
      <c r="V773" s="49"/>
      <c r="W773" s="49"/>
      <c r="X773" s="51"/>
      <c r="Y773" s="49"/>
      <c r="Z773" s="49"/>
      <c r="AA773" s="52"/>
      <c r="AB773" s="52"/>
      <c r="AC773" s="51"/>
      <c r="AD773" s="51"/>
      <c r="AE773" s="51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  <c r="EA773"/>
      <c r="EB773"/>
      <c r="EC773"/>
      <c r="ED773"/>
      <c r="EE773"/>
      <c r="EF773"/>
      <c r="EG773"/>
      <c r="EH773"/>
      <c r="EI773"/>
      <c r="EJ773"/>
      <c r="EK773"/>
      <c r="EL773"/>
      <c r="EM773"/>
      <c r="EN773"/>
      <c r="EO773"/>
      <c r="EP773"/>
      <c r="EQ773"/>
      <c r="ER773"/>
      <c r="ES773"/>
      <c r="ET773"/>
      <c r="EU773"/>
      <c r="EV773"/>
      <c r="EW773"/>
      <c r="EX773"/>
      <c r="EY773"/>
      <c r="EZ773"/>
      <c r="FA773"/>
      <c r="FB773"/>
      <c r="FC773"/>
      <c r="FD773"/>
      <c r="FE773"/>
      <c r="FF773"/>
      <c r="FG773"/>
      <c r="FH773"/>
      <c r="FI773"/>
      <c r="FJ773"/>
      <c r="FK773"/>
      <c r="FL773"/>
      <c r="FM773"/>
      <c r="FN773"/>
      <c r="FO773"/>
      <c r="FP773"/>
      <c r="FQ773"/>
      <c r="FR773"/>
      <c r="FS773"/>
      <c r="FT773"/>
      <c r="FU773"/>
      <c r="FV773"/>
      <c r="FW773"/>
      <c r="FX773"/>
      <c r="FY773"/>
      <c r="FZ773"/>
      <c r="GA773"/>
      <c r="GB773"/>
      <c r="GC773"/>
      <c r="GD773"/>
      <c r="GE773"/>
      <c r="GF773"/>
      <c r="GG773"/>
      <c r="GH773"/>
      <c r="GI773"/>
      <c r="GJ773"/>
      <c r="GK773"/>
      <c r="GL773"/>
      <c r="GM773"/>
      <c r="GN773"/>
      <c r="GO773"/>
      <c r="GP773"/>
      <c r="GQ773"/>
      <c r="GR773"/>
      <c r="GS773"/>
      <c r="GT773"/>
      <c r="GU773"/>
      <c r="GV773"/>
      <c r="GW773"/>
      <c r="GX773"/>
      <c r="GY773"/>
      <c r="GZ773"/>
      <c r="HA773"/>
      <c r="HB773"/>
      <c r="HC773"/>
      <c r="HD773"/>
      <c r="HE773"/>
      <c r="HF773"/>
      <c r="HG773"/>
      <c r="HH773"/>
      <c r="HI773"/>
      <c r="HJ773"/>
      <c r="HK773"/>
      <c r="HL773"/>
      <c r="HM773"/>
      <c r="HN773"/>
      <c r="HO773"/>
      <c r="HP773"/>
      <c r="HQ773"/>
      <c r="HR773"/>
      <c r="HS773"/>
      <c r="HT773"/>
      <c r="HU773"/>
      <c r="HV773"/>
      <c r="HW773"/>
      <c r="HX773"/>
      <c r="HY773"/>
      <c r="HZ773"/>
      <c r="IA773"/>
      <c r="IB773"/>
      <c r="IC773"/>
      <c r="ID773"/>
      <c r="IE773"/>
      <c r="IF773"/>
      <c r="IG773"/>
      <c r="IH773"/>
      <c r="II773"/>
      <c r="IJ773"/>
      <c r="IK773"/>
      <c r="IL773"/>
      <c r="IM773"/>
      <c r="IN773"/>
      <c r="IO773"/>
      <c r="IP773"/>
      <c r="IQ773"/>
      <c r="IR773"/>
      <c r="IS773"/>
      <c r="IT773"/>
      <c r="IU773"/>
      <c r="IV773"/>
      <c r="IW773"/>
      <c r="IX773"/>
      <c r="IY773"/>
      <c r="IZ773"/>
      <c r="JA773"/>
      <c r="JB773"/>
      <c r="JC773"/>
      <c r="JD773"/>
      <c r="JE773"/>
      <c r="JF773"/>
      <c r="JG773"/>
      <c r="JH773"/>
      <c r="JI773"/>
      <c r="JJ773"/>
      <c r="JK773"/>
      <c r="JL773"/>
      <c r="JM773"/>
      <c r="JN773"/>
      <c r="JO773"/>
      <c r="JP773"/>
      <c r="JQ773"/>
      <c r="JR773"/>
      <c r="JS773"/>
      <c r="JT773"/>
      <c r="JU773"/>
      <c r="JV773"/>
      <c r="JW773"/>
      <c r="JX773"/>
      <c r="JY773"/>
      <c r="JZ773"/>
      <c r="KA773"/>
      <c r="KB773"/>
      <c r="KC773"/>
      <c r="KD773"/>
      <c r="KE773"/>
      <c r="KF773"/>
      <c r="KG773"/>
      <c r="KH773"/>
      <c r="KI773"/>
      <c r="KJ773"/>
      <c r="KK773"/>
      <c r="KL773"/>
      <c r="KM773"/>
      <c r="KN773"/>
      <c r="KO773"/>
      <c r="KP773"/>
      <c r="KQ773"/>
      <c r="KR773"/>
      <c r="KS773"/>
      <c r="KT773"/>
      <c r="KU773"/>
      <c r="KV773"/>
      <c r="KW773"/>
      <c r="KX773"/>
      <c r="KY773"/>
      <c r="KZ773"/>
      <c r="LA773"/>
      <c r="LB773"/>
      <c r="LC773"/>
      <c r="LD773"/>
      <c r="LE773"/>
      <c r="LF773"/>
      <c r="LG773"/>
      <c r="LH773"/>
      <c r="LI773"/>
      <c r="LJ773"/>
      <c r="LK773"/>
      <c r="LL773"/>
      <c r="LM773"/>
      <c r="LN773"/>
      <c r="LO773"/>
      <c r="LP773"/>
      <c r="LQ773"/>
      <c r="LR773"/>
      <c r="LS773"/>
      <c r="LT773"/>
      <c r="LU773"/>
      <c r="LV773"/>
      <c r="LW773"/>
      <c r="LX773"/>
      <c r="LY773"/>
    </row>
    <row r="774" spans="1:337" x14ac:dyDescent="0.35">
      <c r="A774" s="41" t="s">
        <v>31</v>
      </c>
      <c r="B774" s="41" t="s">
        <v>32</v>
      </c>
      <c r="C774" s="42">
        <v>46365</v>
      </c>
      <c r="D774" s="43">
        <v>0</v>
      </c>
      <c r="E774" s="43">
        <v>20</v>
      </c>
      <c r="F774" s="43">
        <v>20</v>
      </c>
      <c r="G774" s="43">
        <v>28</v>
      </c>
      <c r="H774" s="43">
        <v>40</v>
      </c>
      <c r="I774" s="43">
        <v>10</v>
      </c>
      <c r="J774" s="43">
        <v>21449</v>
      </c>
      <c r="K774" s="43">
        <f>SUM(L774:L776)</f>
        <v>6</v>
      </c>
      <c r="L774" s="43">
        <v>2</v>
      </c>
      <c r="M774" s="43"/>
      <c r="N774" s="43">
        <v>4</v>
      </c>
      <c r="O774" s="43">
        <v>3</v>
      </c>
      <c r="P774" s="43">
        <v>7</v>
      </c>
      <c r="Q774" s="43">
        <v>6</v>
      </c>
      <c r="R774" s="43">
        <v>9</v>
      </c>
      <c r="S774" s="43">
        <v>9</v>
      </c>
      <c r="T774" s="43">
        <v>25</v>
      </c>
      <c r="U774" s="43">
        <v>4</v>
      </c>
      <c r="V774" s="41" t="s">
        <v>33</v>
      </c>
      <c r="W774" s="41" t="s">
        <v>34</v>
      </c>
      <c r="X774" s="41">
        <v>1</v>
      </c>
      <c r="Y774" s="41">
        <v>3</v>
      </c>
      <c r="Z774" s="41">
        <v>322</v>
      </c>
      <c r="AA774" s="44">
        <v>34</v>
      </c>
      <c r="AB774" s="44">
        <v>34</v>
      </c>
      <c r="AC774" s="43">
        <v>45</v>
      </c>
      <c r="AD774" s="43">
        <v>30</v>
      </c>
      <c r="AE774" s="43">
        <v>45</v>
      </c>
    </row>
    <row r="775" spans="1:337" x14ac:dyDescent="0.35">
      <c r="A775" s="32" t="s">
        <v>31</v>
      </c>
      <c r="B775" s="32" t="s">
        <v>35</v>
      </c>
      <c r="C775" s="33">
        <v>46365</v>
      </c>
      <c r="D775" s="34">
        <v>13</v>
      </c>
      <c r="E775" s="34">
        <v>24</v>
      </c>
      <c r="F775" s="34">
        <v>25</v>
      </c>
      <c r="G775" s="141"/>
      <c r="H775" s="141"/>
      <c r="I775" s="141"/>
      <c r="J775" s="141"/>
      <c r="K775" s="141"/>
      <c r="L775" s="34">
        <v>2</v>
      </c>
      <c r="M775" s="34">
        <v>5</v>
      </c>
      <c r="N775" s="34">
        <v>4</v>
      </c>
      <c r="O775" s="34">
        <v>4</v>
      </c>
      <c r="P775" s="32">
        <v>7</v>
      </c>
      <c r="Q775" s="32">
        <v>7</v>
      </c>
      <c r="R775" s="32">
        <v>8</v>
      </c>
      <c r="S775" s="32">
        <v>6</v>
      </c>
      <c r="T775" s="143"/>
      <c r="U775" s="143"/>
      <c r="V775" s="32" t="s">
        <v>36</v>
      </c>
      <c r="W775" s="32" t="s">
        <v>37</v>
      </c>
      <c r="X775" s="32">
        <v>1</v>
      </c>
      <c r="Y775" s="143"/>
      <c r="Z775" s="143"/>
      <c r="AA775" s="145"/>
      <c r="AB775" s="145"/>
      <c r="AC775" s="141"/>
      <c r="AD775" s="141"/>
      <c r="AE775" s="141"/>
    </row>
    <row r="776" spans="1:337" ht="15" thickBot="1" x14ac:dyDescent="0.4">
      <c r="A776" s="45" t="s">
        <v>31</v>
      </c>
      <c r="B776" s="45" t="s">
        <v>38</v>
      </c>
      <c r="C776" s="46">
        <v>46365</v>
      </c>
      <c r="D776" s="47"/>
      <c r="E776" s="47"/>
      <c r="F776" s="47"/>
      <c r="G776" s="142"/>
      <c r="H776" s="142"/>
      <c r="I776" s="142"/>
      <c r="J776" s="142"/>
      <c r="K776" s="142"/>
      <c r="L776" s="47">
        <v>2</v>
      </c>
      <c r="M776" s="47"/>
      <c r="N776" s="47"/>
      <c r="O776" s="47"/>
      <c r="P776" s="47"/>
      <c r="Q776" s="47"/>
      <c r="R776" s="47"/>
      <c r="S776" s="47"/>
      <c r="T776" s="144"/>
      <c r="U776" s="144"/>
      <c r="V776" s="45"/>
      <c r="W776" s="45"/>
      <c r="X776" s="47"/>
      <c r="Y776" s="144"/>
      <c r="Z776" s="144"/>
      <c r="AA776" s="146"/>
      <c r="AB776" s="146"/>
      <c r="AC776" s="142"/>
      <c r="AD776" s="142"/>
      <c r="AE776" s="142"/>
    </row>
    <row r="777" spans="1:337" s="53" customFormat="1" ht="15" thickBot="1" x14ac:dyDescent="0.4">
      <c r="A777" s="49"/>
      <c r="B777" s="49"/>
      <c r="C777" s="50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49"/>
      <c r="U777" s="49"/>
      <c r="V777" s="49"/>
      <c r="W777" s="49"/>
      <c r="X777" s="51"/>
      <c r="Y777" s="49"/>
      <c r="Z777" s="49"/>
      <c r="AA777" s="52"/>
      <c r="AB777" s="52"/>
      <c r="AC777" s="51"/>
      <c r="AD777" s="51"/>
      <c r="AE777" s="51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/>
      <c r="ED777"/>
      <c r="EE777"/>
      <c r="EF777"/>
      <c r="EG777"/>
      <c r="EH777"/>
      <c r="EI777"/>
      <c r="EJ777"/>
      <c r="EK777"/>
      <c r="EL777"/>
      <c r="EM777"/>
      <c r="EN777"/>
      <c r="EO777"/>
      <c r="EP777"/>
      <c r="EQ777"/>
      <c r="ER777"/>
      <c r="ES777"/>
      <c r="ET777"/>
      <c r="EU777"/>
      <c r="EV777"/>
      <c r="EW777"/>
      <c r="EX777"/>
      <c r="EY777"/>
      <c r="EZ777"/>
      <c r="FA777"/>
      <c r="FB777"/>
      <c r="FC777"/>
      <c r="FD777"/>
      <c r="FE777"/>
      <c r="FF777"/>
      <c r="FG777"/>
      <c r="FH777"/>
      <c r="FI777"/>
      <c r="FJ777"/>
      <c r="FK777"/>
      <c r="FL777"/>
      <c r="FM777"/>
      <c r="FN777"/>
      <c r="FO777"/>
      <c r="FP777"/>
      <c r="FQ777"/>
      <c r="FR777"/>
      <c r="FS777"/>
      <c r="FT777"/>
      <c r="FU777"/>
      <c r="FV777"/>
      <c r="FW777"/>
      <c r="FX777"/>
      <c r="FY777"/>
      <c r="FZ777"/>
      <c r="GA777"/>
      <c r="GB777"/>
      <c r="GC777"/>
      <c r="GD777"/>
      <c r="GE777"/>
      <c r="GF777"/>
      <c r="GG777"/>
      <c r="GH777"/>
      <c r="GI777"/>
      <c r="GJ777"/>
      <c r="GK777"/>
      <c r="GL777"/>
      <c r="GM777"/>
      <c r="GN777"/>
      <c r="GO777"/>
      <c r="GP777"/>
      <c r="GQ777"/>
      <c r="GR777"/>
      <c r="GS777"/>
      <c r="GT777"/>
      <c r="GU777"/>
      <c r="GV777"/>
      <c r="GW777"/>
      <c r="GX777"/>
      <c r="GY777"/>
      <c r="GZ777"/>
      <c r="HA777"/>
      <c r="HB777"/>
      <c r="HC777"/>
      <c r="HD777"/>
      <c r="HE777"/>
      <c r="HF777"/>
      <c r="HG777"/>
      <c r="HH777"/>
      <c r="HI777"/>
      <c r="HJ777"/>
      <c r="HK777"/>
      <c r="HL777"/>
      <c r="HM777"/>
      <c r="HN777"/>
      <c r="HO777"/>
      <c r="HP777"/>
      <c r="HQ777"/>
      <c r="HR777"/>
      <c r="HS777"/>
      <c r="HT777"/>
      <c r="HU777"/>
      <c r="HV777"/>
      <c r="HW777"/>
      <c r="HX777"/>
      <c r="HY777"/>
      <c r="HZ777"/>
      <c r="IA777"/>
      <c r="IB777"/>
      <c r="IC777"/>
      <c r="ID777"/>
      <c r="IE777"/>
      <c r="IF777"/>
      <c r="IG777"/>
      <c r="IH777"/>
      <c r="II777"/>
      <c r="IJ777"/>
      <c r="IK777"/>
      <c r="IL777"/>
      <c r="IM777"/>
      <c r="IN777"/>
      <c r="IO777"/>
      <c r="IP777"/>
      <c r="IQ777"/>
      <c r="IR777"/>
      <c r="IS777"/>
      <c r="IT777"/>
      <c r="IU777"/>
      <c r="IV777"/>
      <c r="IW777"/>
      <c r="IX777"/>
      <c r="IY777"/>
      <c r="IZ777"/>
      <c r="JA777"/>
      <c r="JB777"/>
      <c r="JC777"/>
      <c r="JD777"/>
      <c r="JE777"/>
      <c r="JF777"/>
      <c r="JG777"/>
      <c r="JH777"/>
      <c r="JI777"/>
      <c r="JJ777"/>
      <c r="JK777"/>
      <c r="JL777"/>
      <c r="JM777"/>
      <c r="JN777"/>
      <c r="JO777"/>
      <c r="JP777"/>
      <c r="JQ777"/>
      <c r="JR777"/>
      <c r="JS777"/>
      <c r="JT777"/>
      <c r="JU777"/>
      <c r="JV777"/>
      <c r="JW777"/>
      <c r="JX777"/>
      <c r="JY777"/>
      <c r="JZ777"/>
      <c r="KA777"/>
      <c r="KB777"/>
      <c r="KC777"/>
      <c r="KD777"/>
      <c r="KE777"/>
      <c r="KF777"/>
      <c r="KG777"/>
      <c r="KH777"/>
      <c r="KI777"/>
      <c r="KJ777"/>
      <c r="KK777"/>
      <c r="KL777"/>
      <c r="KM777"/>
      <c r="KN777"/>
      <c r="KO777"/>
      <c r="KP777"/>
      <c r="KQ777"/>
      <c r="KR777"/>
      <c r="KS777"/>
      <c r="KT777"/>
      <c r="KU777"/>
      <c r="KV777"/>
      <c r="KW777"/>
      <c r="KX777"/>
      <c r="KY777"/>
      <c r="KZ777"/>
      <c r="LA777"/>
      <c r="LB777"/>
      <c r="LC777"/>
      <c r="LD777"/>
      <c r="LE777"/>
      <c r="LF777"/>
      <c r="LG777"/>
      <c r="LH777"/>
      <c r="LI777"/>
      <c r="LJ777"/>
      <c r="LK777"/>
      <c r="LL777"/>
      <c r="LM777"/>
      <c r="LN777"/>
      <c r="LO777"/>
      <c r="LP777"/>
      <c r="LQ777"/>
      <c r="LR777"/>
      <c r="LS777"/>
      <c r="LT777"/>
      <c r="LU777"/>
      <c r="LV777"/>
      <c r="LW777"/>
      <c r="LX777"/>
      <c r="LY777"/>
    </row>
    <row r="778" spans="1:337" x14ac:dyDescent="0.35">
      <c r="A778" s="41" t="s">
        <v>31</v>
      </c>
      <c r="B778" s="41" t="s">
        <v>32</v>
      </c>
      <c r="C778" s="42">
        <v>46366</v>
      </c>
      <c r="D778" s="43">
        <v>0</v>
      </c>
      <c r="E778" s="43">
        <v>20</v>
      </c>
      <c r="F778" s="43">
        <v>20</v>
      </c>
      <c r="G778" s="43">
        <v>28</v>
      </c>
      <c r="H778" s="43">
        <v>40</v>
      </c>
      <c r="I778" s="43">
        <v>10</v>
      </c>
      <c r="J778" s="43">
        <v>21449</v>
      </c>
      <c r="K778" s="43">
        <f>SUM(L778:L780)</f>
        <v>6</v>
      </c>
      <c r="L778" s="43">
        <v>2</v>
      </c>
      <c r="M778" s="43"/>
      <c r="N778" s="43">
        <v>4</v>
      </c>
      <c r="O778" s="43">
        <v>3</v>
      </c>
      <c r="P778" s="43">
        <v>7</v>
      </c>
      <c r="Q778" s="43">
        <v>6</v>
      </c>
      <c r="R778" s="43">
        <v>9</v>
      </c>
      <c r="S778" s="43">
        <v>9</v>
      </c>
      <c r="T778" s="43">
        <v>25</v>
      </c>
      <c r="U778" s="43">
        <v>4</v>
      </c>
      <c r="V778" s="41" t="s">
        <v>33</v>
      </c>
      <c r="W778" s="41" t="s">
        <v>34</v>
      </c>
      <c r="X778" s="41">
        <v>1</v>
      </c>
      <c r="Y778" s="41">
        <v>3</v>
      </c>
      <c r="Z778" s="41">
        <v>322</v>
      </c>
      <c r="AA778" s="44">
        <v>34</v>
      </c>
      <c r="AB778" s="44">
        <v>34</v>
      </c>
      <c r="AC778" s="43">
        <v>45</v>
      </c>
      <c r="AD778" s="43">
        <v>30</v>
      </c>
      <c r="AE778" s="43">
        <v>45</v>
      </c>
    </row>
    <row r="779" spans="1:337" x14ac:dyDescent="0.35">
      <c r="A779" s="32" t="s">
        <v>31</v>
      </c>
      <c r="B779" s="32" t="s">
        <v>35</v>
      </c>
      <c r="C779" s="33">
        <v>46366</v>
      </c>
      <c r="D779" s="34">
        <v>13</v>
      </c>
      <c r="E779" s="34">
        <v>24</v>
      </c>
      <c r="F779" s="34">
        <v>25</v>
      </c>
      <c r="G779" s="141"/>
      <c r="H779" s="141"/>
      <c r="I779" s="141"/>
      <c r="J779" s="141"/>
      <c r="K779" s="141"/>
      <c r="L779" s="34">
        <v>2</v>
      </c>
      <c r="M779" s="34">
        <v>5</v>
      </c>
      <c r="N779" s="34">
        <v>4</v>
      </c>
      <c r="O779" s="34">
        <v>4</v>
      </c>
      <c r="P779" s="32">
        <v>7</v>
      </c>
      <c r="Q779" s="32">
        <v>7</v>
      </c>
      <c r="R779" s="32">
        <v>8</v>
      </c>
      <c r="S779" s="32">
        <v>6</v>
      </c>
      <c r="T779" s="143"/>
      <c r="U779" s="143"/>
      <c r="V779" s="32" t="s">
        <v>36</v>
      </c>
      <c r="W779" s="32" t="s">
        <v>37</v>
      </c>
      <c r="X779" s="32">
        <v>1</v>
      </c>
      <c r="Y779" s="143"/>
      <c r="Z779" s="143"/>
      <c r="AA779" s="145"/>
      <c r="AB779" s="145"/>
      <c r="AC779" s="141"/>
      <c r="AD779" s="141"/>
      <c r="AE779" s="141"/>
    </row>
    <row r="780" spans="1:337" ht="15" thickBot="1" x14ac:dyDescent="0.4">
      <c r="A780" s="45" t="s">
        <v>31</v>
      </c>
      <c r="B780" s="45" t="s">
        <v>38</v>
      </c>
      <c r="C780" s="46">
        <v>46366</v>
      </c>
      <c r="D780" s="47"/>
      <c r="E780" s="47"/>
      <c r="F780" s="47"/>
      <c r="G780" s="142"/>
      <c r="H780" s="142"/>
      <c r="I780" s="142"/>
      <c r="J780" s="142"/>
      <c r="K780" s="142"/>
      <c r="L780" s="47">
        <v>2</v>
      </c>
      <c r="M780" s="47"/>
      <c r="N780" s="47"/>
      <c r="O780" s="47"/>
      <c r="P780" s="47"/>
      <c r="Q780" s="47"/>
      <c r="R780" s="47"/>
      <c r="S780" s="47"/>
      <c r="T780" s="144"/>
      <c r="U780" s="144"/>
      <c r="V780" s="45"/>
      <c r="W780" s="45"/>
      <c r="X780" s="47"/>
      <c r="Y780" s="144"/>
      <c r="Z780" s="144"/>
      <c r="AA780" s="146"/>
      <c r="AB780" s="146"/>
      <c r="AC780" s="142"/>
      <c r="AD780" s="142"/>
      <c r="AE780" s="142"/>
    </row>
    <row r="781" spans="1:337" s="53" customFormat="1" ht="15" thickBot="1" x14ac:dyDescent="0.4">
      <c r="A781" s="49"/>
      <c r="B781" s="49"/>
      <c r="C781" s="50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49"/>
      <c r="U781" s="49"/>
      <c r="V781" s="49"/>
      <c r="W781" s="49"/>
      <c r="X781" s="51"/>
      <c r="Y781" s="49"/>
      <c r="Z781" s="49"/>
      <c r="AA781" s="52"/>
      <c r="AB781" s="52"/>
      <c r="AC781" s="51"/>
      <c r="AD781" s="51"/>
      <c r="AE781" s="5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/>
      <c r="EU781"/>
      <c r="EV781"/>
      <c r="EW781"/>
      <c r="EX781"/>
      <c r="EY781"/>
      <c r="EZ781"/>
      <c r="FA781"/>
      <c r="FB781"/>
      <c r="FC781"/>
      <c r="FD781"/>
      <c r="FE781"/>
      <c r="FF781"/>
      <c r="FG781"/>
      <c r="FH781"/>
      <c r="FI781"/>
      <c r="FJ781"/>
      <c r="FK781"/>
      <c r="FL781"/>
      <c r="FM781"/>
      <c r="FN781"/>
      <c r="FO781"/>
      <c r="FP781"/>
      <c r="FQ781"/>
      <c r="FR781"/>
      <c r="FS781"/>
      <c r="FT781"/>
      <c r="FU781"/>
      <c r="FV781"/>
      <c r="FW781"/>
      <c r="FX781"/>
      <c r="FY781"/>
      <c r="FZ781"/>
      <c r="GA781"/>
      <c r="GB781"/>
      <c r="GC781"/>
      <c r="GD781"/>
      <c r="GE781"/>
      <c r="GF781"/>
      <c r="GG781"/>
      <c r="GH781"/>
      <c r="GI781"/>
      <c r="GJ781"/>
      <c r="GK781"/>
      <c r="GL781"/>
      <c r="GM781"/>
      <c r="GN781"/>
      <c r="GO781"/>
      <c r="GP781"/>
      <c r="GQ781"/>
      <c r="GR781"/>
      <c r="GS781"/>
      <c r="GT781"/>
      <c r="GU781"/>
      <c r="GV781"/>
      <c r="GW781"/>
      <c r="GX781"/>
      <c r="GY781"/>
      <c r="GZ781"/>
      <c r="HA781"/>
      <c r="HB781"/>
      <c r="HC781"/>
      <c r="HD781"/>
      <c r="HE781"/>
      <c r="HF781"/>
      <c r="HG781"/>
      <c r="HH781"/>
      <c r="HI781"/>
      <c r="HJ781"/>
      <c r="HK781"/>
      <c r="HL781"/>
      <c r="HM781"/>
      <c r="HN781"/>
      <c r="HO781"/>
      <c r="HP781"/>
      <c r="HQ781"/>
      <c r="HR781"/>
      <c r="HS781"/>
      <c r="HT781"/>
      <c r="HU781"/>
      <c r="HV781"/>
      <c r="HW781"/>
      <c r="HX781"/>
      <c r="HY781"/>
      <c r="HZ781"/>
      <c r="IA781"/>
      <c r="IB781"/>
      <c r="IC781"/>
      <c r="ID781"/>
      <c r="IE781"/>
      <c r="IF781"/>
      <c r="IG781"/>
      <c r="IH781"/>
      <c r="II781"/>
      <c r="IJ781"/>
      <c r="IK781"/>
      <c r="IL781"/>
      <c r="IM781"/>
      <c r="IN781"/>
      <c r="IO781"/>
      <c r="IP781"/>
      <c r="IQ781"/>
      <c r="IR781"/>
      <c r="IS781"/>
      <c r="IT781"/>
      <c r="IU781"/>
      <c r="IV781"/>
      <c r="IW781"/>
      <c r="IX781"/>
      <c r="IY781"/>
      <c r="IZ781"/>
      <c r="JA781"/>
      <c r="JB781"/>
      <c r="JC781"/>
      <c r="JD781"/>
      <c r="JE781"/>
      <c r="JF781"/>
      <c r="JG781"/>
      <c r="JH781"/>
      <c r="JI781"/>
      <c r="JJ781"/>
      <c r="JK781"/>
      <c r="JL781"/>
      <c r="JM781"/>
      <c r="JN781"/>
      <c r="JO781"/>
      <c r="JP781"/>
      <c r="JQ781"/>
      <c r="JR781"/>
      <c r="JS781"/>
      <c r="JT781"/>
      <c r="JU781"/>
      <c r="JV781"/>
      <c r="JW781"/>
      <c r="JX781"/>
      <c r="JY781"/>
      <c r="JZ781"/>
      <c r="KA781"/>
      <c r="KB781"/>
      <c r="KC781"/>
      <c r="KD781"/>
      <c r="KE781"/>
      <c r="KF781"/>
      <c r="KG781"/>
      <c r="KH781"/>
      <c r="KI781"/>
      <c r="KJ781"/>
      <c r="KK781"/>
      <c r="KL781"/>
      <c r="KM781"/>
      <c r="KN781"/>
      <c r="KO781"/>
      <c r="KP781"/>
      <c r="KQ781"/>
      <c r="KR781"/>
      <c r="KS781"/>
      <c r="KT781"/>
      <c r="KU781"/>
      <c r="KV781"/>
      <c r="KW781"/>
      <c r="KX781"/>
      <c r="KY781"/>
      <c r="KZ781"/>
      <c r="LA781"/>
      <c r="LB781"/>
      <c r="LC781"/>
      <c r="LD781"/>
      <c r="LE781"/>
      <c r="LF781"/>
      <c r="LG781"/>
      <c r="LH781"/>
      <c r="LI781"/>
      <c r="LJ781"/>
      <c r="LK781"/>
      <c r="LL781"/>
      <c r="LM781"/>
      <c r="LN781"/>
      <c r="LO781"/>
      <c r="LP781"/>
      <c r="LQ781"/>
      <c r="LR781"/>
      <c r="LS781"/>
      <c r="LT781"/>
      <c r="LU781"/>
      <c r="LV781"/>
      <c r="LW781"/>
      <c r="LX781"/>
      <c r="LY781"/>
    </row>
    <row r="782" spans="1:337" x14ac:dyDescent="0.35">
      <c r="A782" s="41" t="s">
        <v>31</v>
      </c>
      <c r="B782" s="41" t="s">
        <v>32</v>
      </c>
      <c r="C782" s="42">
        <v>46367</v>
      </c>
      <c r="D782" s="43">
        <v>0</v>
      </c>
      <c r="E782" s="43">
        <v>20</v>
      </c>
      <c r="F782" s="43">
        <v>20</v>
      </c>
      <c r="G782" s="43">
        <v>28</v>
      </c>
      <c r="H782" s="43">
        <v>40</v>
      </c>
      <c r="I782" s="43">
        <v>10</v>
      </c>
      <c r="J782" s="43">
        <v>21449</v>
      </c>
      <c r="K782" s="43">
        <f>SUM(L782:L784)</f>
        <v>6</v>
      </c>
      <c r="L782" s="43">
        <v>2</v>
      </c>
      <c r="M782" s="43"/>
      <c r="N782" s="43">
        <v>4</v>
      </c>
      <c r="O782" s="43">
        <v>3</v>
      </c>
      <c r="P782" s="43">
        <v>7</v>
      </c>
      <c r="Q782" s="43">
        <v>6</v>
      </c>
      <c r="R782" s="43">
        <v>9</v>
      </c>
      <c r="S782" s="43">
        <v>9</v>
      </c>
      <c r="T782" s="43">
        <v>25</v>
      </c>
      <c r="U782" s="43">
        <v>4</v>
      </c>
      <c r="V782" s="41" t="s">
        <v>33</v>
      </c>
      <c r="W782" s="41" t="s">
        <v>34</v>
      </c>
      <c r="X782" s="41">
        <v>1</v>
      </c>
      <c r="Y782" s="41">
        <v>3</v>
      </c>
      <c r="Z782" s="41">
        <v>322</v>
      </c>
      <c r="AA782" s="44">
        <v>34</v>
      </c>
      <c r="AB782" s="44">
        <v>34</v>
      </c>
      <c r="AC782" s="43">
        <v>45</v>
      </c>
      <c r="AD782" s="43">
        <v>30</v>
      </c>
      <c r="AE782" s="43">
        <v>45</v>
      </c>
    </row>
    <row r="783" spans="1:337" x14ac:dyDescent="0.35">
      <c r="A783" s="32" t="s">
        <v>31</v>
      </c>
      <c r="B783" s="32" t="s">
        <v>35</v>
      </c>
      <c r="C783" s="33">
        <v>46367</v>
      </c>
      <c r="D783" s="34">
        <v>13</v>
      </c>
      <c r="E783" s="34">
        <v>24</v>
      </c>
      <c r="F783" s="34">
        <v>25</v>
      </c>
      <c r="G783" s="141"/>
      <c r="H783" s="141"/>
      <c r="I783" s="141"/>
      <c r="J783" s="141"/>
      <c r="K783" s="141"/>
      <c r="L783" s="34">
        <v>2</v>
      </c>
      <c r="M783" s="34">
        <v>5</v>
      </c>
      <c r="N783" s="34">
        <v>4</v>
      </c>
      <c r="O783" s="34">
        <v>4</v>
      </c>
      <c r="P783" s="32">
        <v>7</v>
      </c>
      <c r="Q783" s="32">
        <v>7</v>
      </c>
      <c r="R783" s="32">
        <v>8</v>
      </c>
      <c r="S783" s="32">
        <v>6</v>
      </c>
      <c r="T783" s="143"/>
      <c r="U783" s="143"/>
      <c r="V783" s="32" t="s">
        <v>36</v>
      </c>
      <c r="W783" s="32" t="s">
        <v>37</v>
      </c>
      <c r="X783" s="32">
        <v>1</v>
      </c>
      <c r="Y783" s="143"/>
      <c r="Z783" s="143"/>
      <c r="AA783" s="145"/>
      <c r="AB783" s="145"/>
      <c r="AC783" s="141"/>
      <c r="AD783" s="141"/>
      <c r="AE783" s="141"/>
    </row>
    <row r="784" spans="1:337" ht="15" thickBot="1" x14ac:dyDescent="0.4">
      <c r="A784" s="45" t="s">
        <v>31</v>
      </c>
      <c r="B784" s="45" t="s">
        <v>38</v>
      </c>
      <c r="C784" s="46">
        <v>46367</v>
      </c>
      <c r="D784" s="47"/>
      <c r="E784" s="47"/>
      <c r="F784" s="47"/>
      <c r="G784" s="142"/>
      <c r="H784" s="142"/>
      <c r="I784" s="142"/>
      <c r="J784" s="142"/>
      <c r="K784" s="142"/>
      <c r="L784" s="47">
        <v>2</v>
      </c>
      <c r="M784" s="47"/>
      <c r="N784" s="47"/>
      <c r="O784" s="47"/>
      <c r="P784" s="47"/>
      <c r="Q784" s="47"/>
      <c r="R784" s="47"/>
      <c r="S784" s="47"/>
      <c r="T784" s="144"/>
      <c r="U784" s="144"/>
      <c r="V784" s="45"/>
      <c r="W784" s="45"/>
      <c r="X784" s="47"/>
      <c r="Y784" s="144"/>
      <c r="Z784" s="144"/>
      <c r="AA784" s="146"/>
      <c r="AB784" s="146"/>
      <c r="AC784" s="142"/>
      <c r="AD784" s="142"/>
      <c r="AE784" s="142"/>
    </row>
    <row r="785" spans="1:337" s="53" customFormat="1" ht="15" thickBot="1" x14ac:dyDescent="0.4">
      <c r="A785" s="49"/>
      <c r="B785" s="49"/>
      <c r="C785" s="50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49"/>
      <c r="U785" s="49"/>
      <c r="V785" s="49"/>
      <c r="W785" s="49"/>
      <c r="X785" s="51"/>
      <c r="Y785" s="49"/>
      <c r="Z785" s="49"/>
      <c r="AA785" s="52"/>
      <c r="AB785" s="52"/>
      <c r="AC785" s="51"/>
      <c r="AD785" s="51"/>
      <c r="AE785" s="51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  <c r="EA785"/>
      <c r="EB785"/>
      <c r="EC785"/>
      <c r="ED785"/>
      <c r="EE785"/>
      <c r="EF785"/>
      <c r="EG785"/>
      <c r="EH785"/>
      <c r="EI785"/>
      <c r="EJ785"/>
      <c r="EK785"/>
      <c r="EL785"/>
      <c r="EM785"/>
      <c r="EN785"/>
      <c r="EO785"/>
      <c r="EP785"/>
      <c r="EQ785"/>
      <c r="ER785"/>
      <c r="ES785"/>
      <c r="ET785"/>
      <c r="EU785"/>
      <c r="EV785"/>
      <c r="EW785"/>
      <c r="EX785"/>
      <c r="EY785"/>
      <c r="EZ785"/>
      <c r="FA785"/>
      <c r="FB785"/>
      <c r="FC785"/>
      <c r="FD785"/>
      <c r="FE785"/>
      <c r="FF785"/>
      <c r="FG785"/>
      <c r="FH785"/>
      <c r="FI785"/>
      <c r="FJ785"/>
      <c r="FK785"/>
      <c r="FL785"/>
      <c r="FM785"/>
      <c r="FN785"/>
      <c r="FO785"/>
      <c r="FP785"/>
      <c r="FQ785"/>
      <c r="FR785"/>
      <c r="FS785"/>
      <c r="FT785"/>
      <c r="FU785"/>
      <c r="FV785"/>
      <c r="FW785"/>
      <c r="FX785"/>
      <c r="FY785"/>
      <c r="FZ785"/>
      <c r="GA785"/>
      <c r="GB785"/>
      <c r="GC785"/>
      <c r="GD785"/>
      <c r="GE785"/>
      <c r="GF785"/>
      <c r="GG785"/>
      <c r="GH785"/>
      <c r="GI785"/>
      <c r="GJ785"/>
      <c r="GK785"/>
      <c r="GL785"/>
      <c r="GM785"/>
      <c r="GN785"/>
      <c r="GO785"/>
      <c r="GP785"/>
      <c r="GQ785"/>
      <c r="GR785"/>
      <c r="GS785"/>
      <c r="GT785"/>
      <c r="GU785"/>
      <c r="GV785"/>
      <c r="GW785"/>
      <c r="GX785"/>
      <c r="GY785"/>
      <c r="GZ785"/>
      <c r="HA785"/>
      <c r="HB785"/>
      <c r="HC785"/>
      <c r="HD785"/>
      <c r="HE785"/>
      <c r="HF785"/>
      <c r="HG785"/>
      <c r="HH785"/>
      <c r="HI785"/>
      <c r="HJ785"/>
      <c r="HK785"/>
      <c r="HL785"/>
      <c r="HM785"/>
      <c r="HN785"/>
      <c r="HO785"/>
      <c r="HP785"/>
      <c r="HQ785"/>
      <c r="HR785"/>
      <c r="HS785"/>
      <c r="HT785"/>
      <c r="HU785"/>
      <c r="HV785"/>
      <c r="HW785"/>
      <c r="HX785"/>
      <c r="HY785"/>
      <c r="HZ785"/>
      <c r="IA785"/>
      <c r="IB785"/>
      <c r="IC785"/>
      <c r="ID785"/>
      <c r="IE785"/>
      <c r="IF785"/>
      <c r="IG785"/>
      <c r="IH785"/>
      <c r="II785"/>
      <c r="IJ785"/>
      <c r="IK785"/>
      <c r="IL785"/>
      <c r="IM785"/>
      <c r="IN785"/>
      <c r="IO785"/>
      <c r="IP785"/>
      <c r="IQ785"/>
      <c r="IR785"/>
      <c r="IS785"/>
      <c r="IT785"/>
      <c r="IU785"/>
      <c r="IV785"/>
      <c r="IW785"/>
      <c r="IX785"/>
      <c r="IY785"/>
      <c r="IZ785"/>
      <c r="JA785"/>
      <c r="JB785"/>
      <c r="JC785"/>
      <c r="JD785"/>
      <c r="JE785"/>
      <c r="JF785"/>
      <c r="JG785"/>
      <c r="JH785"/>
      <c r="JI785"/>
      <c r="JJ785"/>
      <c r="JK785"/>
      <c r="JL785"/>
      <c r="JM785"/>
      <c r="JN785"/>
      <c r="JO785"/>
      <c r="JP785"/>
      <c r="JQ785"/>
      <c r="JR785"/>
      <c r="JS785"/>
      <c r="JT785"/>
      <c r="JU785"/>
      <c r="JV785"/>
      <c r="JW785"/>
      <c r="JX785"/>
      <c r="JY785"/>
      <c r="JZ785"/>
      <c r="KA785"/>
      <c r="KB785"/>
      <c r="KC785"/>
      <c r="KD785"/>
      <c r="KE785"/>
      <c r="KF785"/>
      <c r="KG785"/>
      <c r="KH785"/>
      <c r="KI785"/>
      <c r="KJ785"/>
      <c r="KK785"/>
      <c r="KL785"/>
      <c r="KM785"/>
      <c r="KN785"/>
      <c r="KO785"/>
      <c r="KP785"/>
      <c r="KQ785"/>
      <c r="KR785"/>
      <c r="KS785"/>
      <c r="KT785"/>
      <c r="KU785"/>
      <c r="KV785"/>
      <c r="KW785"/>
      <c r="KX785"/>
      <c r="KY785"/>
      <c r="KZ785"/>
      <c r="LA785"/>
      <c r="LB785"/>
      <c r="LC785"/>
      <c r="LD785"/>
      <c r="LE785"/>
      <c r="LF785"/>
      <c r="LG785"/>
      <c r="LH785"/>
      <c r="LI785"/>
      <c r="LJ785"/>
      <c r="LK785"/>
      <c r="LL785"/>
      <c r="LM785"/>
      <c r="LN785"/>
      <c r="LO785"/>
      <c r="LP785"/>
      <c r="LQ785"/>
      <c r="LR785"/>
      <c r="LS785"/>
      <c r="LT785"/>
      <c r="LU785"/>
      <c r="LV785"/>
      <c r="LW785"/>
      <c r="LX785"/>
      <c r="LY785"/>
    </row>
    <row r="786" spans="1:337" x14ac:dyDescent="0.35">
      <c r="A786" s="41" t="s">
        <v>31</v>
      </c>
      <c r="B786" s="41" t="s">
        <v>32</v>
      </c>
      <c r="C786" s="42">
        <v>46370</v>
      </c>
      <c r="D786" s="43">
        <v>0</v>
      </c>
      <c r="E786" s="43">
        <v>20</v>
      </c>
      <c r="F786" s="43">
        <v>20</v>
      </c>
      <c r="G786" s="43">
        <v>28</v>
      </c>
      <c r="H786" s="43">
        <v>40</v>
      </c>
      <c r="I786" s="43">
        <v>10</v>
      </c>
      <c r="J786" s="43">
        <v>21449</v>
      </c>
      <c r="K786" s="43">
        <f>SUM(L786:L788)</f>
        <v>6</v>
      </c>
      <c r="L786" s="43">
        <v>2</v>
      </c>
      <c r="M786" s="43"/>
      <c r="N786" s="43">
        <v>4</v>
      </c>
      <c r="O786" s="43">
        <v>3</v>
      </c>
      <c r="P786" s="43">
        <v>7</v>
      </c>
      <c r="Q786" s="43">
        <v>6</v>
      </c>
      <c r="R786" s="43">
        <v>9</v>
      </c>
      <c r="S786" s="43">
        <v>9</v>
      </c>
      <c r="T786" s="43">
        <v>25</v>
      </c>
      <c r="U786" s="43">
        <v>4</v>
      </c>
      <c r="V786" s="41" t="s">
        <v>33</v>
      </c>
      <c r="W786" s="41" t="s">
        <v>34</v>
      </c>
      <c r="X786" s="41">
        <v>1</v>
      </c>
      <c r="Y786" s="41">
        <v>3</v>
      </c>
      <c r="Z786" s="41">
        <v>322</v>
      </c>
      <c r="AA786" s="44">
        <v>34</v>
      </c>
      <c r="AB786" s="44">
        <v>34</v>
      </c>
      <c r="AC786" s="43">
        <v>45</v>
      </c>
      <c r="AD786" s="43">
        <v>30</v>
      </c>
      <c r="AE786" s="43">
        <v>45</v>
      </c>
    </row>
    <row r="787" spans="1:337" x14ac:dyDescent="0.35">
      <c r="A787" s="32" t="s">
        <v>31</v>
      </c>
      <c r="B787" s="32" t="s">
        <v>35</v>
      </c>
      <c r="C787" s="33">
        <v>46370</v>
      </c>
      <c r="D787" s="34">
        <v>13</v>
      </c>
      <c r="E787" s="34">
        <v>24</v>
      </c>
      <c r="F787" s="34">
        <v>25</v>
      </c>
      <c r="G787" s="141"/>
      <c r="H787" s="141"/>
      <c r="I787" s="141"/>
      <c r="J787" s="141"/>
      <c r="K787" s="141"/>
      <c r="L787" s="34">
        <v>2</v>
      </c>
      <c r="M787" s="34">
        <v>5</v>
      </c>
      <c r="N787" s="34">
        <v>4</v>
      </c>
      <c r="O787" s="34">
        <v>4</v>
      </c>
      <c r="P787" s="32">
        <v>7</v>
      </c>
      <c r="Q787" s="32">
        <v>7</v>
      </c>
      <c r="R787" s="32">
        <v>8</v>
      </c>
      <c r="S787" s="32">
        <v>6</v>
      </c>
      <c r="T787" s="143"/>
      <c r="U787" s="143"/>
      <c r="V787" s="32" t="s">
        <v>36</v>
      </c>
      <c r="W787" s="32" t="s">
        <v>37</v>
      </c>
      <c r="X787" s="32">
        <v>1</v>
      </c>
      <c r="Y787" s="143"/>
      <c r="Z787" s="143"/>
      <c r="AA787" s="145"/>
      <c r="AB787" s="145"/>
      <c r="AC787" s="141"/>
      <c r="AD787" s="141"/>
      <c r="AE787" s="141"/>
    </row>
    <row r="788" spans="1:337" ht="15" thickBot="1" x14ac:dyDescent="0.4">
      <c r="A788" s="45" t="s">
        <v>31</v>
      </c>
      <c r="B788" s="45" t="s">
        <v>38</v>
      </c>
      <c r="C788" s="46">
        <v>46370</v>
      </c>
      <c r="D788" s="47"/>
      <c r="E788" s="47"/>
      <c r="F788" s="47"/>
      <c r="G788" s="142"/>
      <c r="H788" s="142"/>
      <c r="I788" s="142"/>
      <c r="J788" s="142"/>
      <c r="K788" s="142"/>
      <c r="L788" s="47">
        <v>2</v>
      </c>
      <c r="M788" s="47"/>
      <c r="N788" s="47"/>
      <c r="O788" s="47"/>
      <c r="P788" s="47"/>
      <c r="Q788" s="47"/>
      <c r="R788" s="47"/>
      <c r="S788" s="47"/>
      <c r="T788" s="144"/>
      <c r="U788" s="144"/>
      <c r="V788" s="45"/>
      <c r="W788" s="45"/>
      <c r="X788" s="47"/>
      <c r="Y788" s="144"/>
      <c r="Z788" s="144"/>
      <c r="AA788" s="146"/>
      <c r="AB788" s="146"/>
      <c r="AC788" s="142"/>
      <c r="AD788" s="142"/>
      <c r="AE788" s="142"/>
    </row>
    <row r="789" spans="1:337" s="53" customFormat="1" ht="15" thickBot="1" x14ac:dyDescent="0.4">
      <c r="A789" s="49"/>
      <c r="B789" s="49"/>
      <c r="C789" s="50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49"/>
      <c r="U789" s="49"/>
      <c r="V789" s="49"/>
      <c r="W789" s="49"/>
      <c r="X789" s="51"/>
      <c r="Y789" s="49"/>
      <c r="Z789" s="49"/>
      <c r="AA789" s="52"/>
      <c r="AB789" s="52"/>
      <c r="AC789" s="51"/>
      <c r="AD789" s="51"/>
      <c r="AE789" s="51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/>
      <c r="ED789"/>
      <c r="EE789"/>
      <c r="EF789"/>
      <c r="EG789"/>
      <c r="EH789"/>
      <c r="EI789"/>
      <c r="EJ789"/>
      <c r="EK789"/>
      <c r="EL789"/>
      <c r="EM789"/>
      <c r="EN789"/>
      <c r="EO789"/>
      <c r="EP789"/>
      <c r="EQ789"/>
      <c r="ER789"/>
      <c r="ES789"/>
      <c r="ET789"/>
      <c r="EU789"/>
      <c r="EV789"/>
      <c r="EW789"/>
      <c r="EX789"/>
      <c r="EY789"/>
      <c r="EZ789"/>
      <c r="FA789"/>
      <c r="FB789"/>
      <c r="FC789"/>
      <c r="FD789"/>
      <c r="FE789"/>
      <c r="FF789"/>
      <c r="FG789"/>
      <c r="FH789"/>
      <c r="FI789"/>
      <c r="FJ789"/>
      <c r="FK789"/>
      <c r="FL789"/>
      <c r="FM789"/>
      <c r="FN789"/>
      <c r="FO789"/>
      <c r="FP789"/>
      <c r="FQ789"/>
      <c r="FR789"/>
      <c r="FS789"/>
      <c r="FT789"/>
      <c r="FU789"/>
      <c r="FV789"/>
      <c r="FW789"/>
      <c r="FX789"/>
      <c r="FY789"/>
      <c r="FZ789"/>
      <c r="GA789"/>
      <c r="GB789"/>
      <c r="GC789"/>
      <c r="GD789"/>
      <c r="GE789"/>
      <c r="GF789"/>
      <c r="GG789"/>
      <c r="GH789"/>
      <c r="GI789"/>
      <c r="GJ789"/>
      <c r="GK789"/>
      <c r="GL789"/>
      <c r="GM789"/>
      <c r="GN789"/>
      <c r="GO789"/>
      <c r="GP789"/>
      <c r="GQ789"/>
      <c r="GR789"/>
      <c r="GS789"/>
      <c r="GT789"/>
      <c r="GU789"/>
      <c r="GV789"/>
      <c r="GW789"/>
      <c r="GX789"/>
      <c r="GY789"/>
      <c r="GZ789"/>
      <c r="HA789"/>
      <c r="HB789"/>
      <c r="HC789"/>
      <c r="HD789"/>
      <c r="HE789"/>
      <c r="HF789"/>
      <c r="HG789"/>
      <c r="HH789"/>
      <c r="HI789"/>
      <c r="HJ789"/>
      <c r="HK789"/>
      <c r="HL789"/>
      <c r="HM789"/>
      <c r="HN789"/>
      <c r="HO789"/>
      <c r="HP789"/>
      <c r="HQ789"/>
      <c r="HR789"/>
      <c r="HS789"/>
      <c r="HT789"/>
      <c r="HU789"/>
      <c r="HV789"/>
      <c r="HW789"/>
      <c r="HX789"/>
      <c r="HY789"/>
      <c r="HZ789"/>
      <c r="IA789"/>
      <c r="IB789"/>
      <c r="IC789"/>
      <c r="ID789"/>
      <c r="IE789"/>
      <c r="IF789"/>
      <c r="IG789"/>
      <c r="IH789"/>
      <c r="II789"/>
      <c r="IJ789"/>
      <c r="IK789"/>
      <c r="IL789"/>
      <c r="IM789"/>
      <c r="IN789"/>
      <c r="IO789"/>
      <c r="IP789"/>
      <c r="IQ789"/>
      <c r="IR789"/>
      <c r="IS789"/>
      <c r="IT789"/>
      <c r="IU789"/>
      <c r="IV789"/>
      <c r="IW789"/>
      <c r="IX789"/>
      <c r="IY789"/>
      <c r="IZ789"/>
      <c r="JA789"/>
      <c r="JB789"/>
      <c r="JC789"/>
      <c r="JD789"/>
      <c r="JE789"/>
      <c r="JF789"/>
      <c r="JG789"/>
      <c r="JH789"/>
      <c r="JI789"/>
      <c r="JJ789"/>
      <c r="JK789"/>
      <c r="JL789"/>
      <c r="JM789"/>
      <c r="JN789"/>
      <c r="JO789"/>
      <c r="JP789"/>
      <c r="JQ789"/>
      <c r="JR789"/>
      <c r="JS789"/>
      <c r="JT789"/>
      <c r="JU789"/>
      <c r="JV789"/>
      <c r="JW789"/>
      <c r="JX789"/>
      <c r="JY789"/>
      <c r="JZ789"/>
      <c r="KA789"/>
      <c r="KB789"/>
      <c r="KC789"/>
      <c r="KD789"/>
      <c r="KE789"/>
      <c r="KF789"/>
      <c r="KG789"/>
      <c r="KH789"/>
      <c r="KI789"/>
      <c r="KJ789"/>
      <c r="KK789"/>
      <c r="KL789"/>
      <c r="KM789"/>
      <c r="KN789"/>
      <c r="KO789"/>
      <c r="KP789"/>
      <c r="KQ789"/>
      <c r="KR789"/>
      <c r="KS789"/>
      <c r="KT789"/>
      <c r="KU789"/>
      <c r="KV789"/>
      <c r="KW789"/>
      <c r="KX789"/>
      <c r="KY789"/>
      <c r="KZ789"/>
      <c r="LA789"/>
      <c r="LB789"/>
      <c r="LC789"/>
      <c r="LD789"/>
      <c r="LE789"/>
      <c r="LF789"/>
      <c r="LG789"/>
      <c r="LH789"/>
      <c r="LI789"/>
      <c r="LJ789"/>
      <c r="LK789"/>
      <c r="LL789"/>
      <c r="LM789"/>
      <c r="LN789"/>
      <c r="LO789"/>
      <c r="LP789"/>
      <c r="LQ789"/>
      <c r="LR789"/>
      <c r="LS789"/>
      <c r="LT789"/>
      <c r="LU789"/>
      <c r="LV789"/>
      <c r="LW789"/>
      <c r="LX789"/>
      <c r="LY789"/>
    </row>
    <row r="790" spans="1:337" x14ac:dyDescent="0.35">
      <c r="A790" s="41" t="s">
        <v>31</v>
      </c>
      <c r="B790" s="41" t="s">
        <v>32</v>
      </c>
      <c r="C790" s="42">
        <v>46371</v>
      </c>
      <c r="D790" s="43">
        <v>0</v>
      </c>
      <c r="E790" s="43">
        <v>20</v>
      </c>
      <c r="F790" s="43">
        <v>20</v>
      </c>
      <c r="G790" s="43">
        <v>28</v>
      </c>
      <c r="H790" s="43">
        <v>40</v>
      </c>
      <c r="I790" s="43">
        <v>10</v>
      </c>
      <c r="J790" s="43">
        <v>21449</v>
      </c>
      <c r="K790" s="43">
        <f>SUM(L790:L792)</f>
        <v>6</v>
      </c>
      <c r="L790" s="43">
        <v>2</v>
      </c>
      <c r="M790" s="43"/>
      <c r="N790" s="43">
        <v>4</v>
      </c>
      <c r="O790" s="43">
        <v>3</v>
      </c>
      <c r="P790" s="43">
        <v>7</v>
      </c>
      <c r="Q790" s="43">
        <v>6</v>
      </c>
      <c r="R790" s="43">
        <v>9</v>
      </c>
      <c r="S790" s="43">
        <v>9</v>
      </c>
      <c r="T790" s="43">
        <v>25</v>
      </c>
      <c r="U790" s="43">
        <v>4</v>
      </c>
      <c r="V790" s="41" t="s">
        <v>33</v>
      </c>
      <c r="W790" s="41" t="s">
        <v>34</v>
      </c>
      <c r="X790" s="41">
        <v>1</v>
      </c>
      <c r="Y790" s="41">
        <v>3</v>
      </c>
      <c r="Z790" s="41">
        <v>322</v>
      </c>
      <c r="AA790" s="44">
        <v>34</v>
      </c>
      <c r="AB790" s="44">
        <v>34</v>
      </c>
      <c r="AC790" s="43">
        <v>45</v>
      </c>
      <c r="AD790" s="43">
        <v>30</v>
      </c>
      <c r="AE790" s="43">
        <v>45</v>
      </c>
    </row>
    <row r="791" spans="1:337" x14ac:dyDescent="0.35">
      <c r="A791" s="32" t="s">
        <v>31</v>
      </c>
      <c r="B791" s="32" t="s">
        <v>35</v>
      </c>
      <c r="C791" s="33">
        <v>46371</v>
      </c>
      <c r="D791" s="34">
        <v>13</v>
      </c>
      <c r="E791" s="34">
        <v>24</v>
      </c>
      <c r="F791" s="34">
        <v>25</v>
      </c>
      <c r="G791" s="141"/>
      <c r="H791" s="141"/>
      <c r="I791" s="141"/>
      <c r="J791" s="141"/>
      <c r="K791" s="141"/>
      <c r="L791" s="34">
        <v>2</v>
      </c>
      <c r="M791" s="34">
        <v>5</v>
      </c>
      <c r="N791" s="34">
        <v>4</v>
      </c>
      <c r="O791" s="34">
        <v>4</v>
      </c>
      <c r="P791" s="32">
        <v>7</v>
      </c>
      <c r="Q791" s="32">
        <v>7</v>
      </c>
      <c r="R791" s="32">
        <v>8</v>
      </c>
      <c r="S791" s="32">
        <v>6</v>
      </c>
      <c r="T791" s="143"/>
      <c r="U791" s="143"/>
      <c r="V791" s="32" t="s">
        <v>36</v>
      </c>
      <c r="W791" s="32" t="s">
        <v>37</v>
      </c>
      <c r="X791" s="32">
        <v>1</v>
      </c>
      <c r="Y791" s="143"/>
      <c r="Z791" s="143"/>
      <c r="AA791" s="145"/>
      <c r="AB791" s="145"/>
      <c r="AC791" s="141"/>
      <c r="AD791" s="141"/>
      <c r="AE791" s="141"/>
    </row>
    <row r="792" spans="1:337" ht="15" thickBot="1" x14ac:dyDescent="0.4">
      <c r="A792" s="45" t="s">
        <v>31</v>
      </c>
      <c r="B792" s="45" t="s">
        <v>38</v>
      </c>
      <c r="C792" s="46">
        <v>46371</v>
      </c>
      <c r="D792" s="47"/>
      <c r="E792" s="47"/>
      <c r="F792" s="47"/>
      <c r="G792" s="142"/>
      <c r="H792" s="142"/>
      <c r="I792" s="142"/>
      <c r="J792" s="142"/>
      <c r="K792" s="142"/>
      <c r="L792" s="47">
        <v>2</v>
      </c>
      <c r="M792" s="47"/>
      <c r="N792" s="47"/>
      <c r="O792" s="47"/>
      <c r="P792" s="47"/>
      <c r="Q792" s="47"/>
      <c r="R792" s="47"/>
      <c r="S792" s="47"/>
      <c r="T792" s="144"/>
      <c r="U792" s="144"/>
      <c r="V792" s="45"/>
      <c r="W792" s="45"/>
      <c r="X792" s="47"/>
      <c r="Y792" s="144"/>
      <c r="Z792" s="144"/>
      <c r="AA792" s="146"/>
      <c r="AB792" s="146"/>
      <c r="AC792" s="142"/>
      <c r="AD792" s="142"/>
      <c r="AE792" s="142"/>
    </row>
    <row r="793" spans="1:337" s="53" customFormat="1" ht="15" thickBot="1" x14ac:dyDescent="0.4">
      <c r="A793" s="49"/>
      <c r="B793" s="49"/>
      <c r="C793" s="50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49"/>
      <c r="U793" s="49"/>
      <c r="V793" s="49"/>
      <c r="W793" s="49"/>
      <c r="X793" s="51"/>
      <c r="Y793" s="49"/>
      <c r="Z793" s="49"/>
      <c r="AA793" s="52"/>
      <c r="AB793" s="52"/>
      <c r="AC793" s="51"/>
      <c r="AD793" s="51"/>
      <c r="AE793" s="51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/>
      <c r="DY793"/>
      <c r="DZ793"/>
      <c r="EA793"/>
      <c r="EB793"/>
      <c r="EC793"/>
      <c r="ED793"/>
      <c r="EE793"/>
      <c r="EF793"/>
      <c r="EG793"/>
      <c r="EH793"/>
      <c r="EI793"/>
      <c r="EJ793"/>
      <c r="EK793"/>
      <c r="EL793"/>
      <c r="EM793"/>
      <c r="EN793"/>
      <c r="EO793"/>
      <c r="EP793"/>
      <c r="EQ793"/>
      <c r="ER793"/>
      <c r="ES793"/>
      <c r="ET793"/>
      <c r="EU793"/>
      <c r="EV793"/>
      <c r="EW793"/>
      <c r="EX793"/>
      <c r="EY793"/>
      <c r="EZ793"/>
      <c r="FA793"/>
      <c r="FB793"/>
      <c r="FC793"/>
      <c r="FD793"/>
      <c r="FE793"/>
      <c r="FF793"/>
      <c r="FG793"/>
      <c r="FH793"/>
      <c r="FI793"/>
      <c r="FJ793"/>
      <c r="FK793"/>
      <c r="FL793"/>
      <c r="FM793"/>
      <c r="FN793"/>
      <c r="FO793"/>
      <c r="FP793"/>
      <c r="FQ793"/>
      <c r="FR793"/>
      <c r="FS793"/>
      <c r="FT793"/>
      <c r="FU793"/>
      <c r="FV793"/>
      <c r="FW793"/>
      <c r="FX793"/>
      <c r="FY793"/>
      <c r="FZ793"/>
      <c r="GA793"/>
      <c r="GB793"/>
      <c r="GC793"/>
      <c r="GD793"/>
      <c r="GE793"/>
      <c r="GF793"/>
      <c r="GG793"/>
      <c r="GH793"/>
      <c r="GI793"/>
      <c r="GJ793"/>
      <c r="GK793"/>
      <c r="GL793"/>
      <c r="GM793"/>
      <c r="GN793"/>
      <c r="GO793"/>
      <c r="GP793"/>
      <c r="GQ793"/>
      <c r="GR793"/>
      <c r="GS793"/>
      <c r="GT793"/>
      <c r="GU793"/>
      <c r="GV793"/>
      <c r="GW793"/>
      <c r="GX793"/>
      <c r="GY793"/>
      <c r="GZ793"/>
      <c r="HA793"/>
      <c r="HB793"/>
      <c r="HC793"/>
      <c r="HD793"/>
      <c r="HE793"/>
      <c r="HF793"/>
      <c r="HG793"/>
      <c r="HH793"/>
      <c r="HI793"/>
      <c r="HJ793"/>
      <c r="HK793"/>
      <c r="HL793"/>
      <c r="HM793"/>
      <c r="HN793"/>
      <c r="HO793"/>
      <c r="HP793"/>
      <c r="HQ793"/>
      <c r="HR793"/>
      <c r="HS793"/>
      <c r="HT793"/>
      <c r="HU793"/>
      <c r="HV793"/>
      <c r="HW793"/>
      <c r="HX793"/>
      <c r="HY793"/>
      <c r="HZ793"/>
      <c r="IA793"/>
      <c r="IB793"/>
      <c r="IC793"/>
      <c r="ID793"/>
      <c r="IE793"/>
      <c r="IF793"/>
      <c r="IG793"/>
      <c r="IH793"/>
      <c r="II793"/>
      <c r="IJ793"/>
      <c r="IK793"/>
      <c r="IL793"/>
      <c r="IM793"/>
      <c r="IN793"/>
      <c r="IO793"/>
      <c r="IP793"/>
      <c r="IQ793"/>
      <c r="IR793"/>
      <c r="IS793"/>
      <c r="IT793"/>
      <c r="IU793"/>
      <c r="IV793"/>
      <c r="IW793"/>
      <c r="IX793"/>
      <c r="IY793"/>
      <c r="IZ793"/>
      <c r="JA793"/>
      <c r="JB793"/>
      <c r="JC793"/>
      <c r="JD793"/>
      <c r="JE793"/>
      <c r="JF793"/>
      <c r="JG793"/>
      <c r="JH793"/>
      <c r="JI793"/>
      <c r="JJ793"/>
      <c r="JK793"/>
      <c r="JL793"/>
      <c r="JM793"/>
      <c r="JN793"/>
      <c r="JO793"/>
      <c r="JP793"/>
      <c r="JQ793"/>
      <c r="JR793"/>
      <c r="JS793"/>
      <c r="JT793"/>
      <c r="JU793"/>
      <c r="JV793"/>
      <c r="JW793"/>
      <c r="JX793"/>
      <c r="JY793"/>
      <c r="JZ793"/>
      <c r="KA793"/>
      <c r="KB793"/>
      <c r="KC793"/>
      <c r="KD793"/>
      <c r="KE793"/>
      <c r="KF793"/>
      <c r="KG793"/>
      <c r="KH793"/>
      <c r="KI793"/>
      <c r="KJ793"/>
      <c r="KK793"/>
      <c r="KL793"/>
      <c r="KM793"/>
      <c r="KN793"/>
      <c r="KO793"/>
      <c r="KP793"/>
      <c r="KQ793"/>
      <c r="KR793"/>
      <c r="KS793"/>
      <c r="KT793"/>
      <c r="KU793"/>
      <c r="KV793"/>
      <c r="KW793"/>
      <c r="KX793"/>
      <c r="KY793"/>
      <c r="KZ793"/>
      <c r="LA793"/>
      <c r="LB793"/>
      <c r="LC793"/>
      <c r="LD793"/>
      <c r="LE793"/>
      <c r="LF793"/>
      <c r="LG793"/>
      <c r="LH793"/>
      <c r="LI793"/>
      <c r="LJ793"/>
      <c r="LK793"/>
      <c r="LL793"/>
      <c r="LM793"/>
      <c r="LN793"/>
      <c r="LO793"/>
      <c r="LP793"/>
      <c r="LQ793"/>
      <c r="LR793"/>
      <c r="LS793"/>
      <c r="LT793"/>
      <c r="LU793"/>
      <c r="LV793"/>
      <c r="LW793"/>
      <c r="LX793"/>
      <c r="LY793"/>
    </row>
    <row r="794" spans="1:337" x14ac:dyDescent="0.35">
      <c r="A794" s="41" t="s">
        <v>31</v>
      </c>
      <c r="B794" s="41" t="s">
        <v>32</v>
      </c>
      <c r="C794" s="42">
        <v>46372</v>
      </c>
      <c r="D794" s="43">
        <v>0</v>
      </c>
      <c r="E794" s="43">
        <v>20</v>
      </c>
      <c r="F794" s="43">
        <v>20</v>
      </c>
      <c r="G794" s="43">
        <v>28</v>
      </c>
      <c r="H794" s="43">
        <v>40</v>
      </c>
      <c r="I794" s="43">
        <v>10</v>
      </c>
      <c r="J794" s="43">
        <v>21449</v>
      </c>
      <c r="K794" s="43">
        <f>SUM(L794:L796)</f>
        <v>6</v>
      </c>
      <c r="L794" s="43">
        <v>2</v>
      </c>
      <c r="M794" s="43"/>
      <c r="N794" s="43">
        <v>4</v>
      </c>
      <c r="O794" s="43">
        <v>3</v>
      </c>
      <c r="P794" s="43">
        <v>7</v>
      </c>
      <c r="Q794" s="43">
        <v>6</v>
      </c>
      <c r="R794" s="43">
        <v>9</v>
      </c>
      <c r="S794" s="43">
        <v>9</v>
      </c>
      <c r="T794" s="43">
        <v>25</v>
      </c>
      <c r="U794" s="43">
        <v>4</v>
      </c>
      <c r="V794" s="41" t="s">
        <v>33</v>
      </c>
      <c r="W794" s="41" t="s">
        <v>34</v>
      </c>
      <c r="X794" s="41">
        <v>1</v>
      </c>
      <c r="Y794" s="41">
        <v>3</v>
      </c>
      <c r="Z794" s="41">
        <v>322</v>
      </c>
      <c r="AA794" s="44">
        <v>34</v>
      </c>
      <c r="AB794" s="44">
        <v>34</v>
      </c>
      <c r="AC794" s="43">
        <v>45</v>
      </c>
      <c r="AD794" s="43">
        <v>30</v>
      </c>
      <c r="AE794" s="43">
        <v>45</v>
      </c>
    </row>
    <row r="795" spans="1:337" x14ac:dyDescent="0.35">
      <c r="A795" s="32" t="s">
        <v>31</v>
      </c>
      <c r="B795" s="32" t="s">
        <v>35</v>
      </c>
      <c r="C795" s="33">
        <v>46372</v>
      </c>
      <c r="D795" s="34">
        <v>13</v>
      </c>
      <c r="E795" s="34">
        <v>24</v>
      </c>
      <c r="F795" s="34">
        <v>25</v>
      </c>
      <c r="G795" s="141"/>
      <c r="H795" s="141"/>
      <c r="I795" s="141"/>
      <c r="J795" s="141"/>
      <c r="K795" s="141"/>
      <c r="L795" s="34">
        <v>2</v>
      </c>
      <c r="M795" s="34">
        <v>5</v>
      </c>
      <c r="N795" s="34">
        <v>4</v>
      </c>
      <c r="O795" s="34">
        <v>4</v>
      </c>
      <c r="P795" s="32">
        <v>7</v>
      </c>
      <c r="Q795" s="32">
        <v>7</v>
      </c>
      <c r="R795" s="32">
        <v>8</v>
      </c>
      <c r="S795" s="32">
        <v>6</v>
      </c>
      <c r="T795" s="143"/>
      <c r="U795" s="143"/>
      <c r="V795" s="32" t="s">
        <v>36</v>
      </c>
      <c r="W795" s="32" t="s">
        <v>37</v>
      </c>
      <c r="X795" s="32">
        <v>1</v>
      </c>
      <c r="Y795" s="143"/>
      <c r="Z795" s="143"/>
      <c r="AA795" s="145"/>
      <c r="AB795" s="145"/>
      <c r="AC795" s="141"/>
      <c r="AD795" s="141"/>
      <c r="AE795" s="141"/>
    </row>
    <row r="796" spans="1:337" ht="15" thickBot="1" x14ac:dyDescent="0.4">
      <c r="A796" s="45" t="s">
        <v>31</v>
      </c>
      <c r="B796" s="45" t="s">
        <v>38</v>
      </c>
      <c r="C796" s="46">
        <v>46372</v>
      </c>
      <c r="D796" s="47"/>
      <c r="E796" s="47"/>
      <c r="F796" s="47"/>
      <c r="G796" s="142"/>
      <c r="H796" s="142"/>
      <c r="I796" s="142"/>
      <c r="J796" s="142"/>
      <c r="K796" s="142"/>
      <c r="L796" s="47">
        <v>2</v>
      </c>
      <c r="M796" s="47"/>
      <c r="N796" s="47"/>
      <c r="O796" s="47"/>
      <c r="P796" s="47"/>
      <c r="Q796" s="47"/>
      <c r="R796" s="47"/>
      <c r="S796" s="47"/>
      <c r="T796" s="144"/>
      <c r="U796" s="144"/>
      <c r="V796" s="45"/>
      <c r="W796" s="45"/>
      <c r="X796" s="47"/>
      <c r="Y796" s="144"/>
      <c r="Z796" s="144"/>
      <c r="AA796" s="146"/>
      <c r="AB796" s="146"/>
      <c r="AC796" s="142"/>
      <c r="AD796" s="142"/>
      <c r="AE796" s="142"/>
    </row>
    <row r="797" spans="1:337" s="53" customFormat="1" ht="15" thickBot="1" x14ac:dyDescent="0.4">
      <c r="A797" s="49"/>
      <c r="B797" s="49"/>
      <c r="C797" s="50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49"/>
      <c r="U797" s="49"/>
      <c r="V797" s="49"/>
      <c r="W797" s="49"/>
      <c r="X797" s="51"/>
      <c r="Y797" s="49"/>
      <c r="Z797" s="49"/>
      <c r="AA797" s="52"/>
      <c r="AB797" s="52"/>
      <c r="AC797" s="51"/>
      <c r="AD797" s="51"/>
      <c r="AE797" s="51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/>
      <c r="EU797"/>
      <c r="EV797"/>
      <c r="EW797"/>
      <c r="EX797"/>
      <c r="EY797"/>
      <c r="EZ797"/>
      <c r="FA797"/>
      <c r="FB797"/>
      <c r="FC797"/>
      <c r="FD797"/>
      <c r="FE797"/>
      <c r="FF797"/>
      <c r="FG797"/>
      <c r="FH797"/>
      <c r="FI797"/>
      <c r="FJ797"/>
      <c r="FK797"/>
      <c r="FL797"/>
      <c r="FM797"/>
      <c r="FN797"/>
      <c r="FO797"/>
      <c r="FP797"/>
      <c r="FQ797"/>
      <c r="FR797"/>
      <c r="FS797"/>
      <c r="FT797"/>
      <c r="FU797"/>
      <c r="FV797"/>
      <c r="FW797"/>
      <c r="FX797"/>
      <c r="FY797"/>
      <c r="FZ797"/>
      <c r="GA797"/>
      <c r="GB797"/>
      <c r="GC797"/>
      <c r="GD797"/>
      <c r="GE797"/>
      <c r="GF797"/>
      <c r="GG797"/>
      <c r="GH797"/>
      <c r="GI797"/>
      <c r="GJ797"/>
      <c r="GK797"/>
      <c r="GL797"/>
      <c r="GM797"/>
      <c r="GN797"/>
      <c r="GO797"/>
      <c r="GP797"/>
      <c r="GQ797"/>
      <c r="GR797"/>
      <c r="GS797"/>
      <c r="GT797"/>
      <c r="GU797"/>
      <c r="GV797"/>
      <c r="GW797"/>
      <c r="GX797"/>
      <c r="GY797"/>
      <c r="GZ797"/>
      <c r="HA797"/>
      <c r="HB797"/>
      <c r="HC797"/>
      <c r="HD797"/>
      <c r="HE797"/>
      <c r="HF797"/>
      <c r="HG797"/>
      <c r="HH797"/>
      <c r="HI797"/>
      <c r="HJ797"/>
      <c r="HK797"/>
      <c r="HL797"/>
      <c r="HM797"/>
      <c r="HN797"/>
      <c r="HO797"/>
      <c r="HP797"/>
      <c r="HQ797"/>
      <c r="HR797"/>
      <c r="HS797"/>
      <c r="HT797"/>
      <c r="HU797"/>
      <c r="HV797"/>
      <c r="HW797"/>
      <c r="HX797"/>
      <c r="HY797"/>
      <c r="HZ797"/>
      <c r="IA797"/>
      <c r="IB797"/>
      <c r="IC797"/>
      <c r="ID797"/>
      <c r="IE797"/>
      <c r="IF797"/>
      <c r="IG797"/>
      <c r="IH797"/>
      <c r="II797"/>
      <c r="IJ797"/>
      <c r="IK797"/>
      <c r="IL797"/>
      <c r="IM797"/>
      <c r="IN797"/>
      <c r="IO797"/>
      <c r="IP797"/>
      <c r="IQ797"/>
      <c r="IR797"/>
      <c r="IS797"/>
      <c r="IT797"/>
      <c r="IU797"/>
      <c r="IV797"/>
      <c r="IW797"/>
      <c r="IX797"/>
      <c r="IY797"/>
      <c r="IZ797"/>
      <c r="JA797"/>
      <c r="JB797"/>
      <c r="JC797"/>
      <c r="JD797"/>
      <c r="JE797"/>
      <c r="JF797"/>
      <c r="JG797"/>
      <c r="JH797"/>
      <c r="JI797"/>
      <c r="JJ797"/>
      <c r="JK797"/>
      <c r="JL797"/>
      <c r="JM797"/>
      <c r="JN797"/>
      <c r="JO797"/>
      <c r="JP797"/>
      <c r="JQ797"/>
      <c r="JR797"/>
      <c r="JS797"/>
      <c r="JT797"/>
      <c r="JU797"/>
      <c r="JV797"/>
      <c r="JW797"/>
      <c r="JX797"/>
      <c r="JY797"/>
      <c r="JZ797"/>
      <c r="KA797"/>
      <c r="KB797"/>
      <c r="KC797"/>
      <c r="KD797"/>
      <c r="KE797"/>
      <c r="KF797"/>
      <c r="KG797"/>
      <c r="KH797"/>
      <c r="KI797"/>
      <c r="KJ797"/>
      <c r="KK797"/>
      <c r="KL797"/>
      <c r="KM797"/>
      <c r="KN797"/>
      <c r="KO797"/>
      <c r="KP797"/>
      <c r="KQ797"/>
      <c r="KR797"/>
      <c r="KS797"/>
      <c r="KT797"/>
      <c r="KU797"/>
      <c r="KV797"/>
      <c r="KW797"/>
      <c r="KX797"/>
      <c r="KY797"/>
      <c r="KZ797"/>
      <c r="LA797"/>
      <c r="LB797"/>
      <c r="LC797"/>
      <c r="LD797"/>
      <c r="LE797"/>
      <c r="LF797"/>
      <c r="LG797"/>
      <c r="LH797"/>
      <c r="LI797"/>
      <c r="LJ797"/>
      <c r="LK797"/>
      <c r="LL797"/>
      <c r="LM797"/>
      <c r="LN797"/>
      <c r="LO797"/>
      <c r="LP797"/>
      <c r="LQ797"/>
      <c r="LR797"/>
      <c r="LS797"/>
      <c r="LT797"/>
      <c r="LU797"/>
      <c r="LV797"/>
      <c r="LW797"/>
      <c r="LX797"/>
      <c r="LY797"/>
    </row>
    <row r="798" spans="1:337" x14ac:dyDescent="0.35">
      <c r="A798" s="41" t="s">
        <v>31</v>
      </c>
      <c r="B798" s="41" t="s">
        <v>32</v>
      </c>
      <c r="C798" s="42">
        <v>46373</v>
      </c>
      <c r="D798" s="43">
        <v>0</v>
      </c>
      <c r="E798" s="43">
        <v>20</v>
      </c>
      <c r="F798" s="43">
        <v>20</v>
      </c>
      <c r="G798" s="43">
        <v>28</v>
      </c>
      <c r="H798" s="43">
        <v>40</v>
      </c>
      <c r="I798" s="43">
        <v>10</v>
      </c>
      <c r="J798" s="43">
        <v>21449</v>
      </c>
      <c r="K798" s="43">
        <f>SUM(L798:L800)</f>
        <v>6</v>
      </c>
      <c r="L798" s="43">
        <v>2</v>
      </c>
      <c r="M798" s="43"/>
      <c r="N798" s="43">
        <v>4</v>
      </c>
      <c r="O798" s="43">
        <v>3</v>
      </c>
      <c r="P798" s="43">
        <v>7</v>
      </c>
      <c r="Q798" s="43">
        <v>6</v>
      </c>
      <c r="R798" s="43">
        <v>9</v>
      </c>
      <c r="S798" s="43">
        <v>9</v>
      </c>
      <c r="T798" s="43">
        <v>20</v>
      </c>
      <c r="U798" s="43">
        <v>3</v>
      </c>
      <c r="V798" s="41" t="s">
        <v>33</v>
      </c>
      <c r="W798" s="41" t="s">
        <v>34</v>
      </c>
      <c r="X798" s="41">
        <v>1</v>
      </c>
      <c r="Y798" s="41">
        <v>3</v>
      </c>
      <c r="Z798" s="41">
        <v>322</v>
      </c>
      <c r="AA798" s="44">
        <v>34</v>
      </c>
      <c r="AB798" s="44">
        <v>34</v>
      </c>
      <c r="AC798" s="43">
        <v>45</v>
      </c>
      <c r="AD798" s="43">
        <v>30</v>
      </c>
      <c r="AE798" s="43">
        <v>45</v>
      </c>
    </row>
    <row r="799" spans="1:337" x14ac:dyDescent="0.35">
      <c r="A799" s="32" t="s">
        <v>31</v>
      </c>
      <c r="B799" s="32" t="s">
        <v>35</v>
      </c>
      <c r="C799" s="33">
        <v>46373</v>
      </c>
      <c r="D799" s="34">
        <v>13</v>
      </c>
      <c r="E799" s="34">
        <v>24</v>
      </c>
      <c r="F799" s="34">
        <v>25</v>
      </c>
      <c r="G799" s="141"/>
      <c r="H799" s="141"/>
      <c r="I799" s="141"/>
      <c r="J799" s="141"/>
      <c r="K799" s="141"/>
      <c r="L799" s="34">
        <v>2</v>
      </c>
      <c r="M799" s="34">
        <v>5</v>
      </c>
      <c r="N799" s="34">
        <v>4</v>
      </c>
      <c r="O799" s="34">
        <v>4</v>
      </c>
      <c r="P799" s="32">
        <v>7</v>
      </c>
      <c r="Q799" s="32">
        <v>7</v>
      </c>
      <c r="R799" s="32">
        <v>8</v>
      </c>
      <c r="S799" s="32">
        <v>6</v>
      </c>
      <c r="T799" s="143"/>
      <c r="U799" s="143"/>
      <c r="V799" s="32" t="s">
        <v>36</v>
      </c>
      <c r="W799" s="32" t="s">
        <v>37</v>
      </c>
      <c r="X799" s="32">
        <v>1</v>
      </c>
      <c r="Y799" s="143"/>
      <c r="Z799" s="143"/>
      <c r="AA799" s="145"/>
      <c r="AB799" s="145"/>
      <c r="AC799" s="141"/>
      <c r="AD799" s="141"/>
      <c r="AE799" s="141"/>
    </row>
    <row r="800" spans="1:337" ht="15" thickBot="1" x14ac:dyDescent="0.4">
      <c r="A800" s="45" t="s">
        <v>31</v>
      </c>
      <c r="B800" s="45" t="s">
        <v>38</v>
      </c>
      <c r="C800" s="46">
        <v>46373</v>
      </c>
      <c r="D800" s="47"/>
      <c r="E800" s="47"/>
      <c r="F800" s="47"/>
      <c r="G800" s="142"/>
      <c r="H800" s="142"/>
      <c r="I800" s="142"/>
      <c r="J800" s="142"/>
      <c r="K800" s="142"/>
      <c r="L800" s="47">
        <v>2</v>
      </c>
      <c r="M800" s="47"/>
      <c r="N800" s="47"/>
      <c r="O800" s="47"/>
      <c r="P800" s="47"/>
      <c r="Q800" s="47"/>
      <c r="R800" s="47"/>
      <c r="S800" s="47"/>
      <c r="T800" s="144"/>
      <c r="U800" s="144"/>
      <c r="V800" s="45"/>
      <c r="W800" s="45"/>
      <c r="X800" s="47"/>
      <c r="Y800" s="144"/>
      <c r="Z800" s="144"/>
      <c r="AA800" s="146"/>
      <c r="AB800" s="146"/>
      <c r="AC800" s="142"/>
      <c r="AD800" s="142"/>
      <c r="AE800" s="142"/>
    </row>
    <row r="801" spans="1:337" s="53" customFormat="1" ht="15" thickBot="1" x14ac:dyDescent="0.4">
      <c r="A801" s="49"/>
      <c r="B801" s="49"/>
      <c r="C801" s="50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49"/>
      <c r="U801" s="49"/>
      <c r="V801" s="49"/>
      <c r="W801" s="49"/>
      <c r="X801" s="51"/>
      <c r="Y801" s="49"/>
      <c r="Z801" s="49"/>
      <c r="AA801" s="52"/>
      <c r="AB801" s="52"/>
      <c r="AC801" s="51"/>
      <c r="AD801" s="51"/>
      <c r="AE801" s="5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  <c r="EW801"/>
      <c r="EX801"/>
      <c r="EY801"/>
      <c r="EZ801"/>
      <c r="FA801"/>
      <c r="FB801"/>
      <c r="FC801"/>
      <c r="FD801"/>
      <c r="FE801"/>
      <c r="FF801"/>
      <c r="FG801"/>
      <c r="FH801"/>
      <c r="FI801"/>
      <c r="FJ801"/>
      <c r="FK801"/>
      <c r="FL801"/>
      <c r="FM801"/>
      <c r="FN801"/>
      <c r="FO801"/>
      <c r="FP801"/>
      <c r="FQ801"/>
      <c r="FR801"/>
      <c r="FS801"/>
      <c r="FT801"/>
      <c r="FU801"/>
      <c r="FV801"/>
      <c r="FW801"/>
      <c r="FX801"/>
      <c r="FY801"/>
      <c r="FZ801"/>
      <c r="GA801"/>
      <c r="GB801"/>
      <c r="GC801"/>
      <c r="GD801"/>
      <c r="GE801"/>
      <c r="GF801"/>
      <c r="GG801"/>
      <c r="GH801"/>
      <c r="GI801"/>
      <c r="GJ801"/>
      <c r="GK801"/>
      <c r="GL801"/>
      <c r="GM801"/>
      <c r="GN801"/>
      <c r="GO801"/>
      <c r="GP801"/>
      <c r="GQ801"/>
      <c r="GR801"/>
      <c r="GS801"/>
      <c r="GT801"/>
      <c r="GU801"/>
      <c r="GV801"/>
      <c r="GW801"/>
      <c r="GX801"/>
      <c r="GY801"/>
      <c r="GZ801"/>
      <c r="HA801"/>
      <c r="HB801"/>
      <c r="HC801"/>
      <c r="HD801"/>
      <c r="HE801"/>
      <c r="HF801"/>
      <c r="HG801"/>
      <c r="HH801"/>
      <c r="HI801"/>
      <c r="HJ801"/>
      <c r="HK801"/>
      <c r="HL801"/>
      <c r="HM801"/>
      <c r="HN801"/>
      <c r="HO801"/>
      <c r="HP801"/>
      <c r="HQ801"/>
      <c r="HR801"/>
      <c r="HS801"/>
      <c r="HT801"/>
      <c r="HU801"/>
      <c r="HV801"/>
      <c r="HW801"/>
      <c r="HX801"/>
      <c r="HY801"/>
      <c r="HZ801"/>
      <c r="IA801"/>
      <c r="IB801"/>
      <c r="IC801"/>
      <c r="ID801"/>
      <c r="IE801"/>
      <c r="IF801"/>
      <c r="IG801"/>
      <c r="IH801"/>
      <c r="II801"/>
      <c r="IJ801"/>
      <c r="IK801"/>
      <c r="IL801"/>
      <c r="IM801"/>
      <c r="IN801"/>
      <c r="IO801"/>
      <c r="IP801"/>
      <c r="IQ801"/>
      <c r="IR801"/>
      <c r="IS801"/>
      <c r="IT801"/>
      <c r="IU801"/>
      <c r="IV801"/>
      <c r="IW801"/>
      <c r="IX801"/>
      <c r="IY801"/>
      <c r="IZ801"/>
      <c r="JA801"/>
      <c r="JB801"/>
      <c r="JC801"/>
      <c r="JD801"/>
      <c r="JE801"/>
      <c r="JF801"/>
      <c r="JG801"/>
      <c r="JH801"/>
      <c r="JI801"/>
      <c r="JJ801"/>
      <c r="JK801"/>
      <c r="JL801"/>
      <c r="JM801"/>
      <c r="JN801"/>
      <c r="JO801"/>
      <c r="JP801"/>
      <c r="JQ801"/>
      <c r="JR801"/>
      <c r="JS801"/>
      <c r="JT801"/>
      <c r="JU801"/>
      <c r="JV801"/>
      <c r="JW801"/>
      <c r="JX801"/>
      <c r="JY801"/>
      <c r="JZ801"/>
      <c r="KA801"/>
      <c r="KB801"/>
      <c r="KC801"/>
      <c r="KD801"/>
      <c r="KE801"/>
      <c r="KF801"/>
      <c r="KG801"/>
      <c r="KH801"/>
      <c r="KI801"/>
      <c r="KJ801"/>
      <c r="KK801"/>
      <c r="KL801"/>
      <c r="KM801"/>
      <c r="KN801"/>
      <c r="KO801"/>
      <c r="KP801"/>
      <c r="KQ801"/>
      <c r="KR801"/>
      <c r="KS801"/>
      <c r="KT801"/>
      <c r="KU801"/>
      <c r="KV801"/>
      <c r="KW801"/>
      <c r="KX801"/>
      <c r="KY801"/>
      <c r="KZ801"/>
      <c r="LA801"/>
      <c r="LB801"/>
      <c r="LC801"/>
      <c r="LD801"/>
      <c r="LE801"/>
      <c r="LF801"/>
      <c r="LG801"/>
      <c r="LH801"/>
      <c r="LI801"/>
      <c r="LJ801"/>
      <c r="LK801"/>
      <c r="LL801"/>
      <c r="LM801"/>
      <c r="LN801"/>
      <c r="LO801"/>
      <c r="LP801"/>
      <c r="LQ801"/>
      <c r="LR801"/>
      <c r="LS801"/>
      <c r="LT801"/>
      <c r="LU801"/>
      <c r="LV801"/>
      <c r="LW801"/>
      <c r="LX801"/>
      <c r="LY801"/>
    </row>
    <row r="802" spans="1:337" x14ac:dyDescent="0.35">
      <c r="A802" s="41" t="s">
        <v>31</v>
      </c>
      <c r="B802" s="41" t="s">
        <v>32</v>
      </c>
      <c r="C802" s="42">
        <v>46374</v>
      </c>
      <c r="D802" s="43">
        <v>0</v>
      </c>
      <c r="E802" s="43">
        <v>20</v>
      </c>
      <c r="F802" s="43">
        <v>20</v>
      </c>
      <c r="G802" s="43">
        <v>28</v>
      </c>
      <c r="H802" s="43">
        <v>40</v>
      </c>
      <c r="I802" s="43">
        <v>10</v>
      </c>
      <c r="J802" s="43">
        <v>21449</v>
      </c>
      <c r="K802" s="43">
        <f>SUM(L802:L804)</f>
        <v>6</v>
      </c>
      <c r="L802" s="43">
        <v>2</v>
      </c>
      <c r="M802" s="43"/>
      <c r="N802" s="43">
        <v>4</v>
      </c>
      <c r="O802" s="43">
        <v>3</v>
      </c>
      <c r="P802" s="43">
        <v>7</v>
      </c>
      <c r="Q802" s="43">
        <v>6</v>
      </c>
      <c r="R802" s="43">
        <v>9</v>
      </c>
      <c r="S802" s="43">
        <v>9</v>
      </c>
      <c r="T802" s="43">
        <v>25</v>
      </c>
      <c r="U802" s="43">
        <v>4</v>
      </c>
      <c r="V802" s="41" t="s">
        <v>33</v>
      </c>
      <c r="W802" s="41" t="s">
        <v>34</v>
      </c>
      <c r="X802" s="41">
        <v>1</v>
      </c>
      <c r="Y802" s="41">
        <v>3</v>
      </c>
      <c r="Z802" s="41">
        <v>322</v>
      </c>
      <c r="AA802" s="44">
        <v>34</v>
      </c>
      <c r="AB802" s="44">
        <v>34</v>
      </c>
      <c r="AC802" s="43">
        <v>45</v>
      </c>
      <c r="AD802" s="43">
        <v>30</v>
      </c>
      <c r="AE802" s="43">
        <v>45</v>
      </c>
    </row>
    <row r="803" spans="1:337" x14ac:dyDescent="0.35">
      <c r="A803" s="32" t="s">
        <v>31</v>
      </c>
      <c r="B803" s="32" t="s">
        <v>35</v>
      </c>
      <c r="C803" s="33">
        <v>46374</v>
      </c>
      <c r="D803" s="34">
        <v>13</v>
      </c>
      <c r="E803" s="34">
        <v>24</v>
      </c>
      <c r="F803" s="34">
        <v>25</v>
      </c>
      <c r="G803" s="141"/>
      <c r="H803" s="141"/>
      <c r="I803" s="141"/>
      <c r="J803" s="141"/>
      <c r="K803" s="141"/>
      <c r="L803" s="34">
        <v>2</v>
      </c>
      <c r="M803" s="34">
        <v>5</v>
      </c>
      <c r="N803" s="34">
        <v>4</v>
      </c>
      <c r="O803" s="34">
        <v>4</v>
      </c>
      <c r="P803" s="32">
        <v>7</v>
      </c>
      <c r="Q803" s="32">
        <v>7</v>
      </c>
      <c r="R803" s="32">
        <v>8</v>
      </c>
      <c r="S803" s="32">
        <v>6</v>
      </c>
      <c r="T803" s="143"/>
      <c r="U803" s="143"/>
      <c r="V803" s="32" t="s">
        <v>36</v>
      </c>
      <c r="W803" s="32" t="s">
        <v>37</v>
      </c>
      <c r="X803" s="32">
        <v>1</v>
      </c>
      <c r="Y803" s="143"/>
      <c r="Z803" s="143"/>
      <c r="AA803" s="145"/>
      <c r="AB803" s="145"/>
      <c r="AC803" s="141"/>
      <c r="AD803" s="141"/>
      <c r="AE803" s="141"/>
    </row>
    <row r="804" spans="1:337" ht="15" thickBot="1" x14ac:dyDescent="0.4">
      <c r="A804" s="45" t="s">
        <v>31</v>
      </c>
      <c r="B804" s="45" t="s">
        <v>38</v>
      </c>
      <c r="C804" s="46">
        <v>46374</v>
      </c>
      <c r="D804" s="47"/>
      <c r="E804" s="47"/>
      <c r="F804" s="47"/>
      <c r="G804" s="142"/>
      <c r="H804" s="142"/>
      <c r="I804" s="142"/>
      <c r="J804" s="142"/>
      <c r="K804" s="142"/>
      <c r="L804" s="47">
        <v>2</v>
      </c>
      <c r="M804" s="47"/>
      <c r="N804" s="47"/>
      <c r="O804" s="47"/>
      <c r="P804" s="47"/>
      <c r="Q804" s="47"/>
      <c r="R804" s="47"/>
      <c r="S804" s="47"/>
      <c r="T804" s="144"/>
      <c r="U804" s="144"/>
      <c r="V804" s="45"/>
      <c r="W804" s="45"/>
      <c r="X804" s="47"/>
      <c r="Y804" s="144"/>
      <c r="Z804" s="144"/>
      <c r="AA804" s="146"/>
      <c r="AB804" s="146"/>
      <c r="AC804" s="142"/>
      <c r="AD804" s="142"/>
      <c r="AE804" s="142"/>
    </row>
    <row r="805" spans="1:337" s="53" customFormat="1" ht="15" thickBot="1" x14ac:dyDescent="0.4">
      <c r="A805" s="49"/>
      <c r="B805" s="49"/>
      <c r="C805" s="50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49"/>
      <c r="U805" s="49"/>
      <c r="V805" s="49"/>
      <c r="W805" s="49"/>
      <c r="X805" s="51"/>
      <c r="Y805" s="49"/>
      <c r="Z805" s="49"/>
      <c r="AA805" s="52"/>
      <c r="AB805" s="52"/>
      <c r="AC805" s="51"/>
      <c r="AD805" s="51"/>
      <c r="AE805" s="51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  <c r="EW805"/>
      <c r="EX805"/>
      <c r="EY805"/>
      <c r="EZ805"/>
      <c r="FA805"/>
      <c r="FB805"/>
      <c r="FC805"/>
      <c r="FD805"/>
      <c r="FE805"/>
      <c r="FF805"/>
      <c r="FG805"/>
      <c r="FH805"/>
      <c r="FI805"/>
      <c r="FJ805"/>
      <c r="FK805"/>
      <c r="FL805"/>
      <c r="FM805"/>
      <c r="FN805"/>
      <c r="FO805"/>
      <c r="FP805"/>
      <c r="FQ805"/>
      <c r="FR805"/>
      <c r="FS805"/>
      <c r="FT805"/>
      <c r="FU805"/>
      <c r="FV805"/>
      <c r="FW805"/>
      <c r="FX805"/>
      <c r="FY805"/>
      <c r="FZ805"/>
      <c r="GA805"/>
      <c r="GB805"/>
      <c r="GC805"/>
      <c r="GD805"/>
      <c r="GE805"/>
      <c r="GF805"/>
      <c r="GG805"/>
      <c r="GH805"/>
      <c r="GI805"/>
      <c r="GJ805"/>
      <c r="GK805"/>
      <c r="GL805"/>
      <c r="GM805"/>
      <c r="GN805"/>
      <c r="GO805"/>
      <c r="GP805"/>
      <c r="GQ805"/>
      <c r="GR805"/>
      <c r="GS805"/>
      <c r="GT805"/>
      <c r="GU805"/>
      <c r="GV805"/>
      <c r="GW805"/>
      <c r="GX805"/>
      <c r="GY805"/>
      <c r="GZ805"/>
      <c r="HA805"/>
      <c r="HB805"/>
      <c r="HC805"/>
      <c r="HD805"/>
      <c r="HE805"/>
      <c r="HF805"/>
      <c r="HG805"/>
      <c r="HH805"/>
      <c r="HI805"/>
      <c r="HJ805"/>
      <c r="HK805"/>
      <c r="HL805"/>
      <c r="HM805"/>
      <c r="HN805"/>
      <c r="HO805"/>
      <c r="HP805"/>
      <c r="HQ805"/>
      <c r="HR805"/>
      <c r="HS805"/>
      <c r="HT805"/>
      <c r="HU805"/>
      <c r="HV805"/>
      <c r="HW805"/>
      <c r="HX805"/>
      <c r="HY805"/>
      <c r="HZ805"/>
      <c r="IA805"/>
      <c r="IB805"/>
      <c r="IC805"/>
      <c r="ID805"/>
      <c r="IE805"/>
      <c r="IF805"/>
      <c r="IG805"/>
      <c r="IH805"/>
      <c r="II805"/>
      <c r="IJ805"/>
      <c r="IK805"/>
      <c r="IL805"/>
      <c r="IM805"/>
      <c r="IN805"/>
      <c r="IO805"/>
      <c r="IP805"/>
      <c r="IQ805"/>
      <c r="IR805"/>
      <c r="IS805"/>
      <c r="IT805"/>
      <c r="IU805"/>
      <c r="IV805"/>
      <c r="IW805"/>
      <c r="IX805"/>
      <c r="IY805"/>
      <c r="IZ805"/>
      <c r="JA805"/>
      <c r="JB805"/>
      <c r="JC805"/>
      <c r="JD805"/>
      <c r="JE805"/>
      <c r="JF805"/>
      <c r="JG805"/>
      <c r="JH805"/>
      <c r="JI805"/>
      <c r="JJ805"/>
      <c r="JK805"/>
      <c r="JL805"/>
      <c r="JM805"/>
      <c r="JN805"/>
      <c r="JO805"/>
      <c r="JP805"/>
      <c r="JQ805"/>
      <c r="JR805"/>
      <c r="JS805"/>
      <c r="JT805"/>
      <c r="JU805"/>
      <c r="JV805"/>
      <c r="JW805"/>
      <c r="JX805"/>
      <c r="JY805"/>
      <c r="JZ805"/>
      <c r="KA805"/>
      <c r="KB805"/>
      <c r="KC805"/>
      <c r="KD805"/>
      <c r="KE805"/>
      <c r="KF805"/>
      <c r="KG805"/>
      <c r="KH805"/>
      <c r="KI805"/>
      <c r="KJ805"/>
      <c r="KK805"/>
      <c r="KL805"/>
      <c r="KM805"/>
      <c r="KN805"/>
      <c r="KO805"/>
      <c r="KP805"/>
      <c r="KQ805"/>
      <c r="KR805"/>
      <c r="KS805"/>
      <c r="KT805"/>
      <c r="KU805"/>
      <c r="KV805"/>
      <c r="KW805"/>
      <c r="KX805"/>
      <c r="KY805"/>
      <c r="KZ805"/>
      <c r="LA805"/>
      <c r="LB805"/>
      <c r="LC805"/>
      <c r="LD805"/>
      <c r="LE805"/>
      <c r="LF805"/>
      <c r="LG805"/>
      <c r="LH805"/>
      <c r="LI805"/>
      <c r="LJ805"/>
      <c r="LK805"/>
      <c r="LL805"/>
      <c r="LM805"/>
      <c r="LN805"/>
      <c r="LO805"/>
      <c r="LP805"/>
      <c r="LQ805"/>
      <c r="LR805"/>
      <c r="LS805"/>
      <c r="LT805"/>
      <c r="LU805"/>
      <c r="LV805"/>
      <c r="LW805"/>
      <c r="LX805"/>
      <c r="LY805"/>
    </row>
    <row r="806" spans="1:337" x14ac:dyDescent="0.35">
      <c r="A806" s="41" t="s">
        <v>31</v>
      </c>
      <c r="B806" s="41" t="s">
        <v>32</v>
      </c>
      <c r="C806" s="42">
        <v>46375</v>
      </c>
      <c r="D806" s="43">
        <v>0</v>
      </c>
      <c r="E806" s="43">
        <v>20</v>
      </c>
      <c r="F806" s="43">
        <v>20</v>
      </c>
      <c r="G806" s="43">
        <v>28</v>
      </c>
      <c r="H806" s="43">
        <v>40</v>
      </c>
      <c r="I806" s="43">
        <v>10</v>
      </c>
      <c r="J806" s="43">
        <v>21449</v>
      </c>
      <c r="K806" s="43">
        <f>SUM(L806:L808)</f>
        <v>6</v>
      </c>
      <c r="L806" s="43">
        <v>2</v>
      </c>
      <c r="M806" s="43"/>
      <c r="N806" s="43">
        <v>4</v>
      </c>
      <c r="O806" s="43">
        <v>3</v>
      </c>
      <c r="P806" s="43">
        <v>7</v>
      </c>
      <c r="Q806" s="43">
        <v>6</v>
      </c>
      <c r="R806" s="43">
        <v>9</v>
      </c>
      <c r="S806" s="43">
        <v>9</v>
      </c>
      <c r="T806" s="43">
        <v>25</v>
      </c>
      <c r="U806" s="43">
        <v>4</v>
      </c>
      <c r="V806" s="41" t="s">
        <v>33</v>
      </c>
      <c r="W806" s="41" t="s">
        <v>34</v>
      </c>
      <c r="X806" s="41">
        <v>1</v>
      </c>
      <c r="Y806" s="41">
        <v>3</v>
      </c>
      <c r="Z806" s="41">
        <v>322</v>
      </c>
      <c r="AA806" s="44">
        <v>34</v>
      </c>
      <c r="AB806" s="44">
        <v>34</v>
      </c>
      <c r="AC806" s="43">
        <v>45</v>
      </c>
      <c r="AD806" s="43">
        <v>30</v>
      </c>
      <c r="AE806" s="43">
        <v>45</v>
      </c>
    </row>
    <row r="807" spans="1:337" x14ac:dyDescent="0.35">
      <c r="A807" s="32" t="s">
        <v>31</v>
      </c>
      <c r="B807" s="32" t="s">
        <v>35</v>
      </c>
      <c r="C807" s="33">
        <v>46375</v>
      </c>
      <c r="D807" s="34">
        <v>13</v>
      </c>
      <c r="E807" s="34">
        <v>24</v>
      </c>
      <c r="F807" s="34">
        <v>25</v>
      </c>
      <c r="G807" s="141"/>
      <c r="H807" s="141"/>
      <c r="I807" s="141"/>
      <c r="J807" s="141"/>
      <c r="K807" s="141"/>
      <c r="L807" s="34">
        <v>2</v>
      </c>
      <c r="M807" s="34">
        <v>5</v>
      </c>
      <c r="N807" s="34">
        <v>4</v>
      </c>
      <c r="O807" s="34">
        <v>4</v>
      </c>
      <c r="P807" s="32">
        <v>7</v>
      </c>
      <c r="Q807" s="32">
        <v>7</v>
      </c>
      <c r="R807" s="32">
        <v>8</v>
      </c>
      <c r="S807" s="32">
        <v>6</v>
      </c>
      <c r="T807" s="143"/>
      <c r="U807" s="143"/>
      <c r="V807" s="32" t="s">
        <v>36</v>
      </c>
      <c r="W807" s="32" t="s">
        <v>37</v>
      </c>
      <c r="X807" s="32">
        <v>1</v>
      </c>
      <c r="Y807" s="143"/>
      <c r="Z807" s="143"/>
      <c r="AA807" s="145"/>
      <c r="AB807" s="145"/>
      <c r="AC807" s="141"/>
      <c r="AD807" s="141"/>
      <c r="AE807" s="141"/>
    </row>
    <row r="808" spans="1:337" ht="15" thickBot="1" x14ac:dyDescent="0.4">
      <c r="A808" s="45" t="s">
        <v>31</v>
      </c>
      <c r="B808" s="45" t="s">
        <v>38</v>
      </c>
      <c r="C808" s="46">
        <v>46375</v>
      </c>
      <c r="D808" s="47"/>
      <c r="E808" s="47"/>
      <c r="F808" s="47"/>
      <c r="G808" s="142"/>
      <c r="H808" s="142"/>
      <c r="I808" s="142"/>
      <c r="J808" s="142"/>
      <c r="K808" s="142"/>
      <c r="L808" s="47">
        <v>2</v>
      </c>
      <c r="M808" s="47"/>
      <c r="N808" s="47"/>
      <c r="O808" s="47"/>
      <c r="P808" s="47"/>
      <c r="Q808" s="47"/>
      <c r="R808" s="47"/>
      <c r="S808" s="47"/>
      <c r="T808" s="144"/>
      <c r="U808" s="144"/>
      <c r="V808" s="45"/>
      <c r="W808" s="45"/>
      <c r="X808" s="47"/>
      <c r="Y808" s="144"/>
      <c r="Z808" s="144"/>
      <c r="AA808" s="146"/>
      <c r="AB808" s="146"/>
      <c r="AC808" s="142"/>
      <c r="AD808" s="142"/>
      <c r="AE808" s="142"/>
    </row>
    <row r="809" spans="1:337" s="53" customFormat="1" ht="15" thickBot="1" x14ac:dyDescent="0.4">
      <c r="A809" s="49"/>
      <c r="B809" s="49"/>
      <c r="C809" s="50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49"/>
      <c r="U809" s="49"/>
      <c r="V809" s="49"/>
      <c r="W809" s="49"/>
      <c r="X809" s="51"/>
      <c r="Y809" s="49"/>
      <c r="Z809" s="49"/>
      <c r="AA809" s="52"/>
      <c r="AB809" s="52"/>
      <c r="AC809" s="51"/>
      <c r="AD809" s="51"/>
      <c r="AE809" s="51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/>
      <c r="EC809"/>
      <c r="ED809"/>
      <c r="EE809"/>
      <c r="EF809"/>
      <c r="EG809"/>
      <c r="EH809"/>
      <c r="EI809"/>
      <c r="EJ809"/>
      <c r="EK809"/>
      <c r="EL809"/>
      <c r="EM809"/>
      <c r="EN809"/>
      <c r="EO809"/>
      <c r="EP809"/>
      <c r="EQ809"/>
      <c r="ER809"/>
      <c r="ES809"/>
      <c r="ET809"/>
      <c r="EU809"/>
      <c r="EV809"/>
      <c r="EW809"/>
      <c r="EX809"/>
      <c r="EY809"/>
      <c r="EZ809"/>
      <c r="FA809"/>
      <c r="FB809"/>
      <c r="FC809"/>
      <c r="FD809"/>
      <c r="FE809"/>
      <c r="FF809"/>
      <c r="FG809"/>
      <c r="FH809"/>
      <c r="FI809"/>
      <c r="FJ809"/>
      <c r="FK809"/>
      <c r="FL809"/>
      <c r="FM809"/>
      <c r="FN809"/>
      <c r="FO809"/>
      <c r="FP809"/>
      <c r="FQ809"/>
      <c r="FR809"/>
      <c r="FS809"/>
      <c r="FT809"/>
      <c r="FU809"/>
      <c r="FV809"/>
      <c r="FW809"/>
      <c r="FX809"/>
      <c r="FY809"/>
      <c r="FZ809"/>
      <c r="GA809"/>
      <c r="GB809"/>
      <c r="GC809"/>
      <c r="GD809"/>
      <c r="GE809"/>
      <c r="GF809"/>
      <c r="GG809"/>
      <c r="GH809"/>
      <c r="GI809"/>
      <c r="GJ809"/>
      <c r="GK809"/>
      <c r="GL809"/>
      <c r="GM809"/>
      <c r="GN809"/>
      <c r="GO809"/>
      <c r="GP809"/>
      <c r="GQ809"/>
      <c r="GR809"/>
      <c r="GS809"/>
      <c r="GT809"/>
      <c r="GU809"/>
      <c r="GV809"/>
      <c r="GW809"/>
      <c r="GX809"/>
      <c r="GY809"/>
      <c r="GZ809"/>
      <c r="HA809"/>
      <c r="HB809"/>
      <c r="HC809"/>
      <c r="HD809"/>
      <c r="HE809"/>
      <c r="HF809"/>
      <c r="HG809"/>
      <c r="HH809"/>
      <c r="HI809"/>
      <c r="HJ809"/>
      <c r="HK809"/>
      <c r="HL809"/>
      <c r="HM809"/>
      <c r="HN809"/>
      <c r="HO809"/>
      <c r="HP809"/>
      <c r="HQ809"/>
      <c r="HR809"/>
      <c r="HS809"/>
      <c r="HT809"/>
      <c r="HU809"/>
      <c r="HV809"/>
      <c r="HW809"/>
      <c r="HX809"/>
      <c r="HY809"/>
      <c r="HZ809"/>
      <c r="IA809"/>
      <c r="IB809"/>
      <c r="IC809"/>
      <c r="ID809"/>
      <c r="IE809"/>
      <c r="IF809"/>
      <c r="IG809"/>
      <c r="IH809"/>
      <c r="II809"/>
      <c r="IJ809"/>
      <c r="IK809"/>
      <c r="IL809"/>
      <c r="IM809"/>
      <c r="IN809"/>
      <c r="IO809"/>
      <c r="IP809"/>
      <c r="IQ809"/>
      <c r="IR809"/>
      <c r="IS809"/>
      <c r="IT809"/>
      <c r="IU809"/>
      <c r="IV809"/>
      <c r="IW809"/>
      <c r="IX809"/>
      <c r="IY809"/>
      <c r="IZ809"/>
      <c r="JA809"/>
      <c r="JB809"/>
      <c r="JC809"/>
      <c r="JD809"/>
      <c r="JE809"/>
      <c r="JF809"/>
      <c r="JG809"/>
      <c r="JH809"/>
      <c r="JI809"/>
      <c r="JJ809"/>
      <c r="JK809"/>
      <c r="JL809"/>
      <c r="JM809"/>
      <c r="JN809"/>
      <c r="JO809"/>
      <c r="JP809"/>
      <c r="JQ809"/>
      <c r="JR809"/>
      <c r="JS809"/>
      <c r="JT809"/>
      <c r="JU809"/>
      <c r="JV809"/>
      <c r="JW809"/>
      <c r="JX809"/>
      <c r="JY809"/>
      <c r="JZ809"/>
      <c r="KA809"/>
      <c r="KB809"/>
      <c r="KC809"/>
      <c r="KD809"/>
      <c r="KE809"/>
      <c r="KF809"/>
      <c r="KG809"/>
      <c r="KH809"/>
      <c r="KI809"/>
      <c r="KJ809"/>
      <c r="KK809"/>
      <c r="KL809"/>
      <c r="KM809"/>
      <c r="KN809"/>
      <c r="KO809"/>
      <c r="KP809"/>
      <c r="KQ809"/>
      <c r="KR809"/>
      <c r="KS809"/>
      <c r="KT809"/>
      <c r="KU809"/>
      <c r="KV809"/>
      <c r="KW809"/>
      <c r="KX809"/>
      <c r="KY809"/>
      <c r="KZ809"/>
      <c r="LA809"/>
      <c r="LB809"/>
      <c r="LC809"/>
      <c r="LD809"/>
      <c r="LE809"/>
      <c r="LF809"/>
      <c r="LG809"/>
      <c r="LH809"/>
      <c r="LI809"/>
      <c r="LJ809"/>
      <c r="LK809"/>
      <c r="LL809"/>
      <c r="LM809"/>
      <c r="LN809"/>
      <c r="LO809"/>
      <c r="LP809"/>
      <c r="LQ809"/>
      <c r="LR809"/>
      <c r="LS809"/>
      <c r="LT809"/>
      <c r="LU809"/>
      <c r="LV809"/>
      <c r="LW809"/>
      <c r="LX809"/>
      <c r="LY809"/>
    </row>
    <row r="810" spans="1:337" x14ac:dyDescent="0.35">
      <c r="A810" s="41" t="s">
        <v>31</v>
      </c>
      <c r="B810" s="41" t="s">
        <v>32</v>
      </c>
      <c r="C810" s="42">
        <v>46376</v>
      </c>
      <c r="D810" s="43">
        <v>0</v>
      </c>
      <c r="E810" s="43">
        <v>20</v>
      </c>
      <c r="F810" s="43">
        <v>20</v>
      </c>
      <c r="G810" s="43">
        <v>28</v>
      </c>
      <c r="H810" s="43">
        <v>40</v>
      </c>
      <c r="I810" s="43">
        <v>10</v>
      </c>
      <c r="J810" s="43">
        <v>21449</v>
      </c>
      <c r="K810" s="43">
        <f>SUM(L810:L812)</f>
        <v>6</v>
      </c>
      <c r="L810" s="43">
        <v>2</v>
      </c>
      <c r="M810" s="43"/>
      <c r="N810" s="43">
        <v>4</v>
      </c>
      <c r="O810" s="43">
        <v>3</v>
      </c>
      <c r="P810" s="43">
        <v>7</v>
      </c>
      <c r="Q810" s="43">
        <v>6</v>
      </c>
      <c r="R810" s="43">
        <v>9</v>
      </c>
      <c r="S810" s="43">
        <v>9</v>
      </c>
      <c r="T810" s="43">
        <v>25</v>
      </c>
      <c r="U810" s="43">
        <v>4</v>
      </c>
      <c r="V810" s="41" t="s">
        <v>33</v>
      </c>
      <c r="W810" s="41" t="s">
        <v>34</v>
      </c>
      <c r="X810" s="41">
        <v>1</v>
      </c>
      <c r="Y810" s="41">
        <v>3</v>
      </c>
      <c r="Z810" s="41">
        <v>322</v>
      </c>
      <c r="AA810" s="44">
        <v>34</v>
      </c>
      <c r="AB810" s="44">
        <v>34</v>
      </c>
      <c r="AC810" s="43">
        <v>45</v>
      </c>
      <c r="AD810" s="43">
        <v>30</v>
      </c>
      <c r="AE810" s="43">
        <v>45</v>
      </c>
    </row>
    <row r="811" spans="1:337" x14ac:dyDescent="0.35">
      <c r="A811" s="32" t="s">
        <v>31</v>
      </c>
      <c r="B811" s="32" t="s">
        <v>35</v>
      </c>
      <c r="C811" s="33">
        <v>46376</v>
      </c>
      <c r="D811" s="34">
        <v>13</v>
      </c>
      <c r="E811" s="34">
        <v>24</v>
      </c>
      <c r="F811" s="34">
        <v>25</v>
      </c>
      <c r="G811" s="141"/>
      <c r="H811" s="141"/>
      <c r="I811" s="141"/>
      <c r="J811" s="141"/>
      <c r="K811" s="141"/>
      <c r="L811" s="34">
        <v>2</v>
      </c>
      <c r="M811" s="34">
        <v>5</v>
      </c>
      <c r="N811" s="34">
        <v>4</v>
      </c>
      <c r="O811" s="34">
        <v>4</v>
      </c>
      <c r="P811" s="32">
        <v>7</v>
      </c>
      <c r="Q811" s="32">
        <v>7</v>
      </c>
      <c r="R811" s="32">
        <v>8</v>
      </c>
      <c r="S811" s="32">
        <v>6</v>
      </c>
      <c r="T811" s="143"/>
      <c r="U811" s="143"/>
      <c r="V811" s="32" t="s">
        <v>36</v>
      </c>
      <c r="W811" s="32" t="s">
        <v>37</v>
      </c>
      <c r="X811" s="32">
        <v>1</v>
      </c>
      <c r="Y811" s="143"/>
      <c r="Z811" s="143"/>
      <c r="AA811" s="145"/>
      <c r="AB811" s="145"/>
      <c r="AC811" s="141"/>
      <c r="AD811" s="141"/>
      <c r="AE811" s="141"/>
    </row>
    <row r="812" spans="1:337" ht="15" thickBot="1" x14ac:dyDescent="0.4">
      <c r="A812" s="45" t="s">
        <v>31</v>
      </c>
      <c r="B812" s="45" t="s">
        <v>38</v>
      </c>
      <c r="C812" s="46">
        <v>46376</v>
      </c>
      <c r="D812" s="47"/>
      <c r="E812" s="47"/>
      <c r="F812" s="47"/>
      <c r="G812" s="142"/>
      <c r="H812" s="142"/>
      <c r="I812" s="142"/>
      <c r="J812" s="142"/>
      <c r="K812" s="142"/>
      <c r="L812" s="47">
        <v>2</v>
      </c>
      <c r="M812" s="47"/>
      <c r="N812" s="47"/>
      <c r="O812" s="47"/>
      <c r="P812" s="47"/>
      <c r="Q812" s="47"/>
      <c r="R812" s="47"/>
      <c r="S812" s="47"/>
      <c r="T812" s="144"/>
      <c r="U812" s="144"/>
      <c r="V812" s="45"/>
      <c r="W812" s="45"/>
      <c r="X812" s="47"/>
      <c r="Y812" s="144"/>
      <c r="Z812" s="144"/>
      <c r="AA812" s="146"/>
      <c r="AB812" s="146"/>
      <c r="AC812" s="142"/>
      <c r="AD812" s="142"/>
      <c r="AE812" s="142"/>
    </row>
    <row r="813" spans="1:337" s="53" customFormat="1" ht="15" thickBot="1" x14ac:dyDescent="0.4">
      <c r="A813" s="49"/>
      <c r="B813" s="49"/>
      <c r="C813" s="50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49"/>
      <c r="U813" s="49"/>
      <c r="V813" s="49"/>
      <c r="W813" s="49"/>
      <c r="X813" s="51"/>
      <c r="Y813" s="49"/>
      <c r="Z813" s="49"/>
      <c r="AA813" s="52"/>
      <c r="AB813" s="52"/>
      <c r="AC813" s="51"/>
      <c r="AD813" s="51"/>
      <c r="AE813" s="51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  <c r="EC813"/>
      <c r="ED813"/>
      <c r="EE813"/>
      <c r="EF813"/>
      <c r="EG813"/>
      <c r="EH813"/>
      <c r="EI813"/>
      <c r="EJ813"/>
      <c r="EK813"/>
      <c r="EL813"/>
      <c r="EM813"/>
      <c r="EN813"/>
      <c r="EO813"/>
      <c r="EP813"/>
      <c r="EQ813"/>
      <c r="ER813"/>
      <c r="ES813"/>
      <c r="ET813"/>
      <c r="EU813"/>
      <c r="EV813"/>
      <c r="EW813"/>
      <c r="EX813"/>
      <c r="EY813"/>
      <c r="EZ813"/>
      <c r="FA813"/>
      <c r="FB813"/>
      <c r="FC813"/>
      <c r="FD813"/>
      <c r="FE813"/>
      <c r="FF813"/>
      <c r="FG813"/>
      <c r="FH813"/>
      <c r="FI813"/>
      <c r="FJ813"/>
      <c r="FK813"/>
      <c r="FL813"/>
      <c r="FM813"/>
      <c r="FN813"/>
      <c r="FO813"/>
      <c r="FP813"/>
      <c r="FQ813"/>
      <c r="FR813"/>
      <c r="FS813"/>
      <c r="FT813"/>
      <c r="FU813"/>
      <c r="FV813"/>
      <c r="FW813"/>
      <c r="FX813"/>
      <c r="FY813"/>
      <c r="FZ813"/>
      <c r="GA813"/>
      <c r="GB813"/>
      <c r="GC813"/>
      <c r="GD813"/>
      <c r="GE813"/>
      <c r="GF813"/>
      <c r="GG813"/>
      <c r="GH813"/>
      <c r="GI813"/>
      <c r="GJ813"/>
      <c r="GK813"/>
      <c r="GL813"/>
      <c r="GM813"/>
      <c r="GN813"/>
      <c r="GO813"/>
      <c r="GP813"/>
      <c r="GQ813"/>
      <c r="GR813"/>
      <c r="GS813"/>
      <c r="GT813"/>
      <c r="GU813"/>
      <c r="GV813"/>
      <c r="GW813"/>
      <c r="GX813"/>
      <c r="GY813"/>
      <c r="GZ813"/>
      <c r="HA813"/>
      <c r="HB813"/>
      <c r="HC813"/>
      <c r="HD813"/>
      <c r="HE813"/>
      <c r="HF813"/>
      <c r="HG813"/>
      <c r="HH813"/>
      <c r="HI813"/>
      <c r="HJ813"/>
      <c r="HK813"/>
      <c r="HL813"/>
      <c r="HM813"/>
      <c r="HN813"/>
      <c r="HO813"/>
      <c r="HP813"/>
      <c r="HQ813"/>
      <c r="HR813"/>
      <c r="HS813"/>
      <c r="HT813"/>
      <c r="HU813"/>
      <c r="HV813"/>
      <c r="HW813"/>
      <c r="HX813"/>
      <c r="HY813"/>
      <c r="HZ813"/>
      <c r="IA813"/>
      <c r="IB813"/>
      <c r="IC813"/>
      <c r="ID813"/>
      <c r="IE813"/>
      <c r="IF813"/>
      <c r="IG813"/>
      <c r="IH813"/>
      <c r="II813"/>
      <c r="IJ813"/>
      <c r="IK813"/>
      <c r="IL813"/>
      <c r="IM813"/>
      <c r="IN813"/>
      <c r="IO813"/>
      <c r="IP813"/>
      <c r="IQ813"/>
      <c r="IR813"/>
      <c r="IS813"/>
      <c r="IT813"/>
      <c r="IU813"/>
      <c r="IV813"/>
      <c r="IW813"/>
      <c r="IX813"/>
      <c r="IY813"/>
      <c r="IZ813"/>
      <c r="JA813"/>
      <c r="JB813"/>
      <c r="JC813"/>
      <c r="JD813"/>
      <c r="JE813"/>
      <c r="JF813"/>
      <c r="JG813"/>
      <c r="JH813"/>
      <c r="JI813"/>
      <c r="JJ813"/>
      <c r="JK813"/>
      <c r="JL813"/>
      <c r="JM813"/>
      <c r="JN813"/>
      <c r="JO813"/>
      <c r="JP813"/>
      <c r="JQ813"/>
      <c r="JR813"/>
      <c r="JS813"/>
      <c r="JT813"/>
      <c r="JU813"/>
      <c r="JV813"/>
      <c r="JW813"/>
      <c r="JX813"/>
      <c r="JY813"/>
      <c r="JZ813"/>
      <c r="KA813"/>
      <c r="KB813"/>
      <c r="KC813"/>
      <c r="KD813"/>
      <c r="KE813"/>
      <c r="KF813"/>
      <c r="KG813"/>
      <c r="KH813"/>
      <c r="KI813"/>
      <c r="KJ813"/>
      <c r="KK813"/>
      <c r="KL813"/>
      <c r="KM813"/>
      <c r="KN813"/>
      <c r="KO813"/>
      <c r="KP813"/>
      <c r="KQ813"/>
      <c r="KR813"/>
      <c r="KS813"/>
      <c r="KT813"/>
      <c r="KU813"/>
      <c r="KV813"/>
      <c r="KW813"/>
      <c r="KX813"/>
      <c r="KY813"/>
      <c r="KZ813"/>
      <c r="LA813"/>
      <c r="LB813"/>
      <c r="LC813"/>
      <c r="LD813"/>
      <c r="LE813"/>
      <c r="LF813"/>
      <c r="LG813"/>
      <c r="LH813"/>
      <c r="LI813"/>
      <c r="LJ813"/>
      <c r="LK813"/>
      <c r="LL813"/>
      <c r="LM813"/>
      <c r="LN813"/>
      <c r="LO813"/>
      <c r="LP813"/>
      <c r="LQ813"/>
      <c r="LR813"/>
      <c r="LS813"/>
      <c r="LT813"/>
      <c r="LU813"/>
      <c r="LV813"/>
      <c r="LW813"/>
      <c r="LX813"/>
      <c r="LY813"/>
    </row>
    <row r="814" spans="1:337" x14ac:dyDescent="0.35">
      <c r="A814" s="41" t="s">
        <v>31</v>
      </c>
      <c r="B814" s="41" t="s">
        <v>32</v>
      </c>
      <c r="C814" s="42">
        <v>46377</v>
      </c>
      <c r="D814" s="43">
        <v>0</v>
      </c>
      <c r="E814" s="43">
        <v>20</v>
      </c>
      <c r="F814" s="43">
        <v>20</v>
      </c>
      <c r="G814" s="43">
        <v>28</v>
      </c>
      <c r="H814" s="43">
        <v>40</v>
      </c>
      <c r="I814" s="43">
        <v>10</v>
      </c>
      <c r="J814" s="43">
        <v>21449</v>
      </c>
      <c r="K814" s="43">
        <f>SUM(L814:L816)</f>
        <v>6</v>
      </c>
      <c r="L814" s="43">
        <v>2</v>
      </c>
      <c r="M814" s="43"/>
      <c r="N814" s="43">
        <v>4</v>
      </c>
      <c r="O814" s="43">
        <v>3</v>
      </c>
      <c r="P814" s="43">
        <v>7</v>
      </c>
      <c r="Q814" s="43">
        <v>6</v>
      </c>
      <c r="R814" s="43">
        <v>9</v>
      </c>
      <c r="S814" s="43">
        <v>9</v>
      </c>
      <c r="T814" s="43">
        <v>25</v>
      </c>
      <c r="U814" s="43">
        <v>4</v>
      </c>
      <c r="V814" s="41" t="s">
        <v>33</v>
      </c>
      <c r="W814" s="41" t="s">
        <v>34</v>
      </c>
      <c r="X814" s="41">
        <v>1</v>
      </c>
      <c r="Y814" s="41">
        <v>3</v>
      </c>
      <c r="Z814" s="41">
        <v>322</v>
      </c>
      <c r="AA814" s="44">
        <v>34</v>
      </c>
      <c r="AB814" s="44">
        <v>34</v>
      </c>
      <c r="AC814" s="43">
        <v>45</v>
      </c>
      <c r="AD814" s="43">
        <v>30</v>
      </c>
      <c r="AE814" s="43">
        <v>45</v>
      </c>
    </row>
    <row r="815" spans="1:337" x14ac:dyDescent="0.35">
      <c r="A815" s="32" t="s">
        <v>31</v>
      </c>
      <c r="B815" s="32" t="s">
        <v>35</v>
      </c>
      <c r="C815" s="33">
        <v>46377</v>
      </c>
      <c r="D815" s="34">
        <v>13</v>
      </c>
      <c r="E815" s="34">
        <v>24</v>
      </c>
      <c r="F815" s="34">
        <v>25</v>
      </c>
      <c r="G815" s="141"/>
      <c r="H815" s="141"/>
      <c r="I815" s="141"/>
      <c r="J815" s="141"/>
      <c r="K815" s="141"/>
      <c r="L815" s="34">
        <v>2</v>
      </c>
      <c r="M815" s="34">
        <v>5</v>
      </c>
      <c r="N815" s="34">
        <v>4</v>
      </c>
      <c r="O815" s="34">
        <v>4</v>
      </c>
      <c r="P815" s="32">
        <v>7</v>
      </c>
      <c r="Q815" s="32">
        <v>7</v>
      </c>
      <c r="R815" s="32">
        <v>8</v>
      </c>
      <c r="S815" s="32">
        <v>6</v>
      </c>
      <c r="T815" s="143"/>
      <c r="U815" s="143"/>
      <c r="V815" s="32" t="s">
        <v>36</v>
      </c>
      <c r="W815" s="32" t="s">
        <v>37</v>
      </c>
      <c r="X815" s="32">
        <v>1</v>
      </c>
      <c r="Y815" s="143"/>
      <c r="Z815" s="143"/>
      <c r="AA815" s="145"/>
      <c r="AB815" s="145"/>
      <c r="AC815" s="141"/>
      <c r="AD815" s="141"/>
      <c r="AE815" s="141"/>
    </row>
    <row r="816" spans="1:337" ht="15" thickBot="1" x14ac:dyDescent="0.4">
      <c r="A816" s="45" t="s">
        <v>31</v>
      </c>
      <c r="B816" s="45" t="s">
        <v>38</v>
      </c>
      <c r="C816" s="46">
        <v>46377</v>
      </c>
      <c r="D816" s="47"/>
      <c r="E816" s="47"/>
      <c r="F816" s="47"/>
      <c r="G816" s="142"/>
      <c r="H816" s="142"/>
      <c r="I816" s="142"/>
      <c r="J816" s="142"/>
      <c r="K816" s="142"/>
      <c r="L816" s="47">
        <v>2</v>
      </c>
      <c r="M816" s="47"/>
      <c r="N816" s="47"/>
      <c r="O816" s="47"/>
      <c r="P816" s="47"/>
      <c r="Q816" s="47"/>
      <c r="R816" s="47"/>
      <c r="S816" s="47"/>
      <c r="T816" s="144"/>
      <c r="U816" s="144"/>
      <c r="V816" s="45"/>
      <c r="W816" s="45"/>
      <c r="X816" s="47"/>
      <c r="Y816" s="144"/>
      <c r="Z816" s="144"/>
      <c r="AA816" s="146"/>
      <c r="AB816" s="146"/>
      <c r="AC816" s="142"/>
      <c r="AD816" s="142"/>
      <c r="AE816" s="142"/>
    </row>
    <row r="817" spans="1:337" s="53" customFormat="1" ht="15" thickBot="1" x14ac:dyDescent="0.4">
      <c r="A817" s="49"/>
      <c r="B817" s="49"/>
      <c r="C817" s="50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49"/>
      <c r="U817" s="49"/>
      <c r="V817" s="49"/>
      <c r="W817" s="49"/>
      <c r="X817" s="51"/>
      <c r="Y817" s="49"/>
      <c r="Z817" s="49"/>
      <c r="AA817" s="52"/>
      <c r="AB817" s="52"/>
      <c r="AC817" s="51"/>
      <c r="AD817" s="51"/>
      <c r="AE817" s="51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  <c r="EC817"/>
      <c r="ED817"/>
      <c r="EE817"/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/>
      <c r="ET817"/>
      <c r="EU817"/>
      <c r="EV817"/>
      <c r="EW817"/>
      <c r="EX817"/>
      <c r="EY817"/>
      <c r="EZ817"/>
      <c r="FA817"/>
      <c r="FB817"/>
      <c r="FC817"/>
      <c r="FD817"/>
      <c r="FE817"/>
      <c r="FF817"/>
      <c r="FG817"/>
      <c r="FH817"/>
      <c r="FI817"/>
      <c r="FJ817"/>
      <c r="FK817"/>
      <c r="FL817"/>
      <c r="FM817"/>
      <c r="FN817"/>
      <c r="FO817"/>
      <c r="FP817"/>
      <c r="FQ817"/>
      <c r="FR817"/>
      <c r="FS817"/>
      <c r="FT817"/>
      <c r="FU817"/>
      <c r="FV817"/>
      <c r="FW817"/>
      <c r="FX817"/>
      <c r="FY817"/>
      <c r="FZ817"/>
      <c r="GA817"/>
      <c r="GB817"/>
      <c r="GC817"/>
      <c r="GD817"/>
      <c r="GE817"/>
      <c r="GF817"/>
      <c r="GG817"/>
      <c r="GH817"/>
      <c r="GI817"/>
      <c r="GJ817"/>
      <c r="GK817"/>
      <c r="GL817"/>
      <c r="GM817"/>
      <c r="GN817"/>
      <c r="GO817"/>
      <c r="GP817"/>
      <c r="GQ817"/>
      <c r="GR817"/>
      <c r="GS817"/>
      <c r="GT817"/>
      <c r="GU817"/>
      <c r="GV817"/>
      <c r="GW817"/>
      <c r="GX817"/>
      <c r="GY817"/>
      <c r="GZ817"/>
      <c r="HA817"/>
      <c r="HB817"/>
      <c r="HC817"/>
      <c r="HD817"/>
      <c r="HE817"/>
      <c r="HF817"/>
      <c r="HG817"/>
      <c r="HH817"/>
      <c r="HI817"/>
      <c r="HJ817"/>
      <c r="HK817"/>
      <c r="HL817"/>
      <c r="HM817"/>
      <c r="HN817"/>
      <c r="HO817"/>
      <c r="HP817"/>
      <c r="HQ817"/>
      <c r="HR817"/>
      <c r="HS817"/>
      <c r="HT817"/>
      <c r="HU817"/>
      <c r="HV817"/>
      <c r="HW817"/>
      <c r="HX817"/>
      <c r="HY817"/>
      <c r="HZ817"/>
      <c r="IA817"/>
      <c r="IB817"/>
      <c r="IC817"/>
      <c r="ID817"/>
      <c r="IE817"/>
      <c r="IF817"/>
      <c r="IG817"/>
      <c r="IH817"/>
      <c r="II817"/>
      <c r="IJ817"/>
      <c r="IK817"/>
      <c r="IL817"/>
      <c r="IM817"/>
      <c r="IN817"/>
      <c r="IO817"/>
      <c r="IP817"/>
      <c r="IQ817"/>
      <c r="IR817"/>
      <c r="IS817"/>
      <c r="IT817"/>
      <c r="IU817"/>
      <c r="IV817"/>
      <c r="IW817"/>
      <c r="IX817"/>
      <c r="IY817"/>
      <c r="IZ817"/>
      <c r="JA817"/>
      <c r="JB817"/>
      <c r="JC817"/>
      <c r="JD817"/>
      <c r="JE817"/>
      <c r="JF817"/>
      <c r="JG817"/>
      <c r="JH817"/>
      <c r="JI817"/>
      <c r="JJ817"/>
      <c r="JK817"/>
      <c r="JL817"/>
      <c r="JM817"/>
      <c r="JN817"/>
      <c r="JO817"/>
      <c r="JP817"/>
      <c r="JQ817"/>
      <c r="JR817"/>
      <c r="JS817"/>
      <c r="JT817"/>
      <c r="JU817"/>
      <c r="JV817"/>
      <c r="JW817"/>
      <c r="JX817"/>
      <c r="JY817"/>
      <c r="JZ817"/>
      <c r="KA817"/>
      <c r="KB817"/>
      <c r="KC817"/>
      <c r="KD817"/>
      <c r="KE817"/>
      <c r="KF817"/>
      <c r="KG817"/>
      <c r="KH817"/>
      <c r="KI817"/>
      <c r="KJ817"/>
      <c r="KK817"/>
      <c r="KL817"/>
      <c r="KM817"/>
      <c r="KN817"/>
      <c r="KO817"/>
      <c r="KP817"/>
      <c r="KQ817"/>
      <c r="KR817"/>
      <c r="KS817"/>
      <c r="KT817"/>
      <c r="KU817"/>
      <c r="KV817"/>
      <c r="KW817"/>
      <c r="KX817"/>
      <c r="KY817"/>
      <c r="KZ817"/>
      <c r="LA817"/>
      <c r="LB817"/>
      <c r="LC817"/>
      <c r="LD817"/>
      <c r="LE817"/>
      <c r="LF817"/>
      <c r="LG817"/>
      <c r="LH817"/>
      <c r="LI817"/>
      <c r="LJ817"/>
      <c r="LK817"/>
      <c r="LL817"/>
      <c r="LM817"/>
      <c r="LN817"/>
      <c r="LO817"/>
      <c r="LP817"/>
      <c r="LQ817"/>
      <c r="LR817"/>
      <c r="LS817"/>
      <c r="LT817"/>
      <c r="LU817"/>
      <c r="LV817"/>
      <c r="LW817"/>
      <c r="LX817"/>
      <c r="LY817"/>
    </row>
    <row r="818" spans="1:337" x14ac:dyDescent="0.35">
      <c r="A818" s="41" t="s">
        <v>31</v>
      </c>
      <c r="B818" s="41" t="s">
        <v>32</v>
      </c>
      <c r="C818" s="42">
        <v>46378</v>
      </c>
      <c r="D818" s="43">
        <v>0</v>
      </c>
      <c r="E818" s="43">
        <v>20</v>
      </c>
      <c r="F818" s="43">
        <v>20</v>
      </c>
      <c r="G818" s="43">
        <v>28</v>
      </c>
      <c r="H818" s="43">
        <v>40</v>
      </c>
      <c r="I818" s="43">
        <v>10</v>
      </c>
      <c r="J818" s="43">
        <v>21449</v>
      </c>
      <c r="K818" s="43">
        <f>SUM(L818:L820)</f>
        <v>6</v>
      </c>
      <c r="L818" s="43">
        <v>2</v>
      </c>
      <c r="M818" s="43"/>
      <c r="N818" s="43">
        <v>4</v>
      </c>
      <c r="O818" s="43">
        <v>3</v>
      </c>
      <c r="P818" s="43">
        <v>7</v>
      </c>
      <c r="Q818" s="43">
        <v>6</v>
      </c>
      <c r="R818" s="43">
        <v>9</v>
      </c>
      <c r="S818" s="43">
        <v>9</v>
      </c>
      <c r="T818" s="43">
        <v>25</v>
      </c>
      <c r="U818" s="43">
        <v>4</v>
      </c>
      <c r="V818" s="41" t="s">
        <v>33</v>
      </c>
      <c r="W818" s="41" t="s">
        <v>34</v>
      </c>
      <c r="X818" s="41">
        <v>1</v>
      </c>
      <c r="Y818" s="41">
        <v>3</v>
      </c>
      <c r="Z818" s="41">
        <v>322</v>
      </c>
      <c r="AA818" s="44">
        <v>34</v>
      </c>
      <c r="AB818" s="44">
        <v>34</v>
      </c>
      <c r="AC818" s="43">
        <v>45</v>
      </c>
      <c r="AD818" s="43">
        <v>30</v>
      </c>
      <c r="AE818" s="43">
        <v>45</v>
      </c>
    </row>
    <row r="819" spans="1:337" x14ac:dyDescent="0.35">
      <c r="A819" s="32" t="s">
        <v>31</v>
      </c>
      <c r="B819" s="32" t="s">
        <v>35</v>
      </c>
      <c r="C819" s="33">
        <v>46378</v>
      </c>
      <c r="D819" s="34">
        <v>13</v>
      </c>
      <c r="E819" s="34">
        <v>24</v>
      </c>
      <c r="F819" s="34">
        <v>25</v>
      </c>
      <c r="G819" s="141"/>
      <c r="H819" s="141"/>
      <c r="I819" s="141"/>
      <c r="J819" s="141"/>
      <c r="K819" s="141"/>
      <c r="L819" s="34">
        <v>2</v>
      </c>
      <c r="M819" s="34">
        <v>5</v>
      </c>
      <c r="N819" s="34">
        <v>4</v>
      </c>
      <c r="O819" s="34">
        <v>4</v>
      </c>
      <c r="P819" s="32">
        <v>7</v>
      </c>
      <c r="Q819" s="32">
        <v>7</v>
      </c>
      <c r="R819" s="32">
        <v>8</v>
      </c>
      <c r="S819" s="32">
        <v>6</v>
      </c>
      <c r="T819" s="143"/>
      <c r="U819" s="143"/>
      <c r="V819" s="32" t="s">
        <v>36</v>
      </c>
      <c r="W819" s="32" t="s">
        <v>37</v>
      </c>
      <c r="X819" s="32">
        <v>1</v>
      </c>
      <c r="Y819" s="143"/>
      <c r="Z819" s="143"/>
      <c r="AA819" s="145"/>
      <c r="AB819" s="145"/>
      <c r="AC819" s="141"/>
      <c r="AD819" s="141"/>
      <c r="AE819" s="141"/>
    </row>
    <row r="820" spans="1:337" ht="15" thickBot="1" x14ac:dyDescent="0.4">
      <c r="A820" s="45" t="s">
        <v>31</v>
      </c>
      <c r="B820" s="45" t="s">
        <v>38</v>
      </c>
      <c r="C820" s="46">
        <v>46378</v>
      </c>
      <c r="D820" s="47"/>
      <c r="E820" s="47"/>
      <c r="F820" s="47"/>
      <c r="G820" s="142"/>
      <c r="H820" s="142"/>
      <c r="I820" s="142"/>
      <c r="J820" s="142"/>
      <c r="K820" s="142"/>
      <c r="L820" s="47">
        <v>2</v>
      </c>
      <c r="M820" s="47"/>
      <c r="N820" s="47"/>
      <c r="O820" s="47"/>
      <c r="P820" s="47"/>
      <c r="Q820" s="47"/>
      <c r="R820" s="47"/>
      <c r="S820" s="47"/>
      <c r="T820" s="144"/>
      <c r="U820" s="144"/>
      <c r="V820" s="45"/>
      <c r="W820" s="45"/>
      <c r="X820" s="47"/>
      <c r="Y820" s="144"/>
      <c r="Z820" s="144"/>
      <c r="AA820" s="146"/>
      <c r="AB820" s="146"/>
      <c r="AC820" s="142"/>
      <c r="AD820" s="142"/>
      <c r="AE820" s="142"/>
    </row>
    <row r="821" spans="1:337" s="53" customFormat="1" ht="15" thickBot="1" x14ac:dyDescent="0.4">
      <c r="A821" s="49"/>
      <c r="B821" s="49"/>
      <c r="C821" s="50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49"/>
      <c r="U821" s="49"/>
      <c r="V821" s="49"/>
      <c r="W821" s="49"/>
      <c r="X821" s="51"/>
      <c r="Y821" s="49"/>
      <c r="Z821" s="49"/>
      <c r="AA821" s="52"/>
      <c r="AB821" s="52"/>
      <c r="AC821" s="51"/>
      <c r="AD821" s="51"/>
      <c r="AE821" s="5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  <c r="EC821"/>
      <c r="ED821"/>
      <c r="EE821"/>
      <c r="EF821"/>
      <c r="EG821"/>
      <c r="EH821"/>
      <c r="EI821"/>
      <c r="EJ821"/>
      <c r="EK821"/>
      <c r="EL821"/>
      <c r="EM821"/>
      <c r="EN821"/>
      <c r="EO821"/>
      <c r="EP821"/>
      <c r="EQ821"/>
      <c r="ER821"/>
      <c r="ES821"/>
      <c r="ET821"/>
      <c r="EU821"/>
      <c r="EV821"/>
      <c r="EW821"/>
      <c r="EX821"/>
      <c r="EY821"/>
      <c r="EZ821"/>
      <c r="FA821"/>
      <c r="FB821"/>
      <c r="FC821"/>
      <c r="FD821"/>
      <c r="FE821"/>
      <c r="FF821"/>
      <c r="FG821"/>
      <c r="FH821"/>
      <c r="FI821"/>
      <c r="FJ821"/>
      <c r="FK821"/>
      <c r="FL821"/>
      <c r="FM821"/>
      <c r="FN821"/>
      <c r="FO821"/>
      <c r="FP821"/>
      <c r="FQ821"/>
      <c r="FR821"/>
      <c r="FS821"/>
      <c r="FT821"/>
      <c r="FU821"/>
      <c r="FV821"/>
      <c r="FW821"/>
      <c r="FX821"/>
      <c r="FY821"/>
      <c r="FZ821"/>
      <c r="GA821"/>
      <c r="GB821"/>
      <c r="GC821"/>
      <c r="GD821"/>
      <c r="GE821"/>
      <c r="GF821"/>
      <c r="GG821"/>
      <c r="GH821"/>
      <c r="GI821"/>
      <c r="GJ821"/>
      <c r="GK821"/>
      <c r="GL821"/>
      <c r="GM821"/>
      <c r="GN821"/>
      <c r="GO821"/>
      <c r="GP821"/>
      <c r="GQ821"/>
      <c r="GR821"/>
      <c r="GS821"/>
      <c r="GT821"/>
      <c r="GU821"/>
      <c r="GV821"/>
      <c r="GW821"/>
      <c r="GX821"/>
      <c r="GY821"/>
      <c r="GZ821"/>
      <c r="HA821"/>
      <c r="HB821"/>
      <c r="HC821"/>
      <c r="HD821"/>
      <c r="HE821"/>
      <c r="HF821"/>
      <c r="HG821"/>
      <c r="HH821"/>
      <c r="HI821"/>
      <c r="HJ821"/>
      <c r="HK821"/>
      <c r="HL821"/>
      <c r="HM821"/>
      <c r="HN821"/>
      <c r="HO821"/>
      <c r="HP821"/>
      <c r="HQ821"/>
      <c r="HR821"/>
      <c r="HS821"/>
      <c r="HT821"/>
      <c r="HU821"/>
      <c r="HV821"/>
      <c r="HW821"/>
      <c r="HX821"/>
      <c r="HY821"/>
      <c r="HZ821"/>
      <c r="IA821"/>
      <c r="IB821"/>
      <c r="IC821"/>
      <c r="ID821"/>
      <c r="IE821"/>
      <c r="IF821"/>
      <c r="IG821"/>
      <c r="IH821"/>
      <c r="II821"/>
      <c r="IJ821"/>
      <c r="IK821"/>
      <c r="IL821"/>
      <c r="IM821"/>
      <c r="IN821"/>
      <c r="IO821"/>
      <c r="IP821"/>
      <c r="IQ821"/>
      <c r="IR821"/>
      <c r="IS821"/>
      <c r="IT821"/>
      <c r="IU821"/>
      <c r="IV821"/>
      <c r="IW821"/>
      <c r="IX821"/>
      <c r="IY821"/>
      <c r="IZ821"/>
      <c r="JA821"/>
      <c r="JB821"/>
      <c r="JC821"/>
      <c r="JD821"/>
      <c r="JE821"/>
      <c r="JF821"/>
      <c r="JG821"/>
      <c r="JH821"/>
      <c r="JI821"/>
      <c r="JJ821"/>
      <c r="JK821"/>
      <c r="JL821"/>
      <c r="JM821"/>
      <c r="JN821"/>
      <c r="JO821"/>
      <c r="JP821"/>
      <c r="JQ821"/>
      <c r="JR821"/>
      <c r="JS821"/>
      <c r="JT821"/>
      <c r="JU821"/>
      <c r="JV821"/>
      <c r="JW821"/>
      <c r="JX821"/>
      <c r="JY821"/>
      <c r="JZ821"/>
      <c r="KA821"/>
      <c r="KB821"/>
      <c r="KC821"/>
      <c r="KD821"/>
      <c r="KE821"/>
      <c r="KF821"/>
      <c r="KG821"/>
      <c r="KH821"/>
      <c r="KI821"/>
      <c r="KJ821"/>
      <c r="KK821"/>
      <c r="KL821"/>
      <c r="KM821"/>
      <c r="KN821"/>
      <c r="KO821"/>
      <c r="KP821"/>
      <c r="KQ821"/>
      <c r="KR821"/>
      <c r="KS821"/>
      <c r="KT821"/>
      <c r="KU821"/>
      <c r="KV821"/>
      <c r="KW821"/>
      <c r="KX821"/>
      <c r="KY821"/>
      <c r="KZ821"/>
      <c r="LA821"/>
      <c r="LB821"/>
      <c r="LC821"/>
      <c r="LD821"/>
      <c r="LE821"/>
      <c r="LF821"/>
      <c r="LG821"/>
      <c r="LH821"/>
      <c r="LI821"/>
      <c r="LJ821"/>
      <c r="LK821"/>
      <c r="LL821"/>
      <c r="LM821"/>
      <c r="LN821"/>
      <c r="LO821"/>
      <c r="LP821"/>
      <c r="LQ821"/>
      <c r="LR821"/>
      <c r="LS821"/>
      <c r="LT821"/>
      <c r="LU821"/>
      <c r="LV821"/>
      <c r="LW821"/>
      <c r="LX821"/>
      <c r="LY821"/>
    </row>
    <row r="822" spans="1:337" x14ac:dyDescent="0.35">
      <c r="A822" s="41" t="s">
        <v>31</v>
      </c>
      <c r="B822" s="41" t="s">
        <v>32</v>
      </c>
      <c r="C822" s="42">
        <v>46379</v>
      </c>
      <c r="D822" s="43">
        <v>0</v>
      </c>
      <c r="E822" s="43">
        <v>20</v>
      </c>
      <c r="F822" s="43">
        <v>20</v>
      </c>
      <c r="G822" s="43">
        <v>28</v>
      </c>
      <c r="H822" s="43">
        <v>40</v>
      </c>
      <c r="I822" s="43">
        <v>10</v>
      </c>
      <c r="J822" s="43">
        <v>21449</v>
      </c>
      <c r="K822" s="43">
        <f>SUM(L822:L824)</f>
        <v>6</v>
      </c>
      <c r="L822" s="43">
        <v>2</v>
      </c>
      <c r="M822" s="43"/>
      <c r="N822" s="43">
        <v>4</v>
      </c>
      <c r="O822" s="43">
        <v>3</v>
      </c>
      <c r="P822" s="43">
        <v>7</v>
      </c>
      <c r="Q822" s="43">
        <v>6</v>
      </c>
      <c r="R822" s="43">
        <v>9</v>
      </c>
      <c r="S822" s="43">
        <v>9</v>
      </c>
      <c r="T822" s="43">
        <v>25</v>
      </c>
      <c r="U822" s="43">
        <v>4</v>
      </c>
      <c r="V822" s="41" t="s">
        <v>33</v>
      </c>
      <c r="W822" s="41" t="s">
        <v>34</v>
      </c>
      <c r="X822" s="41">
        <v>1</v>
      </c>
      <c r="Y822" s="41">
        <v>3</v>
      </c>
      <c r="Z822" s="41">
        <v>322</v>
      </c>
      <c r="AA822" s="44">
        <v>34</v>
      </c>
      <c r="AB822" s="44">
        <v>34</v>
      </c>
      <c r="AC822" s="43">
        <v>45</v>
      </c>
      <c r="AD822" s="43">
        <v>30</v>
      </c>
      <c r="AE822" s="43">
        <v>45</v>
      </c>
    </row>
    <row r="823" spans="1:337" x14ac:dyDescent="0.35">
      <c r="A823" s="32" t="s">
        <v>31</v>
      </c>
      <c r="B823" s="32" t="s">
        <v>35</v>
      </c>
      <c r="C823" s="33">
        <v>46379</v>
      </c>
      <c r="D823" s="34">
        <v>13</v>
      </c>
      <c r="E823" s="34">
        <v>24</v>
      </c>
      <c r="F823" s="34">
        <v>25</v>
      </c>
      <c r="G823" s="141"/>
      <c r="H823" s="141"/>
      <c r="I823" s="141"/>
      <c r="J823" s="141"/>
      <c r="K823" s="141"/>
      <c r="L823" s="34">
        <v>2</v>
      </c>
      <c r="M823" s="34">
        <v>5</v>
      </c>
      <c r="N823" s="34">
        <v>4</v>
      </c>
      <c r="O823" s="34">
        <v>4</v>
      </c>
      <c r="P823" s="32">
        <v>7</v>
      </c>
      <c r="Q823" s="32">
        <v>7</v>
      </c>
      <c r="R823" s="32">
        <v>8</v>
      </c>
      <c r="S823" s="32">
        <v>6</v>
      </c>
      <c r="T823" s="143"/>
      <c r="U823" s="143"/>
      <c r="V823" s="32" t="s">
        <v>36</v>
      </c>
      <c r="W823" s="32" t="s">
        <v>37</v>
      </c>
      <c r="X823" s="32">
        <v>1</v>
      </c>
      <c r="Y823" s="143"/>
      <c r="Z823" s="143"/>
      <c r="AA823" s="145"/>
      <c r="AB823" s="145"/>
      <c r="AC823" s="141"/>
      <c r="AD823" s="141"/>
      <c r="AE823" s="141"/>
    </row>
    <row r="824" spans="1:337" ht="15" thickBot="1" x14ac:dyDescent="0.4">
      <c r="A824" s="45" t="s">
        <v>31</v>
      </c>
      <c r="B824" s="45" t="s">
        <v>38</v>
      </c>
      <c r="C824" s="46">
        <v>46379</v>
      </c>
      <c r="D824" s="47"/>
      <c r="E824" s="47"/>
      <c r="F824" s="47"/>
      <c r="G824" s="142"/>
      <c r="H824" s="142"/>
      <c r="I824" s="142"/>
      <c r="J824" s="142"/>
      <c r="K824" s="142"/>
      <c r="L824" s="47">
        <v>2</v>
      </c>
      <c r="M824" s="47"/>
      <c r="N824" s="47"/>
      <c r="O824" s="47"/>
      <c r="P824" s="47"/>
      <c r="Q824" s="47"/>
      <c r="R824" s="47"/>
      <c r="S824" s="47"/>
      <c r="T824" s="144"/>
      <c r="U824" s="144"/>
      <c r="V824" s="45"/>
      <c r="W824" s="45"/>
      <c r="X824" s="47"/>
      <c r="Y824" s="144"/>
      <c r="Z824" s="144"/>
      <c r="AA824" s="146"/>
      <c r="AB824" s="146"/>
      <c r="AC824" s="142"/>
      <c r="AD824" s="142"/>
      <c r="AE824" s="142"/>
    </row>
    <row r="825" spans="1:337" s="53" customFormat="1" ht="15" thickBot="1" x14ac:dyDescent="0.4">
      <c r="A825" s="49"/>
      <c r="B825" s="49"/>
      <c r="C825" s="50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49"/>
      <c r="U825" s="49"/>
      <c r="V825" s="49"/>
      <c r="W825" s="49"/>
      <c r="X825" s="51"/>
      <c r="Y825" s="49"/>
      <c r="Z825" s="49"/>
      <c r="AA825" s="52"/>
      <c r="AB825" s="52"/>
      <c r="AC825" s="51"/>
      <c r="AD825" s="51"/>
      <c r="AE825" s="51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/>
      <c r="ET825"/>
      <c r="EU825"/>
      <c r="EV825"/>
      <c r="EW825"/>
      <c r="EX825"/>
      <c r="EY825"/>
      <c r="EZ825"/>
      <c r="FA825"/>
      <c r="FB825"/>
      <c r="FC825"/>
      <c r="FD825"/>
      <c r="FE825"/>
      <c r="FF825"/>
      <c r="FG825"/>
      <c r="FH825"/>
      <c r="FI825"/>
      <c r="FJ825"/>
      <c r="FK825"/>
      <c r="FL825"/>
      <c r="FM825"/>
      <c r="FN825"/>
      <c r="FO825"/>
      <c r="FP825"/>
      <c r="FQ825"/>
      <c r="FR825"/>
      <c r="FS825"/>
      <c r="FT825"/>
      <c r="FU825"/>
      <c r="FV825"/>
      <c r="FW825"/>
      <c r="FX825"/>
      <c r="FY825"/>
      <c r="FZ825"/>
      <c r="GA825"/>
      <c r="GB825"/>
      <c r="GC825"/>
      <c r="GD825"/>
      <c r="GE825"/>
      <c r="GF825"/>
      <c r="GG825"/>
      <c r="GH825"/>
      <c r="GI825"/>
      <c r="GJ825"/>
      <c r="GK825"/>
      <c r="GL825"/>
      <c r="GM825"/>
      <c r="GN825"/>
      <c r="GO825"/>
      <c r="GP825"/>
      <c r="GQ825"/>
      <c r="GR825"/>
      <c r="GS825"/>
      <c r="GT825"/>
      <c r="GU825"/>
      <c r="GV825"/>
      <c r="GW825"/>
      <c r="GX825"/>
      <c r="GY825"/>
      <c r="GZ825"/>
      <c r="HA825"/>
      <c r="HB825"/>
      <c r="HC825"/>
      <c r="HD825"/>
      <c r="HE825"/>
      <c r="HF825"/>
      <c r="HG825"/>
      <c r="HH825"/>
      <c r="HI825"/>
      <c r="HJ825"/>
      <c r="HK825"/>
      <c r="HL825"/>
      <c r="HM825"/>
      <c r="HN825"/>
      <c r="HO825"/>
      <c r="HP825"/>
      <c r="HQ825"/>
      <c r="HR825"/>
      <c r="HS825"/>
      <c r="HT825"/>
      <c r="HU825"/>
      <c r="HV825"/>
      <c r="HW825"/>
      <c r="HX825"/>
      <c r="HY825"/>
      <c r="HZ825"/>
      <c r="IA825"/>
      <c r="IB825"/>
      <c r="IC825"/>
      <c r="ID825"/>
      <c r="IE825"/>
      <c r="IF825"/>
      <c r="IG825"/>
      <c r="IH825"/>
      <c r="II825"/>
      <c r="IJ825"/>
      <c r="IK825"/>
      <c r="IL825"/>
      <c r="IM825"/>
      <c r="IN825"/>
      <c r="IO825"/>
      <c r="IP825"/>
      <c r="IQ825"/>
      <c r="IR825"/>
      <c r="IS825"/>
      <c r="IT825"/>
      <c r="IU825"/>
      <c r="IV825"/>
      <c r="IW825"/>
      <c r="IX825"/>
      <c r="IY825"/>
      <c r="IZ825"/>
      <c r="JA825"/>
      <c r="JB825"/>
      <c r="JC825"/>
      <c r="JD825"/>
      <c r="JE825"/>
      <c r="JF825"/>
      <c r="JG825"/>
      <c r="JH825"/>
      <c r="JI825"/>
      <c r="JJ825"/>
      <c r="JK825"/>
      <c r="JL825"/>
      <c r="JM825"/>
      <c r="JN825"/>
      <c r="JO825"/>
      <c r="JP825"/>
      <c r="JQ825"/>
      <c r="JR825"/>
      <c r="JS825"/>
      <c r="JT825"/>
      <c r="JU825"/>
      <c r="JV825"/>
      <c r="JW825"/>
      <c r="JX825"/>
      <c r="JY825"/>
      <c r="JZ825"/>
      <c r="KA825"/>
      <c r="KB825"/>
      <c r="KC825"/>
      <c r="KD825"/>
      <c r="KE825"/>
      <c r="KF825"/>
      <c r="KG825"/>
      <c r="KH825"/>
      <c r="KI825"/>
      <c r="KJ825"/>
      <c r="KK825"/>
      <c r="KL825"/>
      <c r="KM825"/>
      <c r="KN825"/>
      <c r="KO825"/>
      <c r="KP825"/>
      <c r="KQ825"/>
      <c r="KR825"/>
      <c r="KS825"/>
      <c r="KT825"/>
      <c r="KU825"/>
      <c r="KV825"/>
      <c r="KW825"/>
      <c r="KX825"/>
      <c r="KY825"/>
      <c r="KZ825"/>
      <c r="LA825"/>
      <c r="LB825"/>
      <c r="LC825"/>
      <c r="LD825"/>
      <c r="LE825"/>
      <c r="LF825"/>
      <c r="LG825"/>
      <c r="LH825"/>
      <c r="LI825"/>
      <c r="LJ825"/>
      <c r="LK825"/>
      <c r="LL825"/>
      <c r="LM825"/>
      <c r="LN825"/>
      <c r="LO825"/>
      <c r="LP825"/>
      <c r="LQ825"/>
      <c r="LR825"/>
      <c r="LS825"/>
      <c r="LT825"/>
      <c r="LU825"/>
      <c r="LV825"/>
      <c r="LW825"/>
      <c r="LX825"/>
      <c r="LY825"/>
    </row>
    <row r="826" spans="1:337" x14ac:dyDescent="0.35">
      <c r="A826" s="41" t="s">
        <v>31</v>
      </c>
      <c r="B826" s="41" t="s">
        <v>32</v>
      </c>
      <c r="C826" s="42">
        <v>46380</v>
      </c>
      <c r="D826" s="43">
        <v>0</v>
      </c>
      <c r="E826" s="43">
        <v>20</v>
      </c>
      <c r="F826" s="43">
        <v>20</v>
      </c>
      <c r="G826" s="43">
        <v>28</v>
      </c>
      <c r="H826" s="43">
        <v>40</v>
      </c>
      <c r="I826" s="43">
        <v>10</v>
      </c>
      <c r="J826" s="43">
        <v>21449</v>
      </c>
      <c r="K826" s="43">
        <f>SUM(L826:L828)</f>
        <v>6</v>
      </c>
      <c r="L826" s="43">
        <v>2</v>
      </c>
      <c r="M826" s="43"/>
      <c r="N826" s="43">
        <v>4</v>
      </c>
      <c r="O826" s="43">
        <v>3</v>
      </c>
      <c r="P826" s="43">
        <v>7</v>
      </c>
      <c r="Q826" s="43">
        <v>6</v>
      </c>
      <c r="R826" s="43">
        <v>9</v>
      </c>
      <c r="S826" s="43">
        <v>9</v>
      </c>
      <c r="T826" s="43">
        <v>20</v>
      </c>
      <c r="U826" s="43">
        <v>3</v>
      </c>
      <c r="V826" s="41" t="s">
        <v>33</v>
      </c>
      <c r="W826" s="41" t="s">
        <v>34</v>
      </c>
      <c r="X826" s="41">
        <v>1</v>
      </c>
      <c r="Y826" s="41">
        <v>3</v>
      </c>
      <c r="Z826" s="41">
        <v>322</v>
      </c>
      <c r="AA826" s="44">
        <v>34</v>
      </c>
      <c r="AB826" s="44">
        <v>34</v>
      </c>
      <c r="AC826" s="43">
        <v>45</v>
      </c>
      <c r="AD826" s="43">
        <v>30</v>
      </c>
      <c r="AE826" s="43">
        <v>45</v>
      </c>
    </row>
    <row r="827" spans="1:337" x14ac:dyDescent="0.35">
      <c r="A827" s="32" t="s">
        <v>31</v>
      </c>
      <c r="B827" s="32" t="s">
        <v>35</v>
      </c>
      <c r="C827" s="33">
        <v>46380</v>
      </c>
      <c r="D827" s="34">
        <v>13</v>
      </c>
      <c r="E827" s="34">
        <v>24</v>
      </c>
      <c r="F827" s="34">
        <v>25</v>
      </c>
      <c r="G827" s="141"/>
      <c r="H827" s="141"/>
      <c r="I827" s="141"/>
      <c r="J827" s="141"/>
      <c r="K827" s="141"/>
      <c r="L827" s="34">
        <v>2</v>
      </c>
      <c r="M827" s="34">
        <v>5</v>
      </c>
      <c r="N827" s="34">
        <v>4</v>
      </c>
      <c r="O827" s="34">
        <v>4</v>
      </c>
      <c r="P827" s="32">
        <v>7</v>
      </c>
      <c r="Q827" s="32">
        <v>7</v>
      </c>
      <c r="R827" s="32">
        <v>8</v>
      </c>
      <c r="S827" s="32">
        <v>6</v>
      </c>
      <c r="T827" s="143"/>
      <c r="U827" s="143"/>
      <c r="V827" s="32" t="s">
        <v>36</v>
      </c>
      <c r="W827" s="32" t="s">
        <v>37</v>
      </c>
      <c r="X827" s="32">
        <v>1</v>
      </c>
      <c r="Y827" s="143"/>
      <c r="Z827" s="143"/>
      <c r="AA827" s="145"/>
      <c r="AB827" s="145"/>
      <c r="AC827" s="141"/>
      <c r="AD827" s="141"/>
      <c r="AE827" s="141"/>
    </row>
    <row r="828" spans="1:337" ht="15" thickBot="1" x14ac:dyDescent="0.4">
      <c r="A828" s="45" t="s">
        <v>31</v>
      </c>
      <c r="B828" s="45" t="s">
        <v>38</v>
      </c>
      <c r="C828" s="46">
        <v>46380</v>
      </c>
      <c r="D828" s="47"/>
      <c r="E828" s="47"/>
      <c r="F828" s="47"/>
      <c r="G828" s="142"/>
      <c r="H828" s="142"/>
      <c r="I828" s="142"/>
      <c r="J828" s="142"/>
      <c r="K828" s="142"/>
      <c r="L828" s="47">
        <v>2</v>
      </c>
      <c r="M828" s="47"/>
      <c r="N828" s="47"/>
      <c r="O828" s="47"/>
      <c r="P828" s="47"/>
      <c r="Q828" s="47"/>
      <c r="R828" s="47"/>
      <c r="S828" s="47"/>
      <c r="T828" s="144"/>
      <c r="U828" s="144"/>
      <c r="V828" s="45"/>
      <c r="W828" s="45"/>
      <c r="X828" s="47"/>
      <c r="Y828" s="144"/>
      <c r="Z828" s="144"/>
      <c r="AA828" s="146"/>
      <c r="AB828" s="146"/>
      <c r="AC828" s="142"/>
      <c r="AD828" s="142"/>
      <c r="AE828" s="142"/>
    </row>
    <row r="829" spans="1:337" s="53" customFormat="1" ht="15" thickBot="1" x14ac:dyDescent="0.4">
      <c r="A829" s="49"/>
      <c r="B829" s="49"/>
      <c r="C829" s="50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49"/>
      <c r="U829" s="49"/>
      <c r="V829" s="49"/>
      <c r="W829" s="49"/>
      <c r="X829" s="51"/>
      <c r="Y829" s="49"/>
      <c r="Z829" s="49"/>
      <c r="AA829" s="52"/>
      <c r="AB829" s="52"/>
      <c r="AC829" s="51"/>
      <c r="AD829" s="51"/>
      <c r="AE829" s="51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/>
      <c r="EI829"/>
      <c r="EJ829"/>
      <c r="EK829"/>
      <c r="EL829"/>
      <c r="EM829"/>
      <c r="EN829"/>
      <c r="EO829"/>
      <c r="EP829"/>
      <c r="EQ829"/>
      <c r="ER829"/>
      <c r="ES829"/>
      <c r="ET829"/>
      <c r="EU829"/>
      <c r="EV829"/>
      <c r="EW829"/>
      <c r="EX829"/>
      <c r="EY829"/>
      <c r="EZ829"/>
      <c r="FA829"/>
      <c r="FB829"/>
      <c r="FC829"/>
      <c r="FD829"/>
      <c r="FE829"/>
      <c r="FF829"/>
      <c r="FG829"/>
      <c r="FH829"/>
      <c r="FI829"/>
      <c r="FJ829"/>
      <c r="FK829"/>
      <c r="FL829"/>
      <c r="FM829"/>
      <c r="FN829"/>
      <c r="FO829"/>
      <c r="FP829"/>
      <c r="FQ829"/>
      <c r="FR829"/>
      <c r="FS829"/>
      <c r="FT829"/>
      <c r="FU829"/>
      <c r="FV829"/>
      <c r="FW829"/>
      <c r="FX829"/>
      <c r="FY829"/>
      <c r="FZ829"/>
      <c r="GA829"/>
      <c r="GB829"/>
      <c r="GC829"/>
      <c r="GD829"/>
      <c r="GE829"/>
      <c r="GF829"/>
      <c r="GG829"/>
      <c r="GH829"/>
      <c r="GI829"/>
      <c r="GJ829"/>
      <c r="GK829"/>
      <c r="GL829"/>
      <c r="GM829"/>
      <c r="GN829"/>
      <c r="GO829"/>
      <c r="GP829"/>
      <c r="GQ829"/>
      <c r="GR829"/>
      <c r="GS829"/>
      <c r="GT829"/>
      <c r="GU829"/>
      <c r="GV829"/>
      <c r="GW829"/>
      <c r="GX829"/>
      <c r="GY829"/>
      <c r="GZ829"/>
      <c r="HA829"/>
      <c r="HB829"/>
      <c r="HC829"/>
      <c r="HD829"/>
      <c r="HE829"/>
      <c r="HF829"/>
      <c r="HG829"/>
      <c r="HH829"/>
      <c r="HI829"/>
      <c r="HJ829"/>
      <c r="HK829"/>
      <c r="HL829"/>
      <c r="HM829"/>
      <c r="HN829"/>
      <c r="HO829"/>
      <c r="HP829"/>
      <c r="HQ829"/>
      <c r="HR829"/>
      <c r="HS829"/>
      <c r="HT829"/>
      <c r="HU829"/>
      <c r="HV829"/>
      <c r="HW829"/>
      <c r="HX829"/>
      <c r="HY829"/>
      <c r="HZ829"/>
      <c r="IA829"/>
      <c r="IB829"/>
      <c r="IC829"/>
      <c r="ID829"/>
      <c r="IE829"/>
      <c r="IF829"/>
      <c r="IG829"/>
      <c r="IH829"/>
      <c r="II829"/>
      <c r="IJ829"/>
      <c r="IK829"/>
      <c r="IL829"/>
      <c r="IM829"/>
      <c r="IN829"/>
      <c r="IO829"/>
      <c r="IP829"/>
      <c r="IQ829"/>
      <c r="IR829"/>
      <c r="IS829"/>
      <c r="IT829"/>
      <c r="IU829"/>
      <c r="IV829"/>
      <c r="IW829"/>
      <c r="IX829"/>
      <c r="IY829"/>
      <c r="IZ829"/>
      <c r="JA829"/>
      <c r="JB829"/>
      <c r="JC829"/>
      <c r="JD829"/>
      <c r="JE829"/>
      <c r="JF829"/>
      <c r="JG829"/>
      <c r="JH829"/>
      <c r="JI829"/>
      <c r="JJ829"/>
      <c r="JK829"/>
      <c r="JL829"/>
      <c r="JM829"/>
      <c r="JN829"/>
      <c r="JO829"/>
      <c r="JP829"/>
      <c r="JQ829"/>
      <c r="JR829"/>
      <c r="JS829"/>
      <c r="JT829"/>
      <c r="JU829"/>
      <c r="JV829"/>
      <c r="JW829"/>
      <c r="JX829"/>
      <c r="JY829"/>
      <c r="JZ829"/>
      <c r="KA829"/>
      <c r="KB829"/>
      <c r="KC829"/>
      <c r="KD829"/>
      <c r="KE829"/>
      <c r="KF829"/>
      <c r="KG829"/>
      <c r="KH829"/>
      <c r="KI829"/>
      <c r="KJ829"/>
      <c r="KK829"/>
      <c r="KL829"/>
      <c r="KM829"/>
      <c r="KN829"/>
      <c r="KO829"/>
      <c r="KP829"/>
      <c r="KQ829"/>
      <c r="KR829"/>
      <c r="KS829"/>
      <c r="KT829"/>
      <c r="KU829"/>
      <c r="KV829"/>
      <c r="KW829"/>
      <c r="KX829"/>
      <c r="KY829"/>
      <c r="KZ829"/>
      <c r="LA829"/>
      <c r="LB829"/>
      <c r="LC829"/>
      <c r="LD829"/>
      <c r="LE829"/>
      <c r="LF829"/>
      <c r="LG829"/>
      <c r="LH829"/>
      <c r="LI829"/>
      <c r="LJ829"/>
      <c r="LK829"/>
      <c r="LL829"/>
      <c r="LM829"/>
      <c r="LN829"/>
      <c r="LO829"/>
      <c r="LP829"/>
      <c r="LQ829"/>
      <c r="LR829"/>
      <c r="LS829"/>
      <c r="LT829"/>
      <c r="LU829"/>
      <c r="LV829"/>
      <c r="LW829"/>
      <c r="LX829"/>
      <c r="LY829"/>
    </row>
    <row r="830" spans="1:337" x14ac:dyDescent="0.35">
      <c r="A830" s="41" t="s">
        <v>31</v>
      </c>
      <c r="B830" s="41" t="s">
        <v>32</v>
      </c>
      <c r="C830" s="42">
        <v>46381</v>
      </c>
      <c r="D830" s="43">
        <v>0</v>
      </c>
      <c r="E830" s="43">
        <v>20</v>
      </c>
      <c r="F830" s="43">
        <v>20</v>
      </c>
      <c r="G830" s="43">
        <v>28</v>
      </c>
      <c r="H830" s="43">
        <v>40</v>
      </c>
      <c r="I830" s="43">
        <v>10</v>
      </c>
      <c r="J830" s="43">
        <v>21449</v>
      </c>
      <c r="K830" s="43">
        <f>SUM(L830:L832)</f>
        <v>6</v>
      </c>
      <c r="L830" s="43">
        <v>2</v>
      </c>
      <c r="M830" s="43"/>
      <c r="N830" s="43">
        <v>4</v>
      </c>
      <c r="O830" s="43">
        <v>3</v>
      </c>
      <c r="P830" s="43">
        <v>7</v>
      </c>
      <c r="Q830" s="43">
        <v>6</v>
      </c>
      <c r="R830" s="43">
        <v>9</v>
      </c>
      <c r="S830" s="43">
        <v>9</v>
      </c>
      <c r="T830" s="43">
        <v>25</v>
      </c>
      <c r="U830" s="43">
        <v>4</v>
      </c>
      <c r="V830" s="41" t="s">
        <v>33</v>
      </c>
      <c r="W830" s="41" t="s">
        <v>34</v>
      </c>
      <c r="X830" s="41">
        <v>1</v>
      </c>
      <c r="Y830" s="41">
        <v>3</v>
      </c>
      <c r="Z830" s="41">
        <v>322</v>
      </c>
      <c r="AA830" s="44">
        <v>34</v>
      </c>
      <c r="AB830" s="44">
        <v>34</v>
      </c>
      <c r="AC830" s="43">
        <v>45</v>
      </c>
      <c r="AD830" s="43">
        <v>30</v>
      </c>
      <c r="AE830" s="43">
        <v>45</v>
      </c>
    </row>
    <row r="831" spans="1:337" x14ac:dyDescent="0.35">
      <c r="A831" s="32" t="s">
        <v>31</v>
      </c>
      <c r="B831" s="32" t="s">
        <v>35</v>
      </c>
      <c r="C831" s="33">
        <v>46381</v>
      </c>
      <c r="D831" s="34">
        <v>13</v>
      </c>
      <c r="E831" s="34">
        <v>24</v>
      </c>
      <c r="F831" s="34">
        <v>25</v>
      </c>
      <c r="G831" s="141"/>
      <c r="H831" s="141"/>
      <c r="I831" s="141"/>
      <c r="J831" s="141"/>
      <c r="K831" s="141"/>
      <c r="L831" s="34">
        <v>2</v>
      </c>
      <c r="M831" s="34">
        <v>5</v>
      </c>
      <c r="N831" s="34">
        <v>4</v>
      </c>
      <c r="O831" s="34">
        <v>4</v>
      </c>
      <c r="P831" s="32">
        <v>7</v>
      </c>
      <c r="Q831" s="32">
        <v>7</v>
      </c>
      <c r="R831" s="32">
        <v>8</v>
      </c>
      <c r="S831" s="32">
        <v>6</v>
      </c>
      <c r="T831" s="143"/>
      <c r="U831" s="143"/>
      <c r="V831" s="32" t="s">
        <v>36</v>
      </c>
      <c r="W831" s="32" t="s">
        <v>37</v>
      </c>
      <c r="X831" s="32">
        <v>1</v>
      </c>
      <c r="Y831" s="143"/>
      <c r="Z831" s="143"/>
      <c r="AA831" s="145"/>
      <c r="AB831" s="145"/>
      <c r="AC831" s="141"/>
      <c r="AD831" s="141"/>
      <c r="AE831" s="141"/>
    </row>
    <row r="832" spans="1:337" ht="15" thickBot="1" x14ac:dyDescent="0.4">
      <c r="A832" s="45" t="s">
        <v>31</v>
      </c>
      <c r="B832" s="45" t="s">
        <v>38</v>
      </c>
      <c r="C832" s="46">
        <v>46381</v>
      </c>
      <c r="D832" s="47"/>
      <c r="E832" s="47"/>
      <c r="F832" s="47"/>
      <c r="G832" s="142"/>
      <c r="H832" s="142"/>
      <c r="I832" s="142"/>
      <c r="J832" s="142"/>
      <c r="K832" s="142"/>
      <c r="L832" s="47">
        <v>2</v>
      </c>
      <c r="M832" s="47"/>
      <c r="N832" s="47"/>
      <c r="O832" s="47"/>
      <c r="P832" s="47"/>
      <c r="Q832" s="47"/>
      <c r="R832" s="47"/>
      <c r="S832" s="47"/>
      <c r="T832" s="144"/>
      <c r="U832" s="144"/>
      <c r="V832" s="45"/>
      <c r="W832" s="45"/>
      <c r="X832" s="47"/>
      <c r="Y832" s="144"/>
      <c r="Z832" s="144"/>
      <c r="AA832" s="146"/>
      <c r="AB832" s="146"/>
      <c r="AC832" s="142"/>
      <c r="AD832" s="142"/>
      <c r="AE832" s="142"/>
    </row>
    <row r="833" spans="1:337" s="53" customFormat="1" ht="15" thickBot="1" x14ac:dyDescent="0.4">
      <c r="A833" s="49"/>
      <c r="B833" s="49"/>
      <c r="C833" s="50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49"/>
      <c r="U833" s="49"/>
      <c r="V833" s="49"/>
      <c r="W833" s="49"/>
      <c r="X833" s="51"/>
      <c r="Y833" s="49"/>
      <c r="Z833" s="49"/>
      <c r="AA833" s="52"/>
      <c r="AB833" s="52"/>
      <c r="AC833" s="51"/>
      <c r="AD833" s="51"/>
      <c r="AE833" s="51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  <c r="EC833"/>
      <c r="ED833"/>
      <c r="EE833"/>
      <c r="EF833"/>
      <c r="EG833"/>
      <c r="EH833"/>
      <c r="EI833"/>
      <c r="EJ833"/>
      <c r="EK833"/>
      <c r="EL833"/>
      <c r="EM833"/>
      <c r="EN833"/>
      <c r="EO833"/>
      <c r="EP833"/>
      <c r="EQ833"/>
      <c r="ER833"/>
      <c r="ES833"/>
      <c r="ET833"/>
      <c r="EU833"/>
      <c r="EV833"/>
      <c r="EW833"/>
      <c r="EX833"/>
      <c r="EY833"/>
      <c r="EZ833"/>
      <c r="FA833"/>
      <c r="FB833"/>
      <c r="FC833"/>
      <c r="FD833"/>
      <c r="FE833"/>
      <c r="FF833"/>
      <c r="FG833"/>
      <c r="FH833"/>
      <c r="FI833"/>
      <c r="FJ833"/>
      <c r="FK833"/>
      <c r="FL833"/>
      <c r="FM833"/>
      <c r="FN833"/>
      <c r="FO833"/>
      <c r="FP833"/>
      <c r="FQ833"/>
      <c r="FR833"/>
      <c r="FS833"/>
      <c r="FT833"/>
      <c r="FU833"/>
      <c r="FV833"/>
      <c r="FW833"/>
      <c r="FX833"/>
      <c r="FY833"/>
      <c r="FZ833"/>
      <c r="GA833"/>
      <c r="GB833"/>
      <c r="GC833"/>
      <c r="GD833"/>
      <c r="GE833"/>
      <c r="GF833"/>
      <c r="GG833"/>
      <c r="GH833"/>
      <c r="GI833"/>
      <c r="GJ833"/>
      <c r="GK833"/>
      <c r="GL833"/>
      <c r="GM833"/>
      <c r="GN833"/>
      <c r="GO833"/>
      <c r="GP833"/>
      <c r="GQ833"/>
      <c r="GR833"/>
      <c r="GS833"/>
      <c r="GT833"/>
      <c r="GU833"/>
      <c r="GV833"/>
      <c r="GW833"/>
      <c r="GX833"/>
      <c r="GY833"/>
      <c r="GZ833"/>
      <c r="HA833"/>
      <c r="HB833"/>
      <c r="HC833"/>
      <c r="HD833"/>
      <c r="HE833"/>
      <c r="HF833"/>
      <c r="HG833"/>
      <c r="HH833"/>
      <c r="HI833"/>
      <c r="HJ833"/>
      <c r="HK833"/>
      <c r="HL833"/>
      <c r="HM833"/>
      <c r="HN833"/>
      <c r="HO833"/>
      <c r="HP833"/>
      <c r="HQ833"/>
      <c r="HR833"/>
      <c r="HS833"/>
      <c r="HT833"/>
      <c r="HU833"/>
      <c r="HV833"/>
      <c r="HW833"/>
      <c r="HX833"/>
      <c r="HY833"/>
      <c r="HZ833"/>
      <c r="IA833"/>
      <c r="IB833"/>
      <c r="IC833"/>
      <c r="ID833"/>
      <c r="IE833"/>
      <c r="IF833"/>
      <c r="IG833"/>
      <c r="IH833"/>
      <c r="II833"/>
      <c r="IJ833"/>
      <c r="IK833"/>
      <c r="IL833"/>
      <c r="IM833"/>
      <c r="IN833"/>
      <c r="IO833"/>
      <c r="IP833"/>
      <c r="IQ833"/>
      <c r="IR833"/>
      <c r="IS833"/>
      <c r="IT833"/>
      <c r="IU833"/>
      <c r="IV833"/>
      <c r="IW833"/>
      <c r="IX833"/>
      <c r="IY833"/>
      <c r="IZ833"/>
      <c r="JA833"/>
      <c r="JB833"/>
      <c r="JC833"/>
      <c r="JD833"/>
      <c r="JE833"/>
      <c r="JF833"/>
      <c r="JG833"/>
      <c r="JH833"/>
      <c r="JI833"/>
      <c r="JJ833"/>
      <c r="JK833"/>
      <c r="JL833"/>
      <c r="JM833"/>
      <c r="JN833"/>
      <c r="JO833"/>
      <c r="JP833"/>
      <c r="JQ833"/>
      <c r="JR833"/>
      <c r="JS833"/>
      <c r="JT833"/>
      <c r="JU833"/>
      <c r="JV833"/>
      <c r="JW833"/>
      <c r="JX833"/>
      <c r="JY833"/>
      <c r="JZ833"/>
      <c r="KA833"/>
      <c r="KB833"/>
      <c r="KC833"/>
      <c r="KD833"/>
      <c r="KE833"/>
      <c r="KF833"/>
      <c r="KG833"/>
      <c r="KH833"/>
      <c r="KI833"/>
      <c r="KJ833"/>
      <c r="KK833"/>
      <c r="KL833"/>
      <c r="KM833"/>
      <c r="KN833"/>
      <c r="KO833"/>
      <c r="KP833"/>
      <c r="KQ833"/>
      <c r="KR833"/>
      <c r="KS833"/>
      <c r="KT833"/>
      <c r="KU833"/>
      <c r="KV833"/>
      <c r="KW833"/>
      <c r="KX833"/>
      <c r="KY833"/>
      <c r="KZ833"/>
      <c r="LA833"/>
      <c r="LB833"/>
      <c r="LC833"/>
      <c r="LD833"/>
      <c r="LE833"/>
      <c r="LF833"/>
      <c r="LG833"/>
      <c r="LH833"/>
      <c r="LI833"/>
      <c r="LJ833"/>
      <c r="LK833"/>
      <c r="LL833"/>
      <c r="LM833"/>
      <c r="LN833"/>
      <c r="LO833"/>
      <c r="LP833"/>
      <c r="LQ833"/>
      <c r="LR833"/>
      <c r="LS833"/>
      <c r="LT833"/>
      <c r="LU833"/>
      <c r="LV833"/>
      <c r="LW833"/>
      <c r="LX833"/>
      <c r="LY833"/>
    </row>
    <row r="834" spans="1:337" x14ac:dyDescent="0.35">
      <c r="A834" s="41" t="s">
        <v>31</v>
      </c>
      <c r="B834" s="41" t="s">
        <v>32</v>
      </c>
      <c r="C834" s="42">
        <v>46382</v>
      </c>
      <c r="D834" s="43">
        <v>0</v>
      </c>
      <c r="E834" s="43">
        <v>20</v>
      </c>
      <c r="F834" s="43">
        <v>20</v>
      </c>
      <c r="G834" s="43">
        <v>28</v>
      </c>
      <c r="H834" s="43">
        <v>40</v>
      </c>
      <c r="I834" s="43">
        <v>10</v>
      </c>
      <c r="J834" s="43">
        <v>21449</v>
      </c>
      <c r="K834" s="43">
        <f>SUM(L834:L836)</f>
        <v>6</v>
      </c>
      <c r="L834" s="43">
        <v>2</v>
      </c>
      <c r="M834" s="43"/>
      <c r="N834" s="43">
        <v>4</v>
      </c>
      <c r="O834" s="43">
        <v>3</v>
      </c>
      <c r="P834" s="43">
        <v>7</v>
      </c>
      <c r="Q834" s="43">
        <v>6</v>
      </c>
      <c r="R834" s="43">
        <v>9</v>
      </c>
      <c r="S834" s="43">
        <v>9</v>
      </c>
      <c r="T834" s="43">
        <v>25</v>
      </c>
      <c r="U834" s="43">
        <v>4</v>
      </c>
      <c r="V834" s="41" t="s">
        <v>33</v>
      </c>
      <c r="W834" s="41" t="s">
        <v>34</v>
      </c>
      <c r="X834" s="41">
        <v>1</v>
      </c>
      <c r="Y834" s="41">
        <v>3</v>
      </c>
      <c r="Z834" s="41">
        <v>322</v>
      </c>
      <c r="AA834" s="44">
        <v>34</v>
      </c>
      <c r="AB834" s="44">
        <v>34</v>
      </c>
      <c r="AC834" s="43">
        <v>45</v>
      </c>
      <c r="AD834" s="43">
        <v>30</v>
      </c>
      <c r="AE834" s="43">
        <v>45</v>
      </c>
    </row>
    <row r="835" spans="1:337" x14ac:dyDescent="0.35">
      <c r="A835" s="32" t="s">
        <v>31</v>
      </c>
      <c r="B835" s="32" t="s">
        <v>35</v>
      </c>
      <c r="C835" s="33">
        <v>46382</v>
      </c>
      <c r="D835" s="34">
        <v>13</v>
      </c>
      <c r="E835" s="34">
        <v>24</v>
      </c>
      <c r="F835" s="34">
        <v>25</v>
      </c>
      <c r="G835" s="141"/>
      <c r="H835" s="141"/>
      <c r="I835" s="141"/>
      <c r="J835" s="141"/>
      <c r="K835" s="141"/>
      <c r="L835" s="34">
        <v>2</v>
      </c>
      <c r="M835" s="34">
        <v>5</v>
      </c>
      <c r="N835" s="34">
        <v>4</v>
      </c>
      <c r="O835" s="34">
        <v>4</v>
      </c>
      <c r="P835" s="32">
        <v>7</v>
      </c>
      <c r="Q835" s="32">
        <v>7</v>
      </c>
      <c r="R835" s="32">
        <v>8</v>
      </c>
      <c r="S835" s="32">
        <v>6</v>
      </c>
      <c r="T835" s="143"/>
      <c r="U835" s="143"/>
      <c r="V835" s="32" t="s">
        <v>36</v>
      </c>
      <c r="W835" s="32" t="s">
        <v>37</v>
      </c>
      <c r="X835" s="32">
        <v>1</v>
      </c>
      <c r="Y835" s="143"/>
      <c r="Z835" s="143"/>
      <c r="AA835" s="145"/>
      <c r="AB835" s="145"/>
      <c r="AC835" s="141"/>
      <c r="AD835" s="141"/>
      <c r="AE835" s="141"/>
    </row>
    <row r="836" spans="1:337" ht="15" thickBot="1" x14ac:dyDescent="0.4">
      <c r="A836" s="45" t="s">
        <v>31</v>
      </c>
      <c r="B836" s="45" t="s">
        <v>38</v>
      </c>
      <c r="C836" s="46">
        <v>46382</v>
      </c>
      <c r="D836" s="47"/>
      <c r="E836" s="47"/>
      <c r="F836" s="47"/>
      <c r="G836" s="142"/>
      <c r="H836" s="142"/>
      <c r="I836" s="142"/>
      <c r="J836" s="142"/>
      <c r="K836" s="142"/>
      <c r="L836" s="47">
        <v>2</v>
      </c>
      <c r="M836" s="47"/>
      <c r="N836" s="47"/>
      <c r="O836" s="47"/>
      <c r="P836" s="47"/>
      <c r="Q836" s="47"/>
      <c r="R836" s="47"/>
      <c r="S836" s="47"/>
      <c r="T836" s="144"/>
      <c r="U836" s="144"/>
      <c r="V836" s="45"/>
      <c r="W836" s="45"/>
      <c r="X836" s="47"/>
      <c r="Y836" s="144"/>
      <c r="Z836" s="144"/>
      <c r="AA836" s="146"/>
      <c r="AB836" s="146"/>
      <c r="AC836" s="142"/>
      <c r="AD836" s="142"/>
      <c r="AE836" s="142"/>
    </row>
    <row r="837" spans="1:337" s="53" customFormat="1" ht="15" thickBot="1" x14ac:dyDescent="0.4">
      <c r="A837" s="49"/>
      <c r="B837" s="49"/>
      <c r="C837" s="50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49"/>
      <c r="U837" s="49"/>
      <c r="V837" s="49"/>
      <c r="W837" s="49"/>
      <c r="X837" s="51"/>
      <c r="Y837" s="49"/>
      <c r="Z837" s="49"/>
      <c r="AA837" s="52"/>
      <c r="AB837" s="52"/>
      <c r="AC837" s="51"/>
      <c r="AD837" s="51"/>
      <c r="AE837" s="51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/>
      <c r="ET837"/>
      <c r="EU837"/>
      <c r="EV837"/>
      <c r="EW837"/>
      <c r="EX837"/>
      <c r="EY837"/>
      <c r="EZ837"/>
      <c r="FA837"/>
      <c r="FB837"/>
      <c r="FC837"/>
      <c r="FD837"/>
      <c r="FE837"/>
      <c r="FF837"/>
      <c r="FG837"/>
      <c r="FH837"/>
      <c r="FI837"/>
      <c r="FJ837"/>
      <c r="FK837"/>
      <c r="FL837"/>
      <c r="FM837"/>
      <c r="FN837"/>
      <c r="FO837"/>
      <c r="FP837"/>
      <c r="FQ837"/>
      <c r="FR837"/>
      <c r="FS837"/>
      <c r="FT837"/>
      <c r="FU837"/>
      <c r="FV837"/>
      <c r="FW837"/>
      <c r="FX837"/>
      <c r="FY837"/>
      <c r="FZ837"/>
      <c r="GA837"/>
      <c r="GB837"/>
      <c r="GC837"/>
      <c r="GD837"/>
      <c r="GE837"/>
      <c r="GF837"/>
      <c r="GG837"/>
      <c r="GH837"/>
      <c r="GI837"/>
      <c r="GJ837"/>
      <c r="GK837"/>
      <c r="GL837"/>
      <c r="GM837"/>
      <c r="GN837"/>
      <c r="GO837"/>
      <c r="GP837"/>
      <c r="GQ837"/>
      <c r="GR837"/>
      <c r="GS837"/>
      <c r="GT837"/>
      <c r="GU837"/>
      <c r="GV837"/>
      <c r="GW837"/>
      <c r="GX837"/>
      <c r="GY837"/>
      <c r="GZ837"/>
      <c r="HA837"/>
      <c r="HB837"/>
      <c r="HC837"/>
      <c r="HD837"/>
      <c r="HE837"/>
      <c r="HF837"/>
      <c r="HG837"/>
      <c r="HH837"/>
      <c r="HI837"/>
      <c r="HJ837"/>
      <c r="HK837"/>
      <c r="HL837"/>
      <c r="HM837"/>
      <c r="HN837"/>
      <c r="HO837"/>
      <c r="HP837"/>
      <c r="HQ837"/>
      <c r="HR837"/>
      <c r="HS837"/>
      <c r="HT837"/>
      <c r="HU837"/>
      <c r="HV837"/>
      <c r="HW837"/>
      <c r="HX837"/>
      <c r="HY837"/>
      <c r="HZ837"/>
      <c r="IA837"/>
      <c r="IB837"/>
      <c r="IC837"/>
      <c r="ID837"/>
      <c r="IE837"/>
      <c r="IF837"/>
      <c r="IG837"/>
      <c r="IH837"/>
      <c r="II837"/>
      <c r="IJ837"/>
      <c r="IK837"/>
      <c r="IL837"/>
      <c r="IM837"/>
      <c r="IN837"/>
      <c r="IO837"/>
      <c r="IP837"/>
      <c r="IQ837"/>
      <c r="IR837"/>
      <c r="IS837"/>
      <c r="IT837"/>
      <c r="IU837"/>
      <c r="IV837"/>
      <c r="IW837"/>
      <c r="IX837"/>
      <c r="IY837"/>
      <c r="IZ837"/>
      <c r="JA837"/>
      <c r="JB837"/>
      <c r="JC837"/>
      <c r="JD837"/>
      <c r="JE837"/>
      <c r="JF837"/>
      <c r="JG837"/>
      <c r="JH837"/>
      <c r="JI837"/>
      <c r="JJ837"/>
      <c r="JK837"/>
      <c r="JL837"/>
      <c r="JM837"/>
      <c r="JN837"/>
      <c r="JO837"/>
      <c r="JP837"/>
      <c r="JQ837"/>
      <c r="JR837"/>
      <c r="JS837"/>
      <c r="JT837"/>
      <c r="JU837"/>
      <c r="JV837"/>
      <c r="JW837"/>
      <c r="JX837"/>
      <c r="JY837"/>
      <c r="JZ837"/>
      <c r="KA837"/>
      <c r="KB837"/>
      <c r="KC837"/>
      <c r="KD837"/>
      <c r="KE837"/>
      <c r="KF837"/>
      <c r="KG837"/>
      <c r="KH837"/>
      <c r="KI837"/>
      <c r="KJ837"/>
      <c r="KK837"/>
      <c r="KL837"/>
      <c r="KM837"/>
      <c r="KN837"/>
      <c r="KO837"/>
      <c r="KP837"/>
      <c r="KQ837"/>
      <c r="KR837"/>
      <c r="KS837"/>
      <c r="KT837"/>
      <c r="KU837"/>
      <c r="KV837"/>
      <c r="KW837"/>
      <c r="KX837"/>
      <c r="KY837"/>
      <c r="KZ837"/>
      <c r="LA837"/>
      <c r="LB837"/>
      <c r="LC837"/>
      <c r="LD837"/>
      <c r="LE837"/>
      <c r="LF837"/>
      <c r="LG837"/>
      <c r="LH837"/>
      <c r="LI837"/>
      <c r="LJ837"/>
      <c r="LK837"/>
      <c r="LL837"/>
      <c r="LM837"/>
      <c r="LN837"/>
      <c r="LO837"/>
      <c r="LP837"/>
      <c r="LQ837"/>
      <c r="LR837"/>
      <c r="LS837"/>
      <c r="LT837"/>
      <c r="LU837"/>
      <c r="LV837"/>
      <c r="LW837"/>
      <c r="LX837"/>
      <c r="LY837"/>
    </row>
    <row r="838" spans="1:337" x14ac:dyDescent="0.35">
      <c r="A838" s="41" t="s">
        <v>31</v>
      </c>
      <c r="B838" s="41" t="s">
        <v>32</v>
      </c>
      <c r="C838" s="42">
        <v>46383</v>
      </c>
      <c r="D838" s="43">
        <v>0</v>
      </c>
      <c r="E838" s="43">
        <v>20</v>
      </c>
      <c r="F838" s="43">
        <v>20</v>
      </c>
      <c r="G838" s="43">
        <v>28</v>
      </c>
      <c r="H838" s="43">
        <v>40</v>
      </c>
      <c r="I838" s="43">
        <v>10</v>
      </c>
      <c r="J838" s="43">
        <v>21449</v>
      </c>
      <c r="K838" s="43">
        <f>SUM(L838:L840)</f>
        <v>6</v>
      </c>
      <c r="L838" s="43">
        <v>2</v>
      </c>
      <c r="M838" s="43"/>
      <c r="N838" s="43">
        <v>4</v>
      </c>
      <c r="O838" s="43">
        <v>3</v>
      </c>
      <c r="P838" s="43">
        <v>7</v>
      </c>
      <c r="Q838" s="43">
        <v>6</v>
      </c>
      <c r="R838" s="43">
        <v>9</v>
      </c>
      <c r="S838" s="43">
        <v>9</v>
      </c>
      <c r="T838" s="43">
        <v>25</v>
      </c>
      <c r="U838" s="43">
        <v>4</v>
      </c>
      <c r="V838" s="41" t="s">
        <v>33</v>
      </c>
      <c r="W838" s="41" t="s">
        <v>34</v>
      </c>
      <c r="X838" s="41">
        <v>1</v>
      </c>
      <c r="Y838" s="41">
        <v>3</v>
      </c>
      <c r="Z838" s="41">
        <v>322</v>
      </c>
      <c r="AA838" s="44">
        <v>34</v>
      </c>
      <c r="AB838" s="44">
        <v>34</v>
      </c>
      <c r="AC838" s="43">
        <v>45</v>
      </c>
      <c r="AD838" s="43">
        <v>30</v>
      </c>
      <c r="AE838" s="43">
        <v>45</v>
      </c>
    </row>
    <row r="839" spans="1:337" x14ac:dyDescent="0.35">
      <c r="A839" s="32" t="s">
        <v>31</v>
      </c>
      <c r="B839" s="32" t="s">
        <v>35</v>
      </c>
      <c r="C839" s="33">
        <v>46383</v>
      </c>
      <c r="D839" s="34">
        <v>13</v>
      </c>
      <c r="E839" s="34">
        <v>24</v>
      </c>
      <c r="F839" s="34">
        <v>25</v>
      </c>
      <c r="G839" s="141"/>
      <c r="H839" s="141"/>
      <c r="I839" s="141"/>
      <c r="J839" s="141"/>
      <c r="K839" s="141"/>
      <c r="L839" s="34">
        <v>2</v>
      </c>
      <c r="M839" s="34">
        <v>5</v>
      </c>
      <c r="N839" s="34">
        <v>4</v>
      </c>
      <c r="O839" s="34">
        <v>4</v>
      </c>
      <c r="P839" s="32">
        <v>7</v>
      </c>
      <c r="Q839" s="32">
        <v>7</v>
      </c>
      <c r="R839" s="32">
        <v>8</v>
      </c>
      <c r="S839" s="32">
        <v>6</v>
      </c>
      <c r="T839" s="143"/>
      <c r="U839" s="143"/>
      <c r="V839" s="32" t="s">
        <v>36</v>
      </c>
      <c r="W839" s="32" t="s">
        <v>37</v>
      </c>
      <c r="X839" s="32">
        <v>1</v>
      </c>
      <c r="Y839" s="143"/>
      <c r="Z839" s="143"/>
      <c r="AA839" s="145"/>
      <c r="AB839" s="145"/>
      <c r="AC839" s="141"/>
      <c r="AD839" s="141"/>
      <c r="AE839" s="141"/>
    </row>
    <row r="840" spans="1:337" ht="15" thickBot="1" x14ac:dyDescent="0.4">
      <c r="A840" s="45" t="s">
        <v>31</v>
      </c>
      <c r="B840" s="45" t="s">
        <v>38</v>
      </c>
      <c r="C840" s="46">
        <v>46383</v>
      </c>
      <c r="D840" s="47"/>
      <c r="E840" s="47"/>
      <c r="F840" s="47"/>
      <c r="G840" s="142"/>
      <c r="H840" s="142"/>
      <c r="I840" s="142"/>
      <c r="J840" s="142"/>
      <c r="K840" s="142"/>
      <c r="L840" s="47">
        <v>2</v>
      </c>
      <c r="M840" s="47"/>
      <c r="N840" s="47"/>
      <c r="O840" s="47"/>
      <c r="P840" s="47"/>
      <c r="Q840" s="47"/>
      <c r="R840" s="47"/>
      <c r="S840" s="47"/>
      <c r="T840" s="144"/>
      <c r="U840" s="144"/>
      <c r="V840" s="45"/>
      <c r="W840" s="45"/>
      <c r="X840" s="47"/>
      <c r="Y840" s="144"/>
      <c r="Z840" s="144"/>
      <c r="AA840" s="146"/>
      <c r="AB840" s="146"/>
      <c r="AC840" s="142"/>
      <c r="AD840" s="142"/>
      <c r="AE840" s="142"/>
    </row>
    <row r="841" spans="1:337" s="53" customFormat="1" ht="15" thickBot="1" x14ac:dyDescent="0.4">
      <c r="A841" s="49"/>
      <c r="B841" s="49"/>
      <c r="C841" s="50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49"/>
      <c r="U841" s="49"/>
      <c r="V841" s="49"/>
      <c r="W841" s="49"/>
      <c r="X841" s="51"/>
      <c r="Y841" s="49"/>
      <c r="Z841" s="49"/>
      <c r="AA841" s="52"/>
      <c r="AB841" s="52"/>
      <c r="AC841" s="51"/>
      <c r="AD841" s="51"/>
      <c r="AE841" s="5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/>
      <c r="ET841"/>
      <c r="EU841"/>
      <c r="EV841"/>
      <c r="EW841"/>
      <c r="EX841"/>
      <c r="EY841"/>
      <c r="EZ841"/>
      <c r="FA841"/>
      <c r="FB841"/>
      <c r="FC841"/>
      <c r="FD841"/>
      <c r="FE841"/>
      <c r="FF841"/>
      <c r="FG841"/>
      <c r="FH841"/>
      <c r="FI841"/>
      <c r="FJ841"/>
      <c r="FK841"/>
      <c r="FL841"/>
      <c r="FM841"/>
      <c r="FN841"/>
      <c r="FO841"/>
      <c r="FP841"/>
      <c r="FQ841"/>
      <c r="FR841"/>
      <c r="FS841"/>
      <c r="FT841"/>
      <c r="FU841"/>
      <c r="FV841"/>
      <c r="FW841"/>
      <c r="FX841"/>
      <c r="FY841"/>
      <c r="FZ841"/>
      <c r="GA841"/>
      <c r="GB841"/>
      <c r="GC841"/>
      <c r="GD841"/>
      <c r="GE841"/>
      <c r="GF841"/>
      <c r="GG841"/>
      <c r="GH841"/>
      <c r="GI841"/>
      <c r="GJ841"/>
      <c r="GK841"/>
      <c r="GL841"/>
      <c r="GM841"/>
      <c r="GN841"/>
      <c r="GO841"/>
      <c r="GP841"/>
      <c r="GQ841"/>
      <c r="GR841"/>
      <c r="GS841"/>
      <c r="GT841"/>
      <c r="GU841"/>
      <c r="GV841"/>
      <c r="GW841"/>
      <c r="GX841"/>
      <c r="GY841"/>
      <c r="GZ841"/>
      <c r="HA841"/>
      <c r="HB841"/>
      <c r="HC841"/>
      <c r="HD841"/>
      <c r="HE841"/>
      <c r="HF841"/>
      <c r="HG841"/>
      <c r="HH841"/>
      <c r="HI841"/>
      <c r="HJ841"/>
      <c r="HK841"/>
      <c r="HL841"/>
      <c r="HM841"/>
      <c r="HN841"/>
      <c r="HO841"/>
      <c r="HP841"/>
      <c r="HQ841"/>
      <c r="HR841"/>
      <c r="HS841"/>
      <c r="HT841"/>
      <c r="HU841"/>
      <c r="HV841"/>
      <c r="HW841"/>
      <c r="HX841"/>
      <c r="HY841"/>
      <c r="HZ841"/>
      <c r="IA841"/>
      <c r="IB841"/>
      <c r="IC841"/>
      <c r="ID841"/>
      <c r="IE841"/>
      <c r="IF841"/>
      <c r="IG841"/>
      <c r="IH841"/>
      <c r="II841"/>
      <c r="IJ841"/>
      <c r="IK841"/>
      <c r="IL841"/>
      <c r="IM841"/>
      <c r="IN841"/>
      <c r="IO841"/>
      <c r="IP841"/>
      <c r="IQ841"/>
      <c r="IR841"/>
      <c r="IS841"/>
      <c r="IT841"/>
      <c r="IU841"/>
      <c r="IV841"/>
      <c r="IW841"/>
      <c r="IX841"/>
      <c r="IY841"/>
      <c r="IZ841"/>
      <c r="JA841"/>
      <c r="JB841"/>
      <c r="JC841"/>
      <c r="JD841"/>
      <c r="JE841"/>
      <c r="JF841"/>
      <c r="JG841"/>
      <c r="JH841"/>
      <c r="JI841"/>
      <c r="JJ841"/>
      <c r="JK841"/>
      <c r="JL841"/>
      <c r="JM841"/>
      <c r="JN841"/>
      <c r="JO841"/>
      <c r="JP841"/>
      <c r="JQ841"/>
      <c r="JR841"/>
      <c r="JS841"/>
      <c r="JT841"/>
      <c r="JU841"/>
      <c r="JV841"/>
      <c r="JW841"/>
      <c r="JX841"/>
      <c r="JY841"/>
      <c r="JZ841"/>
      <c r="KA841"/>
      <c r="KB841"/>
      <c r="KC841"/>
      <c r="KD841"/>
      <c r="KE841"/>
      <c r="KF841"/>
      <c r="KG841"/>
      <c r="KH841"/>
      <c r="KI841"/>
      <c r="KJ841"/>
      <c r="KK841"/>
      <c r="KL841"/>
      <c r="KM841"/>
      <c r="KN841"/>
      <c r="KO841"/>
      <c r="KP841"/>
      <c r="KQ841"/>
      <c r="KR841"/>
      <c r="KS841"/>
      <c r="KT841"/>
      <c r="KU841"/>
      <c r="KV841"/>
      <c r="KW841"/>
      <c r="KX841"/>
      <c r="KY841"/>
      <c r="KZ841"/>
      <c r="LA841"/>
      <c r="LB841"/>
      <c r="LC841"/>
      <c r="LD841"/>
      <c r="LE841"/>
      <c r="LF841"/>
      <c r="LG841"/>
      <c r="LH841"/>
      <c r="LI841"/>
      <c r="LJ841"/>
      <c r="LK841"/>
      <c r="LL841"/>
      <c r="LM841"/>
      <c r="LN841"/>
      <c r="LO841"/>
      <c r="LP841"/>
      <c r="LQ841"/>
      <c r="LR841"/>
      <c r="LS841"/>
      <c r="LT841"/>
      <c r="LU841"/>
      <c r="LV841"/>
      <c r="LW841"/>
      <c r="LX841"/>
      <c r="LY841"/>
    </row>
    <row r="842" spans="1:337" x14ac:dyDescent="0.35">
      <c r="A842" s="41" t="s">
        <v>31</v>
      </c>
      <c r="B842" s="41" t="s">
        <v>32</v>
      </c>
      <c r="C842" s="42">
        <v>46384</v>
      </c>
      <c r="D842" s="43">
        <v>0</v>
      </c>
      <c r="E842" s="43">
        <v>20</v>
      </c>
      <c r="F842" s="43">
        <v>20</v>
      </c>
      <c r="G842" s="43">
        <v>28</v>
      </c>
      <c r="H842" s="43">
        <v>40</v>
      </c>
      <c r="I842" s="43">
        <v>10</v>
      </c>
      <c r="J842" s="43">
        <v>21449</v>
      </c>
      <c r="K842" s="43">
        <f>SUM(L842:L844)</f>
        <v>6</v>
      </c>
      <c r="L842" s="43">
        <v>2</v>
      </c>
      <c r="M842" s="43"/>
      <c r="N842" s="43">
        <v>4</v>
      </c>
      <c r="O842" s="43">
        <v>3</v>
      </c>
      <c r="P842" s="43">
        <v>7</v>
      </c>
      <c r="Q842" s="43">
        <v>6</v>
      </c>
      <c r="R842" s="43">
        <v>9</v>
      </c>
      <c r="S842" s="43">
        <v>9</v>
      </c>
      <c r="T842" s="43">
        <v>25</v>
      </c>
      <c r="U842" s="43">
        <v>4</v>
      </c>
      <c r="V842" s="41" t="s">
        <v>33</v>
      </c>
      <c r="W842" s="41" t="s">
        <v>34</v>
      </c>
      <c r="X842" s="41">
        <v>1</v>
      </c>
      <c r="Y842" s="41">
        <v>3</v>
      </c>
      <c r="Z842" s="41">
        <v>322</v>
      </c>
      <c r="AA842" s="44">
        <v>34</v>
      </c>
      <c r="AB842" s="44">
        <v>34</v>
      </c>
      <c r="AC842" s="43">
        <v>45</v>
      </c>
      <c r="AD842" s="43">
        <v>30</v>
      </c>
      <c r="AE842" s="43">
        <v>45</v>
      </c>
    </row>
    <row r="843" spans="1:337" x14ac:dyDescent="0.35">
      <c r="A843" s="32" t="s">
        <v>31</v>
      </c>
      <c r="B843" s="32" t="s">
        <v>35</v>
      </c>
      <c r="C843" s="33">
        <v>46384</v>
      </c>
      <c r="D843" s="34">
        <v>13</v>
      </c>
      <c r="E843" s="34">
        <v>24</v>
      </c>
      <c r="F843" s="34">
        <v>25</v>
      </c>
      <c r="G843" s="141"/>
      <c r="H843" s="141"/>
      <c r="I843" s="141"/>
      <c r="J843" s="141"/>
      <c r="K843" s="141"/>
      <c r="L843" s="34">
        <v>2</v>
      </c>
      <c r="M843" s="34">
        <v>5</v>
      </c>
      <c r="N843" s="34">
        <v>4</v>
      </c>
      <c r="O843" s="34">
        <v>4</v>
      </c>
      <c r="P843" s="32">
        <v>7</v>
      </c>
      <c r="Q843" s="32">
        <v>7</v>
      </c>
      <c r="R843" s="32">
        <v>8</v>
      </c>
      <c r="S843" s="32">
        <v>6</v>
      </c>
      <c r="T843" s="143"/>
      <c r="U843" s="143"/>
      <c r="V843" s="32" t="s">
        <v>36</v>
      </c>
      <c r="W843" s="32" t="s">
        <v>37</v>
      </c>
      <c r="X843" s="32">
        <v>1</v>
      </c>
      <c r="Y843" s="143"/>
      <c r="Z843" s="143"/>
      <c r="AA843" s="145"/>
      <c r="AB843" s="145"/>
      <c r="AC843" s="141"/>
      <c r="AD843" s="141"/>
      <c r="AE843" s="141"/>
    </row>
    <row r="844" spans="1:337" ht="15" thickBot="1" x14ac:dyDescent="0.4">
      <c r="A844" s="45" t="s">
        <v>31</v>
      </c>
      <c r="B844" s="45" t="s">
        <v>38</v>
      </c>
      <c r="C844" s="46">
        <v>46384</v>
      </c>
      <c r="D844" s="47"/>
      <c r="E844" s="47"/>
      <c r="F844" s="47"/>
      <c r="G844" s="142"/>
      <c r="H844" s="142"/>
      <c r="I844" s="142"/>
      <c r="J844" s="142"/>
      <c r="K844" s="142"/>
      <c r="L844" s="47">
        <v>2</v>
      </c>
      <c r="M844" s="47"/>
      <c r="N844" s="47"/>
      <c r="O844" s="47"/>
      <c r="P844" s="47"/>
      <c r="Q844" s="47"/>
      <c r="R844" s="47"/>
      <c r="S844" s="47"/>
      <c r="T844" s="144"/>
      <c r="U844" s="144"/>
      <c r="V844" s="45"/>
      <c r="W844" s="45"/>
      <c r="X844" s="47"/>
      <c r="Y844" s="144"/>
      <c r="Z844" s="144"/>
      <c r="AA844" s="146"/>
      <c r="AB844" s="146"/>
      <c r="AC844" s="142"/>
      <c r="AD844" s="142"/>
      <c r="AE844" s="142"/>
    </row>
    <row r="845" spans="1:337" s="53" customFormat="1" ht="15" thickBot="1" x14ac:dyDescent="0.4">
      <c r="A845" s="49"/>
      <c r="B845" s="49"/>
      <c r="C845" s="50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49"/>
      <c r="U845" s="49"/>
      <c r="V845" s="49"/>
      <c r="W845" s="49"/>
      <c r="X845" s="51"/>
      <c r="Y845" s="49"/>
      <c r="Z845" s="49"/>
      <c r="AA845" s="52"/>
      <c r="AB845" s="52"/>
      <c r="AC845" s="51"/>
      <c r="AD845" s="51"/>
      <c r="AE845" s="51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  <c r="EV845"/>
      <c r="EW845"/>
      <c r="EX845"/>
      <c r="EY845"/>
      <c r="EZ845"/>
      <c r="FA845"/>
      <c r="FB845"/>
      <c r="FC845"/>
      <c r="FD845"/>
      <c r="FE845"/>
      <c r="FF845"/>
      <c r="FG845"/>
      <c r="FH845"/>
      <c r="FI845"/>
      <c r="FJ845"/>
      <c r="FK845"/>
      <c r="FL845"/>
      <c r="FM845"/>
      <c r="FN845"/>
      <c r="FO845"/>
      <c r="FP845"/>
      <c r="FQ845"/>
      <c r="FR845"/>
      <c r="FS845"/>
      <c r="FT845"/>
      <c r="FU845"/>
      <c r="FV845"/>
      <c r="FW845"/>
      <c r="FX845"/>
      <c r="FY845"/>
      <c r="FZ845"/>
      <c r="GA845"/>
      <c r="GB845"/>
      <c r="GC845"/>
      <c r="GD845"/>
      <c r="GE845"/>
      <c r="GF845"/>
      <c r="GG845"/>
      <c r="GH845"/>
      <c r="GI845"/>
      <c r="GJ845"/>
      <c r="GK845"/>
      <c r="GL845"/>
      <c r="GM845"/>
      <c r="GN845"/>
      <c r="GO845"/>
      <c r="GP845"/>
      <c r="GQ845"/>
      <c r="GR845"/>
      <c r="GS845"/>
      <c r="GT845"/>
      <c r="GU845"/>
      <c r="GV845"/>
      <c r="GW845"/>
      <c r="GX845"/>
      <c r="GY845"/>
      <c r="GZ845"/>
      <c r="HA845"/>
      <c r="HB845"/>
      <c r="HC845"/>
      <c r="HD845"/>
      <c r="HE845"/>
      <c r="HF845"/>
      <c r="HG845"/>
      <c r="HH845"/>
      <c r="HI845"/>
      <c r="HJ845"/>
      <c r="HK845"/>
      <c r="HL845"/>
      <c r="HM845"/>
      <c r="HN845"/>
      <c r="HO845"/>
      <c r="HP845"/>
      <c r="HQ845"/>
      <c r="HR845"/>
      <c r="HS845"/>
      <c r="HT845"/>
      <c r="HU845"/>
      <c r="HV845"/>
      <c r="HW845"/>
      <c r="HX845"/>
      <c r="HY845"/>
      <c r="HZ845"/>
      <c r="IA845"/>
      <c r="IB845"/>
      <c r="IC845"/>
      <c r="ID845"/>
      <c r="IE845"/>
      <c r="IF845"/>
      <c r="IG845"/>
      <c r="IH845"/>
      <c r="II845"/>
      <c r="IJ845"/>
      <c r="IK845"/>
      <c r="IL845"/>
      <c r="IM845"/>
      <c r="IN845"/>
      <c r="IO845"/>
      <c r="IP845"/>
      <c r="IQ845"/>
      <c r="IR845"/>
      <c r="IS845"/>
      <c r="IT845"/>
      <c r="IU845"/>
      <c r="IV845"/>
      <c r="IW845"/>
      <c r="IX845"/>
      <c r="IY845"/>
      <c r="IZ845"/>
      <c r="JA845"/>
      <c r="JB845"/>
      <c r="JC845"/>
      <c r="JD845"/>
      <c r="JE845"/>
      <c r="JF845"/>
      <c r="JG845"/>
      <c r="JH845"/>
      <c r="JI845"/>
      <c r="JJ845"/>
      <c r="JK845"/>
      <c r="JL845"/>
      <c r="JM845"/>
      <c r="JN845"/>
      <c r="JO845"/>
      <c r="JP845"/>
      <c r="JQ845"/>
      <c r="JR845"/>
      <c r="JS845"/>
      <c r="JT845"/>
      <c r="JU845"/>
      <c r="JV845"/>
      <c r="JW845"/>
      <c r="JX845"/>
      <c r="JY845"/>
      <c r="JZ845"/>
      <c r="KA845"/>
      <c r="KB845"/>
      <c r="KC845"/>
      <c r="KD845"/>
      <c r="KE845"/>
      <c r="KF845"/>
      <c r="KG845"/>
      <c r="KH845"/>
      <c r="KI845"/>
      <c r="KJ845"/>
      <c r="KK845"/>
      <c r="KL845"/>
      <c r="KM845"/>
      <c r="KN845"/>
      <c r="KO845"/>
      <c r="KP845"/>
      <c r="KQ845"/>
      <c r="KR845"/>
      <c r="KS845"/>
      <c r="KT845"/>
      <c r="KU845"/>
      <c r="KV845"/>
      <c r="KW845"/>
      <c r="KX845"/>
      <c r="KY845"/>
      <c r="KZ845"/>
      <c r="LA845"/>
      <c r="LB845"/>
      <c r="LC845"/>
      <c r="LD845"/>
      <c r="LE845"/>
      <c r="LF845"/>
      <c r="LG845"/>
      <c r="LH845"/>
      <c r="LI845"/>
      <c r="LJ845"/>
      <c r="LK845"/>
      <c r="LL845"/>
      <c r="LM845"/>
      <c r="LN845"/>
      <c r="LO845"/>
      <c r="LP845"/>
      <c r="LQ845"/>
      <c r="LR845"/>
      <c r="LS845"/>
      <c r="LT845"/>
      <c r="LU845"/>
      <c r="LV845"/>
      <c r="LW845"/>
      <c r="LX845"/>
      <c r="LY845"/>
    </row>
    <row r="846" spans="1:337" x14ac:dyDescent="0.35">
      <c r="A846" s="41" t="s">
        <v>31</v>
      </c>
      <c r="B846" s="41" t="s">
        <v>32</v>
      </c>
      <c r="C846" s="42">
        <v>46385</v>
      </c>
      <c r="D846" s="43">
        <v>0</v>
      </c>
      <c r="E846" s="43">
        <v>20</v>
      </c>
      <c r="F846" s="43">
        <v>20</v>
      </c>
      <c r="G846" s="43">
        <v>28</v>
      </c>
      <c r="H846" s="43">
        <v>40</v>
      </c>
      <c r="I846" s="43">
        <v>10</v>
      </c>
      <c r="J846" s="43">
        <v>21449</v>
      </c>
      <c r="K846" s="43">
        <f>SUM(L846:L848)</f>
        <v>6</v>
      </c>
      <c r="L846" s="43">
        <v>2</v>
      </c>
      <c r="M846" s="43"/>
      <c r="N846" s="43">
        <v>4</v>
      </c>
      <c r="O846" s="43">
        <v>3</v>
      </c>
      <c r="P846" s="43">
        <v>7</v>
      </c>
      <c r="Q846" s="43">
        <v>6</v>
      </c>
      <c r="R846" s="43">
        <v>9</v>
      </c>
      <c r="S846" s="43">
        <v>9</v>
      </c>
      <c r="T846" s="43">
        <v>25</v>
      </c>
      <c r="U846" s="43">
        <v>4</v>
      </c>
      <c r="V846" s="41" t="s">
        <v>33</v>
      </c>
      <c r="W846" s="41" t="s">
        <v>34</v>
      </c>
      <c r="X846" s="41">
        <v>1</v>
      </c>
      <c r="Y846" s="41">
        <v>3</v>
      </c>
      <c r="Z846" s="41">
        <v>322</v>
      </c>
      <c r="AA846" s="44">
        <v>34</v>
      </c>
      <c r="AB846" s="44">
        <v>34</v>
      </c>
      <c r="AC846" s="43">
        <v>45</v>
      </c>
      <c r="AD846" s="43">
        <v>30</v>
      </c>
      <c r="AE846" s="43">
        <v>45</v>
      </c>
    </row>
    <row r="847" spans="1:337" x14ac:dyDescent="0.35">
      <c r="A847" s="32" t="s">
        <v>31</v>
      </c>
      <c r="B847" s="32" t="s">
        <v>35</v>
      </c>
      <c r="C847" s="33">
        <v>46385</v>
      </c>
      <c r="D847" s="34">
        <v>13</v>
      </c>
      <c r="E847" s="34">
        <v>24</v>
      </c>
      <c r="F847" s="34">
        <v>25</v>
      </c>
      <c r="G847" s="141"/>
      <c r="H847" s="141"/>
      <c r="I847" s="141"/>
      <c r="J847" s="141"/>
      <c r="K847" s="141"/>
      <c r="L847" s="34">
        <v>2</v>
      </c>
      <c r="M847" s="34">
        <v>5</v>
      </c>
      <c r="N847" s="34">
        <v>4</v>
      </c>
      <c r="O847" s="34">
        <v>4</v>
      </c>
      <c r="P847" s="32">
        <v>7</v>
      </c>
      <c r="Q847" s="32">
        <v>7</v>
      </c>
      <c r="R847" s="32">
        <v>8</v>
      </c>
      <c r="S847" s="32">
        <v>6</v>
      </c>
      <c r="T847" s="143"/>
      <c r="U847" s="143"/>
      <c r="V847" s="32" t="s">
        <v>36</v>
      </c>
      <c r="W847" s="32" t="s">
        <v>37</v>
      </c>
      <c r="X847" s="32">
        <v>1</v>
      </c>
      <c r="Y847" s="143"/>
      <c r="Z847" s="143"/>
      <c r="AA847" s="145"/>
      <c r="AB847" s="145"/>
      <c r="AC847" s="141"/>
      <c r="AD847" s="141"/>
      <c r="AE847" s="141"/>
    </row>
    <row r="848" spans="1:337" ht="15" thickBot="1" x14ac:dyDescent="0.4">
      <c r="A848" s="45" t="s">
        <v>31</v>
      </c>
      <c r="B848" s="45" t="s">
        <v>38</v>
      </c>
      <c r="C848" s="46">
        <v>46385</v>
      </c>
      <c r="D848" s="47"/>
      <c r="E848" s="47"/>
      <c r="F848" s="47"/>
      <c r="G848" s="142"/>
      <c r="H848" s="142"/>
      <c r="I848" s="142"/>
      <c r="J848" s="142"/>
      <c r="K848" s="142"/>
      <c r="L848" s="47">
        <v>2</v>
      </c>
      <c r="M848" s="47"/>
      <c r="N848" s="47"/>
      <c r="O848" s="47"/>
      <c r="P848" s="47"/>
      <c r="Q848" s="47"/>
      <c r="R848" s="47"/>
      <c r="S848" s="47"/>
      <c r="T848" s="144"/>
      <c r="U848" s="144"/>
      <c r="V848" s="45"/>
      <c r="W848" s="45"/>
      <c r="X848" s="47"/>
      <c r="Y848" s="144"/>
      <c r="Z848" s="144"/>
      <c r="AA848" s="146"/>
      <c r="AB848" s="146"/>
      <c r="AC848" s="142"/>
      <c r="AD848" s="142"/>
      <c r="AE848" s="142"/>
    </row>
    <row r="849" spans="1:337" s="53" customFormat="1" ht="15" thickBot="1" x14ac:dyDescent="0.4">
      <c r="A849" s="49"/>
      <c r="B849" s="49"/>
      <c r="C849" s="50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49"/>
      <c r="U849" s="49"/>
      <c r="V849" s="49"/>
      <c r="W849" s="49"/>
      <c r="X849" s="51"/>
      <c r="Y849" s="49"/>
      <c r="Z849" s="49"/>
      <c r="AA849" s="52"/>
      <c r="AB849" s="52"/>
      <c r="AC849" s="51"/>
      <c r="AD849" s="51"/>
      <c r="AE849" s="51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/>
      <c r="ET849"/>
      <c r="EU849"/>
      <c r="EV849"/>
      <c r="EW849"/>
      <c r="EX849"/>
      <c r="EY849"/>
      <c r="EZ849"/>
      <c r="FA849"/>
      <c r="FB849"/>
      <c r="FC849"/>
      <c r="FD849"/>
      <c r="FE849"/>
      <c r="FF849"/>
      <c r="FG849"/>
      <c r="FH849"/>
      <c r="FI849"/>
      <c r="FJ849"/>
      <c r="FK849"/>
      <c r="FL849"/>
      <c r="FM849"/>
      <c r="FN849"/>
      <c r="FO849"/>
      <c r="FP849"/>
      <c r="FQ849"/>
      <c r="FR849"/>
      <c r="FS849"/>
      <c r="FT849"/>
      <c r="FU849"/>
      <c r="FV849"/>
      <c r="FW849"/>
      <c r="FX849"/>
      <c r="FY849"/>
      <c r="FZ849"/>
      <c r="GA849"/>
      <c r="GB849"/>
      <c r="GC849"/>
      <c r="GD849"/>
      <c r="GE849"/>
      <c r="GF849"/>
      <c r="GG849"/>
      <c r="GH849"/>
      <c r="GI849"/>
      <c r="GJ849"/>
      <c r="GK849"/>
      <c r="GL849"/>
      <c r="GM849"/>
      <c r="GN849"/>
      <c r="GO849"/>
      <c r="GP849"/>
      <c r="GQ849"/>
      <c r="GR849"/>
      <c r="GS849"/>
      <c r="GT849"/>
      <c r="GU849"/>
      <c r="GV849"/>
      <c r="GW849"/>
      <c r="GX849"/>
      <c r="GY849"/>
      <c r="GZ849"/>
      <c r="HA849"/>
      <c r="HB849"/>
      <c r="HC849"/>
      <c r="HD849"/>
      <c r="HE849"/>
      <c r="HF849"/>
      <c r="HG849"/>
      <c r="HH849"/>
      <c r="HI849"/>
      <c r="HJ849"/>
      <c r="HK849"/>
      <c r="HL849"/>
      <c r="HM849"/>
      <c r="HN849"/>
      <c r="HO849"/>
      <c r="HP849"/>
      <c r="HQ849"/>
      <c r="HR849"/>
      <c r="HS849"/>
      <c r="HT849"/>
      <c r="HU849"/>
      <c r="HV849"/>
      <c r="HW849"/>
      <c r="HX849"/>
      <c r="HY849"/>
      <c r="HZ849"/>
      <c r="IA849"/>
      <c r="IB849"/>
      <c r="IC849"/>
      <c r="ID849"/>
      <c r="IE849"/>
      <c r="IF849"/>
      <c r="IG849"/>
      <c r="IH849"/>
      <c r="II849"/>
      <c r="IJ849"/>
      <c r="IK849"/>
      <c r="IL849"/>
      <c r="IM849"/>
      <c r="IN849"/>
      <c r="IO849"/>
      <c r="IP849"/>
      <c r="IQ849"/>
      <c r="IR849"/>
      <c r="IS849"/>
      <c r="IT849"/>
      <c r="IU849"/>
      <c r="IV849"/>
      <c r="IW849"/>
      <c r="IX849"/>
      <c r="IY849"/>
      <c r="IZ849"/>
      <c r="JA849"/>
      <c r="JB849"/>
      <c r="JC849"/>
      <c r="JD849"/>
      <c r="JE849"/>
      <c r="JF849"/>
      <c r="JG849"/>
      <c r="JH849"/>
      <c r="JI849"/>
      <c r="JJ849"/>
      <c r="JK849"/>
      <c r="JL849"/>
      <c r="JM849"/>
      <c r="JN849"/>
      <c r="JO849"/>
      <c r="JP849"/>
      <c r="JQ849"/>
      <c r="JR849"/>
      <c r="JS849"/>
      <c r="JT849"/>
      <c r="JU849"/>
      <c r="JV849"/>
      <c r="JW849"/>
      <c r="JX849"/>
      <c r="JY849"/>
      <c r="JZ849"/>
      <c r="KA849"/>
      <c r="KB849"/>
      <c r="KC849"/>
      <c r="KD849"/>
      <c r="KE849"/>
      <c r="KF849"/>
      <c r="KG849"/>
      <c r="KH849"/>
      <c r="KI849"/>
      <c r="KJ849"/>
      <c r="KK849"/>
      <c r="KL849"/>
      <c r="KM849"/>
      <c r="KN849"/>
      <c r="KO849"/>
      <c r="KP849"/>
      <c r="KQ849"/>
      <c r="KR849"/>
      <c r="KS849"/>
      <c r="KT849"/>
      <c r="KU849"/>
      <c r="KV849"/>
      <c r="KW849"/>
      <c r="KX849"/>
      <c r="KY849"/>
      <c r="KZ849"/>
      <c r="LA849"/>
      <c r="LB849"/>
      <c r="LC849"/>
      <c r="LD849"/>
      <c r="LE849"/>
      <c r="LF849"/>
      <c r="LG849"/>
      <c r="LH849"/>
      <c r="LI849"/>
      <c r="LJ849"/>
      <c r="LK849"/>
      <c r="LL849"/>
      <c r="LM849"/>
      <c r="LN849"/>
      <c r="LO849"/>
      <c r="LP849"/>
      <c r="LQ849"/>
      <c r="LR849"/>
      <c r="LS849"/>
      <c r="LT849"/>
      <c r="LU849"/>
      <c r="LV849"/>
      <c r="LW849"/>
      <c r="LX849"/>
      <c r="LY849"/>
    </row>
    <row r="850" spans="1:337" x14ac:dyDescent="0.35">
      <c r="A850" s="41" t="s">
        <v>31</v>
      </c>
      <c r="B850" s="41" t="s">
        <v>32</v>
      </c>
      <c r="C850" s="42">
        <v>46386</v>
      </c>
      <c r="D850" s="43">
        <v>0</v>
      </c>
      <c r="E850" s="43">
        <v>20</v>
      </c>
      <c r="F850" s="43">
        <v>20</v>
      </c>
      <c r="G850" s="43">
        <v>28</v>
      </c>
      <c r="H850" s="43">
        <v>40</v>
      </c>
      <c r="I850" s="43">
        <v>10</v>
      </c>
      <c r="J850" s="43">
        <v>21449</v>
      </c>
      <c r="K850" s="43">
        <f>SUM(L850:L852)</f>
        <v>6</v>
      </c>
      <c r="L850" s="43">
        <v>2</v>
      </c>
      <c r="M850" s="43"/>
      <c r="N850" s="43">
        <v>4</v>
      </c>
      <c r="O850" s="43">
        <v>3</v>
      </c>
      <c r="P850" s="43">
        <v>7</v>
      </c>
      <c r="Q850" s="43">
        <v>6</v>
      </c>
      <c r="R850" s="43">
        <v>9</v>
      </c>
      <c r="S850" s="43">
        <v>9</v>
      </c>
      <c r="T850" s="43">
        <v>25</v>
      </c>
      <c r="U850" s="43">
        <v>4</v>
      </c>
      <c r="V850" s="41" t="s">
        <v>33</v>
      </c>
      <c r="W850" s="41" t="s">
        <v>34</v>
      </c>
      <c r="X850" s="41">
        <v>1</v>
      </c>
      <c r="Y850" s="41">
        <v>3</v>
      </c>
      <c r="Z850" s="41">
        <v>322</v>
      </c>
      <c r="AA850" s="44">
        <v>34</v>
      </c>
      <c r="AB850" s="44">
        <v>34</v>
      </c>
      <c r="AC850" s="43">
        <v>45</v>
      </c>
      <c r="AD850" s="43">
        <v>30</v>
      </c>
      <c r="AE850" s="43">
        <v>45</v>
      </c>
    </row>
    <row r="851" spans="1:337" x14ac:dyDescent="0.35">
      <c r="A851" s="32" t="s">
        <v>31</v>
      </c>
      <c r="B851" s="32" t="s">
        <v>35</v>
      </c>
      <c r="C851" s="33">
        <v>46386</v>
      </c>
      <c r="D851" s="34">
        <v>13</v>
      </c>
      <c r="E851" s="34">
        <v>24</v>
      </c>
      <c r="F851" s="34">
        <v>25</v>
      </c>
      <c r="G851" s="141"/>
      <c r="H851" s="141"/>
      <c r="I851" s="141"/>
      <c r="J851" s="141"/>
      <c r="K851" s="141"/>
      <c r="L851" s="34">
        <v>2</v>
      </c>
      <c r="M851" s="34">
        <v>5</v>
      </c>
      <c r="N851" s="34">
        <v>4</v>
      </c>
      <c r="O851" s="34">
        <v>4</v>
      </c>
      <c r="P851" s="32">
        <v>7</v>
      </c>
      <c r="Q851" s="32">
        <v>7</v>
      </c>
      <c r="R851" s="32">
        <v>8</v>
      </c>
      <c r="S851" s="32">
        <v>6</v>
      </c>
      <c r="T851" s="143"/>
      <c r="U851" s="143"/>
      <c r="V851" s="32" t="s">
        <v>36</v>
      </c>
      <c r="W851" s="32" t="s">
        <v>37</v>
      </c>
      <c r="X851" s="32">
        <v>1</v>
      </c>
      <c r="Y851" s="143"/>
      <c r="Z851" s="143"/>
      <c r="AA851" s="145"/>
      <c r="AB851" s="145"/>
      <c r="AC851" s="141"/>
      <c r="AD851" s="141"/>
      <c r="AE851" s="141"/>
    </row>
    <row r="852" spans="1:337" ht="15" thickBot="1" x14ac:dyDescent="0.4">
      <c r="A852" s="45" t="s">
        <v>31</v>
      </c>
      <c r="B852" s="45" t="s">
        <v>38</v>
      </c>
      <c r="C852" s="46">
        <v>46386</v>
      </c>
      <c r="D852" s="47"/>
      <c r="E852" s="47"/>
      <c r="F852" s="47"/>
      <c r="G852" s="142"/>
      <c r="H852" s="142"/>
      <c r="I852" s="142"/>
      <c r="J852" s="142"/>
      <c r="K852" s="142"/>
      <c r="L852" s="47">
        <v>2</v>
      </c>
      <c r="M852" s="47"/>
      <c r="N852" s="47"/>
      <c r="O852" s="47"/>
      <c r="P852" s="47"/>
      <c r="Q852" s="47"/>
      <c r="R852" s="47"/>
      <c r="S852" s="47"/>
      <c r="T852" s="144"/>
      <c r="U852" s="144"/>
      <c r="V852" s="45"/>
      <c r="W852" s="45"/>
      <c r="X852" s="47"/>
      <c r="Y852" s="144"/>
      <c r="Z852" s="144"/>
      <c r="AA852" s="146"/>
      <c r="AB852" s="146"/>
      <c r="AC852" s="142"/>
      <c r="AD852" s="142"/>
      <c r="AE852" s="142"/>
    </row>
    <row r="853" spans="1:337" s="53" customFormat="1" ht="15" thickBot="1" x14ac:dyDescent="0.4">
      <c r="A853" s="49"/>
      <c r="B853" s="49"/>
      <c r="C853" s="50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49"/>
      <c r="U853" s="49"/>
      <c r="V853" s="49"/>
      <c r="W853" s="49"/>
      <c r="X853" s="51"/>
      <c r="Y853" s="49"/>
      <c r="Z853" s="49"/>
      <c r="AA853" s="52"/>
      <c r="AB853" s="52"/>
      <c r="AC853" s="51"/>
      <c r="AD853" s="51"/>
      <c r="AE853" s="51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/>
      <c r="EE853"/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/>
      <c r="ET853"/>
      <c r="EU853"/>
      <c r="EV853"/>
      <c r="EW853"/>
      <c r="EX853"/>
      <c r="EY853"/>
      <c r="EZ853"/>
      <c r="FA853"/>
      <c r="FB853"/>
      <c r="FC853"/>
      <c r="FD853"/>
      <c r="FE853"/>
      <c r="FF853"/>
      <c r="FG853"/>
      <c r="FH853"/>
      <c r="FI853"/>
      <c r="FJ853"/>
      <c r="FK853"/>
      <c r="FL853"/>
      <c r="FM853"/>
      <c r="FN853"/>
      <c r="FO853"/>
      <c r="FP853"/>
      <c r="FQ853"/>
      <c r="FR853"/>
      <c r="FS853"/>
      <c r="FT853"/>
      <c r="FU853"/>
      <c r="FV853"/>
      <c r="FW853"/>
      <c r="FX853"/>
      <c r="FY853"/>
      <c r="FZ853"/>
      <c r="GA853"/>
      <c r="GB853"/>
      <c r="GC853"/>
      <c r="GD853"/>
      <c r="GE853"/>
      <c r="GF853"/>
      <c r="GG853"/>
      <c r="GH853"/>
      <c r="GI853"/>
      <c r="GJ853"/>
      <c r="GK853"/>
      <c r="GL853"/>
      <c r="GM853"/>
      <c r="GN853"/>
      <c r="GO853"/>
      <c r="GP853"/>
      <c r="GQ853"/>
      <c r="GR853"/>
      <c r="GS853"/>
      <c r="GT853"/>
      <c r="GU853"/>
      <c r="GV853"/>
      <c r="GW853"/>
      <c r="GX853"/>
      <c r="GY853"/>
      <c r="GZ853"/>
      <c r="HA853"/>
      <c r="HB853"/>
      <c r="HC853"/>
      <c r="HD853"/>
      <c r="HE853"/>
      <c r="HF853"/>
      <c r="HG853"/>
      <c r="HH853"/>
      <c r="HI853"/>
      <c r="HJ853"/>
      <c r="HK853"/>
      <c r="HL853"/>
      <c r="HM853"/>
      <c r="HN853"/>
      <c r="HO853"/>
      <c r="HP853"/>
      <c r="HQ853"/>
      <c r="HR853"/>
      <c r="HS853"/>
      <c r="HT853"/>
      <c r="HU853"/>
      <c r="HV853"/>
      <c r="HW853"/>
      <c r="HX853"/>
      <c r="HY853"/>
      <c r="HZ853"/>
      <c r="IA853"/>
      <c r="IB853"/>
      <c r="IC853"/>
      <c r="ID853"/>
      <c r="IE853"/>
      <c r="IF853"/>
      <c r="IG853"/>
      <c r="IH853"/>
      <c r="II853"/>
      <c r="IJ853"/>
      <c r="IK853"/>
      <c r="IL853"/>
      <c r="IM853"/>
      <c r="IN853"/>
      <c r="IO853"/>
      <c r="IP853"/>
      <c r="IQ853"/>
      <c r="IR853"/>
      <c r="IS853"/>
      <c r="IT853"/>
      <c r="IU853"/>
      <c r="IV853"/>
      <c r="IW853"/>
      <c r="IX853"/>
      <c r="IY853"/>
      <c r="IZ853"/>
      <c r="JA853"/>
      <c r="JB853"/>
      <c r="JC853"/>
      <c r="JD853"/>
      <c r="JE853"/>
      <c r="JF853"/>
      <c r="JG853"/>
      <c r="JH853"/>
      <c r="JI853"/>
      <c r="JJ853"/>
      <c r="JK853"/>
      <c r="JL853"/>
      <c r="JM853"/>
      <c r="JN853"/>
      <c r="JO853"/>
      <c r="JP853"/>
      <c r="JQ853"/>
      <c r="JR853"/>
      <c r="JS853"/>
      <c r="JT853"/>
      <c r="JU853"/>
      <c r="JV853"/>
      <c r="JW853"/>
      <c r="JX853"/>
      <c r="JY853"/>
      <c r="JZ853"/>
      <c r="KA853"/>
      <c r="KB853"/>
      <c r="KC853"/>
      <c r="KD853"/>
      <c r="KE853"/>
      <c r="KF853"/>
      <c r="KG853"/>
      <c r="KH853"/>
      <c r="KI853"/>
      <c r="KJ853"/>
      <c r="KK853"/>
      <c r="KL853"/>
      <c r="KM853"/>
      <c r="KN853"/>
      <c r="KO853"/>
      <c r="KP853"/>
      <c r="KQ853"/>
      <c r="KR853"/>
      <c r="KS853"/>
      <c r="KT853"/>
      <c r="KU853"/>
      <c r="KV853"/>
      <c r="KW853"/>
      <c r="KX853"/>
      <c r="KY853"/>
      <c r="KZ853"/>
      <c r="LA853"/>
      <c r="LB853"/>
      <c r="LC853"/>
      <c r="LD853"/>
      <c r="LE853"/>
      <c r="LF853"/>
      <c r="LG853"/>
      <c r="LH853"/>
      <c r="LI853"/>
      <c r="LJ853"/>
      <c r="LK853"/>
      <c r="LL853"/>
      <c r="LM853"/>
      <c r="LN853"/>
      <c r="LO853"/>
      <c r="LP853"/>
      <c r="LQ853"/>
      <c r="LR853"/>
      <c r="LS853"/>
      <c r="LT853"/>
      <c r="LU853"/>
      <c r="LV853"/>
      <c r="LW853"/>
      <c r="LX853"/>
      <c r="LY853"/>
    </row>
    <row r="854" spans="1:337" x14ac:dyDescent="0.35">
      <c r="A854" s="41" t="s">
        <v>31</v>
      </c>
      <c r="B854" s="41" t="s">
        <v>32</v>
      </c>
      <c r="C854" s="42">
        <v>46388</v>
      </c>
      <c r="D854" s="43">
        <v>0</v>
      </c>
      <c r="E854" s="43">
        <v>20</v>
      </c>
      <c r="F854" s="43">
        <v>20</v>
      </c>
      <c r="G854" s="43">
        <v>28</v>
      </c>
      <c r="H854" s="43">
        <v>40</v>
      </c>
      <c r="I854" s="43">
        <v>10</v>
      </c>
      <c r="J854" s="43">
        <v>21449</v>
      </c>
      <c r="K854" s="43">
        <f>SUM(L854:L856)</f>
        <v>6</v>
      </c>
      <c r="L854" s="43">
        <v>2</v>
      </c>
      <c r="M854" s="43"/>
      <c r="N854" s="43">
        <v>4</v>
      </c>
      <c r="O854" s="43">
        <v>3</v>
      </c>
      <c r="P854" s="43">
        <v>7</v>
      </c>
      <c r="Q854" s="43">
        <v>6</v>
      </c>
      <c r="R854" s="43">
        <v>9</v>
      </c>
      <c r="S854" s="43">
        <v>9</v>
      </c>
      <c r="T854" s="43">
        <v>25</v>
      </c>
      <c r="U854" s="43">
        <v>4</v>
      </c>
      <c r="V854" s="41" t="s">
        <v>33</v>
      </c>
      <c r="W854" s="41" t="s">
        <v>34</v>
      </c>
      <c r="X854" s="41">
        <v>1</v>
      </c>
      <c r="Y854" s="41">
        <v>3</v>
      </c>
      <c r="Z854" s="41">
        <v>322</v>
      </c>
      <c r="AA854" s="44">
        <v>34</v>
      </c>
      <c r="AB854" s="44">
        <v>34</v>
      </c>
      <c r="AC854" s="43">
        <v>45</v>
      </c>
      <c r="AD854" s="43">
        <v>30</v>
      </c>
      <c r="AE854" s="43">
        <v>45</v>
      </c>
    </row>
    <row r="855" spans="1:337" x14ac:dyDescent="0.35">
      <c r="A855" s="32" t="s">
        <v>31</v>
      </c>
      <c r="B855" s="32" t="s">
        <v>35</v>
      </c>
      <c r="C855" s="33">
        <v>46388</v>
      </c>
      <c r="D855" s="34">
        <v>13</v>
      </c>
      <c r="E855" s="34">
        <v>24</v>
      </c>
      <c r="F855" s="34">
        <v>25</v>
      </c>
      <c r="G855" s="141"/>
      <c r="H855" s="141"/>
      <c r="I855" s="141"/>
      <c r="J855" s="141"/>
      <c r="K855" s="141"/>
      <c r="L855" s="34">
        <v>2</v>
      </c>
      <c r="M855" s="34">
        <v>5</v>
      </c>
      <c r="N855" s="34">
        <v>4</v>
      </c>
      <c r="O855" s="34">
        <v>4</v>
      </c>
      <c r="P855" s="32">
        <v>7</v>
      </c>
      <c r="Q855" s="32">
        <v>7</v>
      </c>
      <c r="R855" s="32">
        <v>8</v>
      </c>
      <c r="S855" s="32">
        <v>6</v>
      </c>
      <c r="T855" s="143"/>
      <c r="U855" s="143"/>
      <c r="V855" s="32" t="s">
        <v>36</v>
      </c>
      <c r="W855" s="32" t="s">
        <v>37</v>
      </c>
      <c r="X855" s="32">
        <v>1</v>
      </c>
      <c r="Y855" s="143"/>
      <c r="Z855" s="143"/>
      <c r="AA855" s="145"/>
      <c r="AB855" s="145"/>
      <c r="AC855" s="141"/>
      <c r="AD855" s="141"/>
      <c r="AE855" s="141"/>
    </row>
    <row r="856" spans="1:337" ht="15" thickBot="1" x14ac:dyDescent="0.4">
      <c r="A856" s="45" t="s">
        <v>31</v>
      </c>
      <c r="B856" s="45" t="s">
        <v>38</v>
      </c>
      <c r="C856" s="46">
        <v>46388</v>
      </c>
      <c r="D856" s="47"/>
      <c r="E856" s="47"/>
      <c r="F856" s="47"/>
      <c r="G856" s="142"/>
      <c r="H856" s="142"/>
      <c r="I856" s="142"/>
      <c r="J856" s="142"/>
      <c r="K856" s="142"/>
      <c r="L856" s="47">
        <v>2</v>
      </c>
      <c r="M856" s="47"/>
      <c r="N856" s="47"/>
      <c r="O856" s="47"/>
      <c r="P856" s="47"/>
      <c r="Q856" s="47"/>
      <c r="R856" s="47"/>
      <c r="S856" s="47"/>
      <c r="T856" s="144"/>
      <c r="U856" s="144"/>
      <c r="V856" s="45"/>
      <c r="W856" s="45"/>
      <c r="X856" s="47"/>
      <c r="Y856" s="144"/>
      <c r="Z856" s="144"/>
      <c r="AA856" s="146"/>
      <c r="AB856" s="146"/>
      <c r="AC856" s="142"/>
      <c r="AD856" s="142"/>
      <c r="AE856" s="142"/>
    </row>
    <row r="857" spans="1:337" x14ac:dyDescent="0.35">
      <c r="A857" s="41"/>
      <c r="B857" s="41"/>
      <c r="C857" s="42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1"/>
      <c r="W857" s="41"/>
      <c r="X857" s="41"/>
      <c r="Y857" s="41"/>
      <c r="Z857" s="41"/>
      <c r="AA857" s="44"/>
      <c r="AB857" s="44"/>
      <c r="AC857" s="43"/>
      <c r="AD857" s="43"/>
      <c r="AE857" s="43"/>
    </row>
    <row r="858" spans="1:337" x14ac:dyDescent="0.35">
      <c r="C858" s="33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AA858" s="35"/>
      <c r="AB858" s="35"/>
      <c r="AC858" s="34"/>
      <c r="AD858" s="34"/>
      <c r="AE858" s="34"/>
    </row>
    <row r="859" spans="1:337" ht="15" thickBot="1" x14ac:dyDescent="0.4">
      <c r="A859" s="45"/>
      <c r="B859" s="45"/>
      <c r="C859" s="46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5"/>
      <c r="U859" s="45"/>
      <c r="V859" s="45"/>
      <c r="W859" s="45"/>
      <c r="X859" s="47"/>
      <c r="Y859" s="45"/>
      <c r="Z859" s="45"/>
      <c r="AA859" s="48"/>
      <c r="AB859" s="48"/>
      <c r="AC859" s="47"/>
      <c r="AD859" s="47"/>
      <c r="AE859" s="47"/>
    </row>
    <row r="860" spans="1:337" x14ac:dyDescent="0.35">
      <c r="A860" s="41"/>
      <c r="B860" s="41"/>
      <c r="C860" s="42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1"/>
      <c r="W860" s="41"/>
      <c r="X860" s="41"/>
      <c r="Y860" s="41"/>
      <c r="Z860" s="41"/>
      <c r="AA860" s="44"/>
      <c r="AB860" s="44"/>
      <c r="AC860" s="43"/>
      <c r="AD860" s="43"/>
      <c r="AE860" s="43"/>
    </row>
    <row r="861" spans="1:337" x14ac:dyDescent="0.35">
      <c r="C861" s="33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AA861" s="35"/>
      <c r="AB861" s="35"/>
      <c r="AC861" s="34"/>
      <c r="AD861" s="34"/>
      <c r="AE861" s="34"/>
    </row>
    <row r="862" spans="1:337" ht="15" thickBot="1" x14ac:dyDescent="0.4">
      <c r="A862" s="45"/>
      <c r="B862" s="45"/>
      <c r="C862" s="46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5"/>
      <c r="U862" s="45"/>
      <c r="V862" s="45"/>
      <c r="W862" s="45"/>
      <c r="X862" s="47"/>
      <c r="Y862" s="45"/>
      <c r="Z862" s="45"/>
      <c r="AA862" s="48"/>
      <c r="AB862" s="48"/>
      <c r="AC862" s="47"/>
      <c r="AD862" s="47"/>
      <c r="AE862" s="47"/>
    </row>
    <row r="863" spans="1:337" x14ac:dyDescent="0.35">
      <c r="A863" s="41"/>
      <c r="B863" s="41"/>
      <c r="C863" s="42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1"/>
      <c r="W863" s="41"/>
      <c r="X863" s="41"/>
      <c r="Y863" s="41"/>
      <c r="Z863" s="41"/>
      <c r="AA863" s="44"/>
      <c r="AB863" s="44"/>
      <c r="AC863" s="43"/>
      <c r="AD863" s="43"/>
      <c r="AE863" s="43"/>
    </row>
    <row r="864" spans="1:337" x14ac:dyDescent="0.35">
      <c r="C864" s="33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AA864" s="35"/>
      <c r="AB864" s="35"/>
      <c r="AC864" s="34"/>
      <c r="AD864" s="34"/>
      <c r="AE864" s="34"/>
    </row>
    <row r="865" spans="1:31" ht="15" thickBot="1" x14ac:dyDescent="0.4">
      <c r="A865" s="45"/>
      <c r="B865" s="45"/>
      <c r="C865" s="46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5"/>
      <c r="U865" s="45"/>
      <c r="V865" s="45"/>
      <c r="W865" s="45"/>
      <c r="X865" s="47"/>
      <c r="Y865" s="45"/>
      <c r="Z865" s="45"/>
      <c r="AA865" s="48"/>
      <c r="AB865" s="48"/>
      <c r="AC865" s="47"/>
      <c r="AD865" s="47"/>
      <c r="AE865" s="47"/>
    </row>
    <row r="866" spans="1:31" x14ac:dyDescent="0.35">
      <c r="A866" s="41"/>
      <c r="B866" s="41"/>
      <c r="C866" s="42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1"/>
      <c r="W866" s="41"/>
      <c r="X866" s="41"/>
      <c r="Y866" s="41"/>
      <c r="Z866" s="41"/>
      <c r="AA866" s="44"/>
      <c r="AB866" s="44"/>
      <c r="AC866" s="43"/>
      <c r="AD866" s="43"/>
      <c r="AE866" s="43"/>
    </row>
    <row r="867" spans="1:31" x14ac:dyDescent="0.35">
      <c r="C867" s="33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AA867" s="35"/>
      <c r="AB867" s="35"/>
      <c r="AC867" s="34"/>
      <c r="AD867" s="34"/>
      <c r="AE867" s="34"/>
    </row>
    <row r="868" spans="1:31" ht="15" thickBot="1" x14ac:dyDescent="0.4">
      <c r="A868" s="45"/>
      <c r="B868" s="45"/>
      <c r="C868" s="46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5"/>
      <c r="U868" s="45"/>
      <c r="V868" s="45"/>
      <c r="W868" s="45"/>
      <c r="X868" s="47"/>
      <c r="Y868" s="45"/>
      <c r="Z868" s="45"/>
      <c r="AA868" s="48"/>
      <c r="AB868" s="48"/>
      <c r="AC868" s="47"/>
      <c r="AD868" s="47"/>
      <c r="AE868" s="47"/>
    </row>
    <row r="869" spans="1:31" x14ac:dyDescent="0.35">
      <c r="A869" s="41"/>
      <c r="B869" s="41"/>
      <c r="C869" s="42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1"/>
      <c r="W869" s="41"/>
      <c r="X869" s="41"/>
      <c r="Y869" s="41"/>
      <c r="Z869" s="41"/>
      <c r="AA869" s="44"/>
      <c r="AB869" s="44"/>
      <c r="AC869" s="43"/>
      <c r="AD869" s="43"/>
      <c r="AE869" s="43"/>
    </row>
    <row r="870" spans="1:31" x14ac:dyDescent="0.35">
      <c r="C870" s="33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AA870" s="35"/>
      <c r="AB870" s="35"/>
      <c r="AC870" s="34"/>
      <c r="AD870" s="34"/>
      <c r="AE870" s="34"/>
    </row>
    <row r="871" spans="1:31" ht="15" thickBot="1" x14ac:dyDescent="0.4">
      <c r="A871" s="45"/>
      <c r="B871" s="45"/>
      <c r="C871" s="46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5"/>
      <c r="U871" s="45"/>
      <c r="V871" s="45"/>
      <c r="W871" s="45"/>
      <c r="X871" s="47"/>
      <c r="Y871" s="45"/>
      <c r="Z871" s="45"/>
      <c r="AA871" s="48"/>
      <c r="AB871" s="48"/>
      <c r="AC871" s="47"/>
      <c r="AD871" s="47"/>
      <c r="AE871" s="47"/>
    </row>
    <row r="872" spans="1:31" x14ac:dyDescent="0.35">
      <c r="A872" s="41"/>
      <c r="B872" s="41"/>
      <c r="C872" s="42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1"/>
      <c r="W872" s="41"/>
      <c r="X872" s="41"/>
      <c r="Y872" s="41"/>
      <c r="Z872" s="41"/>
      <c r="AA872" s="44"/>
      <c r="AB872" s="44"/>
      <c r="AC872" s="43"/>
      <c r="AD872" s="43"/>
      <c r="AE872" s="43"/>
    </row>
    <row r="873" spans="1:31" x14ac:dyDescent="0.35">
      <c r="C873" s="33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AA873" s="35"/>
      <c r="AB873" s="35"/>
      <c r="AC873" s="34"/>
      <c r="AD873" s="34"/>
      <c r="AE873" s="34"/>
    </row>
    <row r="874" spans="1:31" ht="15" thickBot="1" x14ac:dyDescent="0.4">
      <c r="A874" s="45"/>
      <c r="B874" s="45"/>
      <c r="C874" s="46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5"/>
      <c r="U874" s="45"/>
      <c r="V874" s="45"/>
      <c r="W874" s="45"/>
      <c r="X874" s="47"/>
      <c r="Y874" s="45"/>
      <c r="Z874" s="45"/>
      <c r="AA874" s="48"/>
      <c r="AB874" s="48"/>
      <c r="AC874" s="47"/>
      <c r="AD874" s="47"/>
      <c r="AE874" s="47"/>
    </row>
    <row r="875" spans="1:31" x14ac:dyDescent="0.35">
      <c r="A875" s="41"/>
      <c r="B875" s="41"/>
      <c r="C875" s="42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1"/>
      <c r="W875" s="41"/>
      <c r="X875" s="41"/>
      <c r="Y875" s="41"/>
      <c r="Z875" s="41"/>
      <c r="AA875" s="44"/>
      <c r="AB875" s="44"/>
      <c r="AC875" s="43"/>
      <c r="AD875" s="43"/>
      <c r="AE875" s="43"/>
    </row>
    <row r="876" spans="1:31" x14ac:dyDescent="0.35">
      <c r="C876" s="33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AA876" s="35"/>
      <c r="AB876" s="35"/>
      <c r="AC876" s="34"/>
      <c r="AD876" s="34"/>
      <c r="AE876" s="34"/>
    </row>
    <row r="877" spans="1:31" ht="15" thickBot="1" x14ac:dyDescent="0.4">
      <c r="A877" s="45"/>
      <c r="B877" s="45"/>
      <c r="C877" s="46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5"/>
      <c r="U877" s="45"/>
      <c r="V877" s="45"/>
      <c r="W877" s="45"/>
      <c r="X877" s="47"/>
      <c r="Y877" s="45"/>
      <c r="Z877" s="45"/>
      <c r="AA877" s="48"/>
      <c r="AB877" s="48"/>
      <c r="AC877" s="47"/>
      <c r="AD877" s="47"/>
      <c r="AE877" s="47"/>
    </row>
    <row r="878" spans="1:31" x14ac:dyDescent="0.35">
      <c r="A878" s="41"/>
      <c r="B878" s="41"/>
      <c r="C878" s="42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1"/>
      <c r="W878" s="41"/>
      <c r="X878" s="41"/>
      <c r="Y878" s="41"/>
      <c r="Z878" s="41"/>
      <c r="AA878" s="44"/>
      <c r="AB878" s="44"/>
      <c r="AC878" s="43"/>
      <c r="AD878" s="43"/>
      <c r="AE878" s="43"/>
    </row>
    <row r="879" spans="1:31" x14ac:dyDescent="0.35">
      <c r="C879" s="33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AA879" s="35"/>
      <c r="AB879" s="35"/>
      <c r="AC879" s="34"/>
      <c r="AD879" s="34"/>
      <c r="AE879" s="34"/>
    </row>
    <row r="880" spans="1:31" ht="15" thickBot="1" x14ac:dyDescent="0.4">
      <c r="A880" s="45"/>
      <c r="B880" s="45"/>
      <c r="C880" s="46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5"/>
      <c r="U880" s="45"/>
      <c r="V880" s="45"/>
      <c r="W880" s="45"/>
      <c r="X880" s="47"/>
      <c r="Y880" s="45"/>
      <c r="Z880" s="45"/>
      <c r="AA880" s="48"/>
      <c r="AB880" s="48"/>
      <c r="AC880" s="47"/>
      <c r="AD880" s="47"/>
      <c r="AE880" s="47"/>
    </row>
    <row r="881" spans="1:31" x14ac:dyDescent="0.35">
      <c r="A881" s="41"/>
      <c r="B881" s="41"/>
      <c r="C881" s="42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1"/>
      <c r="W881" s="41"/>
      <c r="X881" s="41"/>
      <c r="Y881" s="41"/>
      <c r="Z881" s="41"/>
      <c r="AA881" s="44"/>
      <c r="AB881" s="44"/>
      <c r="AC881" s="43"/>
      <c r="AD881" s="43"/>
      <c r="AE881" s="43"/>
    </row>
    <row r="882" spans="1:31" x14ac:dyDescent="0.35">
      <c r="C882" s="33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AA882" s="35"/>
      <c r="AB882" s="35"/>
      <c r="AC882" s="34"/>
      <c r="AD882" s="34"/>
      <c r="AE882" s="34"/>
    </row>
    <row r="883" spans="1:31" ht="15" thickBot="1" x14ac:dyDescent="0.4">
      <c r="A883" s="45"/>
      <c r="B883" s="45"/>
      <c r="C883" s="46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5"/>
      <c r="U883" s="45"/>
      <c r="V883" s="45"/>
      <c r="W883" s="45"/>
      <c r="X883" s="47"/>
      <c r="Y883" s="45"/>
      <c r="Z883" s="45"/>
      <c r="AA883" s="48"/>
      <c r="AB883" s="48"/>
      <c r="AC883" s="47"/>
      <c r="AD883" s="47"/>
      <c r="AE883" s="47"/>
    </row>
    <row r="884" spans="1:31" x14ac:dyDescent="0.35">
      <c r="A884" s="41"/>
      <c r="B884" s="41"/>
      <c r="C884" s="42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1"/>
      <c r="W884" s="41"/>
      <c r="X884" s="41"/>
      <c r="Y884" s="41"/>
      <c r="Z884" s="41"/>
      <c r="AA884" s="44"/>
      <c r="AB884" s="44"/>
      <c r="AC884" s="43"/>
      <c r="AD884" s="43"/>
      <c r="AE884" s="43"/>
    </row>
    <row r="885" spans="1:31" x14ac:dyDescent="0.35">
      <c r="C885" s="33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AA885" s="35"/>
      <c r="AB885" s="35"/>
      <c r="AC885" s="34"/>
      <c r="AD885" s="34"/>
      <c r="AE885" s="34"/>
    </row>
    <row r="886" spans="1:31" ht="15" thickBot="1" x14ac:dyDescent="0.4">
      <c r="A886" s="45"/>
      <c r="B886" s="45"/>
      <c r="C886" s="46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5"/>
      <c r="U886" s="45"/>
      <c r="V886" s="45"/>
      <c r="W886" s="45"/>
      <c r="X886" s="47"/>
      <c r="Y886" s="45"/>
      <c r="Z886" s="45"/>
      <c r="AA886" s="48"/>
      <c r="AB886" s="48"/>
      <c r="AC886" s="47"/>
      <c r="AD886" s="47"/>
      <c r="AE886" s="47"/>
    </row>
    <row r="887" spans="1:31" x14ac:dyDescent="0.35">
      <c r="A887" s="41"/>
      <c r="B887" s="41"/>
      <c r="C887" s="42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1"/>
      <c r="W887" s="41"/>
      <c r="X887" s="41"/>
      <c r="Y887" s="41"/>
      <c r="Z887" s="41"/>
      <c r="AA887" s="44"/>
      <c r="AB887" s="44"/>
      <c r="AC887" s="43"/>
      <c r="AD887" s="43"/>
      <c r="AE887" s="43"/>
    </row>
    <row r="888" spans="1:31" x14ac:dyDescent="0.35">
      <c r="C888" s="33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AA888" s="35"/>
      <c r="AB888" s="35"/>
      <c r="AC888" s="34"/>
      <c r="AD888" s="34"/>
      <c r="AE888" s="34"/>
    </row>
    <row r="889" spans="1:31" ht="15" thickBot="1" x14ac:dyDescent="0.4">
      <c r="A889" s="45"/>
      <c r="B889" s="45"/>
      <c r="C889" s="46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5"/>
      <c r="U889" s="45"/>
      <c r="V889" s="45"/>
      <c r="W889" s="45"/>
      <c r="X889" s="47"/>
      <c r="Y889" s="45"/>
      <c r="Z889" s="45"/>
      <c r="AA889" s="48"/>
      <c r="AB889" s="48"/>
      <c r="AC889" s="47"/>
      <c r="AD889" s="47"/>
      <c r="AE889" s="47"/>
    </row>
    <row r="890" spans="1:31" x14ac:dyDescent="0.35">
      <c r="A890" s="41"/>
      <c r="B890" s="41"/>
      <c r="C890" s="42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1"/>
      <c r="W890" s="41"/>
      <c r="X890" s="41"/>
      <c r="Y890" s="41"/>
      <c r="Z890" s="41"/>
      <c r="AA890" s="44"/>
      <c r="AB890" s="44"/>
      <c r="AC890" s="43"/>
      <c r="AD890" s="43"/>
      <c r="AE890" s="43"/>
    </row>
    <row r="891" spans="1:31" x14ac:dyDescent="0.35">
      <c r="C891" s="33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AA891" s="35"/>
      <c r="AB891" s="35"/>
      <c r="AC891" s="34"/>
      <c r="AD891" s="34"/>
      <c r="AE891" s="34"/>
    </row>
    <row r="892" spans="1:31" ht="15" thickBot="1" x14ac:dyDescent="0.4">
      <c r="A892" s="45"/>
      <c r="B892" s="45"/>
      <c r="C892" s="46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5"/>
      <c r="U892" s="45"/>
      <c r="V892" s="45"/>
      <c r="W892" s="45"/>
      <c r="X892" s="47"/>
      <c r="Y892" s="45"/>
      <c r="Z892" s="45"/>
      <c r="AA892" s="48"/>
      <c r="AB892" s="48"/>
      <c r="AC892" s="47"/>
      <c r="AD892" s="47"/>
      <c r="AE892" s="47"/>
    </row>
    <row r="893" spans="1:31" x14ac:dyDescent="0.35">
      <c r="A893" s="41"/>
      <c r="B893" s="41"/>
      <c r="C893" s="42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1"/>
      <c r="W893" s="41"/>
      <c r="X893" s="41"/>
      <c r="Y893" s="41"/>
      <c r="Z893" s="41"/>
      <c r="AA893" s="44"/>
      <c r="AB893" s="44"/>
      <c r="AC893" s="43"/>
      <c r="AD893" s="43"/>
      <c r="AE893" s="43"/>
    </row>
    <row r="894" spans="1:31" x14ac:dyDescent="0.35">
      <c r="C894" s="33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AA894" s="35"/>
      <c r="AB894" s="35"/>
      <c r="AC894" s="34"/>
      <c r="AD894" s="34"/>
      <c r="AE894" s="34"/>
    </row>
    <row r="895" spans="1:31" ht="15" thickBot="1" x14ac:dyDescent="0.4">
      <c r="A895" s="45"/>
      <c r="B895" s="45"/>
      <c r="C895" s="46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5"/>
      <c r="U895" s="45"/>
      <c r="V895" s="45"/>
      <c r="W895" s="45"/>
      <c r="X895" s="47"/>
      <c r="Y895" s="45"/>
      <c r="Z895" s="45"/>
      <c r="AA895" s="48"/>
      <c r="AB895" s="48"/>
      <c r="AC895" s="47"/>
      <c r="AD895" s="47"/>
      <c r="AE895" s="47"/>
    </row>
    <row r="896" spans="1:31" x14ac:dyDescent="0.35">
      <c r="A896" s="41"/>
      <c r="B896" s="41"/>
      <c r="C896" s="42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1"/>
      <c r="W896" s="41"/>
      <c r="X896" s="41"/>
      <c r="Y896" s="41"/>
      <c r="Z896" s="41"/>
      <c r="AA896" s="44"/>
      <c r="AB896" s="44"/>
      <c r="AC896" s="43"/>
      <c r="AD896" s="43"/>
      <c r="AE896" s="43"/>
    </row>
    <row r="897" spans="1:31" x14ac:dyDescent="0.35">
      <c r="C897" s="33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AA897" s="35"/>
      <c r="AB897" s="35"/>
      <c r="AC897" s="34"/>
      <c r="AD897" s="34"/>
      <c r="AE897" s="34"/>
    </row>
    <row r="898" spans="1:31" ht="15" thickBot="1" x14ac:dyDescent="0.4">
      <c r="A898" s="45"/>
      <c r="B898" s="45"/>
      <c r="C898" s="46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5"/>
      <c r="U898" s="45"/>
      <c r="V898" s="45"/>
      <c r="W898" s="45"/>
      <c r="X898" s="47"/>
      <c r="Y898" s="45"/>
      <c r="Z898" s="45"/>
      <c r="AA898" s="48"/>
      <c r="AB898" s="48"/>
      <c r="AC898" s="47"/>
      <c r="AD898" s="47"/>
      <c r="AE898" s="47"/>
    </row>
    <row r="899" spans="1:31" x14ac:dyDescent="0.35">
      <c r="A899" s="41"/>
      <c r="B899" s="41"/>
      <c r="C899" s="42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1"/>
      <c r="W899" s="41"/>
      <c r="X899" s="41"/>
      <c r="Y899" s="41"/>
      <c r="Z899" s="41"/>
      <c r="AA899" s="44"/>
      <c r="AB899" s="44"/>
      <c r="AC899" s="43"/>
      <c r="AD899" s="43"/>
      <c r="AE899" s="43"/>
    </row>
    <row r="900" spans="1:31" x14ac:dyDescent="0.35">
      <c r="C900" s="33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AA900" s="35"/>
      <c r="AB900" s="35"/>
      <c r="AC900" s="34"/>
      <c r="AD900" s="34"/>
      <c r="AE900" s="34"/>
    </row>
    <row r="901" spans="1:31" ht="15" thickBot="1" x14ac:dyDescent="0.4">
      <c r="A901" s="45"/>
      <c r="B901" s="45"/>
      <c r="C901" s="46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5"/>
      <c r="U901" s="45"/>
      <c r="V901" s="45"/>
      <c r="W901" s="45"/>
      <c r="X901" s="47"/>
      <c r="Y901" s="45"/>
      <c r="Z901" s="45"/>
      <c r="AA901" s="48"/>
      <c r="AB901" s="48"/>
      <c r="AC901" s="47"/>
      <c r="AD901" s="47"/>
      <c r="AE901" s="47"/>
    </row>
    <row r="902" spans="1:31" x14ac:dyDescent="0.35">
      <c r="A902" s="41"/>
      <c r="B902" s="41"/>
      <c r="C902" s="42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1"/>
      <c r="W902" s="41"/>
      <c r="X902" s="41"/>
      <c r="Y902" s="41"/>
      <c r="Z902" s="41"/>
      <c r="AA902" s="44"/>
      <c r="AB902" s="44"/>
      <c r="AC902" s="43"/>
      <c r="AD902" s="43"/>
      <c r="AE902" s="43"/>
    </row>
    <row r="903" spans="1:31" x14ac:dyDescent="0.35">
      <c r="C903" s="33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AA903" s="35"/>
      <c r="AB903" s="35"/>
      <c r="AC903" s="34"/>
      <c r="AD903" s="34"/>
      <c r="AE903" s="34"/>
    </row>
    <row r="904" spans="1:31" ht="15" thickBot="1" x14ac:dyDescent="0.4">
      <c r="A904" s="45"/>
      <c r="B904" s="45"/>
      <c r="C904" s="46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5"/>
      <c r="U904" s="45"/>
      <c r="V904" s="45"/>
      <c r="W904" s="45"/>
      <c r="X904" s="47"/>
      <c r="Y904" s="45"/>
      <c r="Z904" s="45"/>
      <c r="AA904" s="48"/>
      <c r="AB904" s="48"/>
      <c r="AC904" s="47"/>
      <c r="AD904" s="47"/>
      <c r="AE904" s="47"/>
    </row>
    <row r="905" spans="1:31" x14ac:dyDescent="0.35">
      <c r="A905" s="41"/>
      <c r="B905" s="41"/>
      <c r="C905" s="42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1"/>
      <c r="W905" s="41"/>
      <c r="X905" s="41"/>
      <c r="Y905" s="41"/>
      <c r="Z905" s="41"/>
      <c r="AA905" s="44"/>
      <c r="AB905" s="44"/>
      <c r="AC905" s="43"/>
      <c r="AD905" s="43"/>
      <c r="AE905" s="43"/>
    </row>
    <row r="906" spans="1:31" x14ac:dyDescent="0.35">
      <c r="C906" s="33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AA906" s="35"/>
      <c r="AB906" s="35"/>
      <c r="AC906" s="34"/>
      <c r="AD906" s="34"/>
      <c r="AE906" s="34"/>
    </row>
    <row r="907" spans="1:31" ht="15" thickBot="1" x14ac:dyDescent="0.4">
      <c r="A907" s="45"/>
      <c r="B907" s="45"/>
      <c r="C907" s="46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5"/>
      <c r="U907" s="45"/>
      <c r="V907" s="45"/>
      <c r="W907" s="45"/>
      <c r="X907" s="47"/>
      <c r="Y907" s="45"/>
      <c r="Z907" s="45"/>
      <c r="AA907" s="48"/>
      <c r="AB907" s="48"/>
      <c r="AC907" s="47"/>
      <c r="AD907" s="47"/>
      <c r="AE907" s="47"/>
    </row>
    <row r="908" spans="1:31" x14ac:dyDescent="0.35">
      <c r="A908" s="41"/>
      <c r="B908" s="41"/>
      <c r="C908" s="42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1"/>
      <c r="W908" s="41"/>
      <c r="X908" s="41"/>
      <c r="Y908" s="41"/>
      <c r="Z908" s="41"/>
      <c r="AA908" s="44"/>
      <c r="AB908" s="44"/>
      <c r="AC908" s="43"/>
      <c r="AD908" s="43"/>
      <c r="AE908" s="43"/>
    </row>
    <row r="909" spans="1:31" x14ac:dyDescent="0.35">
      <c r="C909" s="33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AA909" s="35"/>
      <c r="AB909" s="35"/>
      <c r="AC909" s="34"/>
      <c r="AD909" s="34"/>
      <c r="AE909" s="34"/>
    </row>
    <row r="910" spans="1:31" ht="15" thickBot="1" x14ac:dyDescent="0.4">
      <c r="A910" s="45"/>
      <c r="B910" s="45"/>
      <c r="C910" s="46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5"/>
      <c r="U910" s="45"/>
      <c r="V910" s="45"/>
      <c r="W910" s="45"/>
      <c r="X910" s="47"/>
      <c r="Y910" s="45"/>
      <c r="Z910" s="45"/>
      <c r="AA910" s="48"/>
      <c r="AB910" s="48"/>
      <c r="AC910" s="47"/>
      <c r="AD910" s="47"/>
      <c r="AE910" s="47"/>
    </row>
    <row r="911" spans="1:31" x14ac:dyDescent="0.35">
      <c r="A911" s="41"/>
      <c r="B911" s="41"/>
      <c r="C911" s="42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1"/>
      <c r="W911" s="41"/>
      <c r="X911" s="41"/>
      <c r="Y911" s="41"/>
      <c r="Z911" s="41"/>
      <c r="AA911" s="44"/>
      <c r="AB911" s="44"/>
      <c r="AC911" s="43"/>
      <c r="AD911" s="43"/>
      <c r="AE911" s="43"/>
    </row>
    <row r="912" spans="1:31" x14ac:dyDescent="0.35">
      <c r="C912" s="33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AA912" s="35"/>
      <c r="AB912" s="35"/>
      <c r="AC912" s="34"/>
      <c r="AD912" s="34"/>
      <c r="AE912" s="34"/>
    </row>
    <row r="913" spans="1:31" ht="15" thickBot="1" x14ac:dyDescent="0.4">
      <c r="A913" s="45"/>
      <c r="B913" s="45"/>
      <c r="C913" s="46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5"/>
      <c r="U913" s="45"/>
      <c r="V913" s="45"/>
      <c r="W913" s="45"/>
      <c r="X913" s="47"/>
      <c r="Y913" s="45"/>
      <c r="Z913" s="45"/>
      <c r="AA913" s="48"/>
      <c r="AB913" s="48"/>
      <c r="AC913" s="47"/>
      <c r="AD913" s="47"/>
      <c r="AE913" s="47"/>
    </row>
    <row r="914" spans="1:31" x14ac:dyDescent="0.35">
      <c r="A914" s="41"/>
      <c r="B914" s="41"/>
      <c r="C914" s="42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1"/>
      <c r="W914" s="41"/>
      <c r="X914" s="41"/>
      <c r="Y914" s="41"/>
      <c r="Z914" s="41"/>
      <c r="AA914" s="44"/>
      <c r="AB914" s="44"/>
      <c r="AC914" s="43"/>
      <c r="AD914" s="43"/>
      <c r="AE914" s="43"/>
    </row>
    <row r="915" spans="1:31" x14ac:dyDescent="0.35">
      <c r="C915" s="33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AA915" s="35"/>
      <c r="AB915" s="35"/>
      <c r="AC915" s="34"/>
      <c r="AD915" s="34"/>
      <c r="AE915" s="34"/>
    </row>
    <row r="916" spans="1:31" ht="15" thickBot="1" x14ac:dyDescent="0.4">
      <c r="A916" s="45"/>
      <c r="B916" s="45"/>
      <c r="C916" s="46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5"/>
      <c r="U916" s="45"/>
      <c r="V916" s="45"/>
      <c r="W916" s="45"/>
      <c r="X916" s="47"/>
      <c r="Y916" s="45"/>
      <c r="Z916" s="45"/>
      <c r="AA916" s="48"/>
      <c r="AB916" s="48"/>
      <c r="AC916" s="47"/>
      <c r="AD916" s="47"/>
      <c r="AE916" s="47"/>
    </row>
    <row r="917" spans="1:31" x14ac:dyDescent="0.35">
      <c r="A917" s="41"/>
      <c r="B917" s="41"/>
      <c r="C917" s="42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1"/>
      <c r="W917" s="41"/>
      <c r="X917" s="41"/>
      <c r="Y917" s="41"/>
      <c r="Z917" s="41"/>
      <c r="AA917" s="44"/>
      <c r="AB917" s="44"/>
      <c r="AC917" s="43"/>
      <c r="AD917" s="43"/>
      <c r="AE917" s="43"/>
    </row>
    <row r="918" spans="1:31" x14ac:dyDescent="0.35">
      <c r="C918" s="33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AA918" s="35"/>
      <c r="AB918" s="35"/>
      <c r="AC918" s="34"/>
      <c r="AD918" s="34"/>
      <c r="AE918" s="34"/>
    </row>
    <row r="919" spans="1:31" ht="15" thickBot="1" x14ac:dyDescent="0.4">
      <c r="A919" s="45"/>
      <c r="B919" s="45"/>
      <c r="C919" s="46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5"/>
      <c r="U919" s="45"/>
      <c r="V919" s="45"/>
      <c r="W919" s="45"/>
      <c r="X919" s="47"/>
      <c r="Y919" s="45"/>
      <c r="Z919" s="45"/>
      <c r="AA919" s="48"/>
      <c r="AB919" s="48"/>
      <c r="AC919" s="47"/>
      <c r="AD919" s="47"/>
      <c r="AE919" s="47"/>
    </row>
    <row r="920" spans="1:31" x14ac:dyDescent="0.35">
      <c r="A920" s="41"/>
      <c r="B920" s="41"/>
      <c r="C920" s="42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1"/>
      <c r="W920" s="41"/>
      <c r="X920" s="41"/>
      <c r="Y920" s="41"/>
      <c r="Z920" s="41"/>
      <c r="AA920" s="44"/>
      <c r="AB920" s="44"/>
      <c r="AC920" s="43"/>
      <c r="AD920" s="43"/>
      <c r="AE920" s="43"/>
    </row>
    <row r="921" spans="1:31" x14ac:dyDescent="0.35">
      <c r="C921" s="33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AA921" s="35"/>
      <c r="AB921" s="35"/>
      <c r="AC921" s="34"/>
      <c r="AD921" s="34"/>
      <c r="AE921" s="34"/>
    </row>
    <row r="922" spans="1:31" ht="15" thickBot="1" x14ac:dyDescent="0.4">
      <c r="A922" s="45"/>
      <c r="B922" s="45"/>
      <c r="C922" s="46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5"/>
      <c r="U922" s="45"/>
      <c r="V922" s="45"/>
      <c r="W922" s="45"/>
      <c r="X922" s="47"/>
      <c r="Y922" s="45"/>
      <c r="Z922" s="45"/>
      <c r="AA922" s="48"/>
      <c r="AB922" s="48"/>
      <c r="AC922" s="47"/>
      <c r="AD922" s="47"/>
      <c r="AE922" s="47"/>
    </row>
    <row r="923" spans="1:31" x14ac:dyDescent="0.35">
      <c r="A923" s="41"/>
      <c r="B923" s="41"/>
      <c r="C923" s="42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1"/>
      <c r="W923" s="41"/>
      <c r="X923" s="41"/>
      <c r="Y923" s="41"/>
      <c r="Z923" s="41"/>
      <c r="AA923" s="44"/>
      <c r="AB923" s="44"/>
      <c r="AC923" s="43"/>
      <c r="AD923" s="43"/>
      <c r="AE923" s="43"/>
    </row>
    <row r="924" spans="1:31" x14ac:dyDescent="0.35">
      <c r="C924" s="33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AA924" s="35"/>
      <c r="AB924" s="35"/>
      <c r="AC924" s="34"/>
      <c r="AD924" s="34"/>
      <c r="AE924" s="34"/>
    </row>
    <row r="925" spans="1:31" ht="15" thickBot="1" x14ac:dyDescent="0.4">
      <c r="A925" s="45"/>
      <c r="B925" s="45"/>
      <c r="C925" s="46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5"/>
      <c r="U925" s="45"/>
      <c r="V925" s="45"/>
      <c r="W925" s="45"/>
      <c r="X925" s="47"/>
      <c r="Y925" s="45"/>
      <c r="Z925" s="45"/>
      <c r="AA925" s="48"/>
      <c r="AB925" s="48"/>
      <c r="AC925" s="47"/>
      <c r="AD925" s="47"/>
      <c r="AE925" s="47"/>
    </row>
    <row r="926" spans="1:31" x14ac:dyDescent="0.35">
      <c r="A926" s="41"/>
      <c r="B926" s="41"/>
      <c r="C926" s="42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1"/>
      <c r="W926" s="41"/>
      <c r="X926" s="41"/>
      <c r="Y926" s="41"/>
      <c r="Z926" s="41"/>
      <c r="AA926" s="44"/>
      <c r="AB926" s="44"/>
      <c r="AC926" s="43"/>
      <c r="AD926" s="43"/>
      <c r="AE926" s="43"/>
    </row>
    <row r="927" spans="1:31" x14ac:dyDescent="0.35">
      <c r="C927" s="33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AA927" s="35"/>
      <c r="AB927" s="35"/>
      <c r="AC927" s="34"/>
      <c r="AD927" s="34"/>
      <c r="AE927" s="34"/>
    </row>
    <row r="928" spans="1:31" ht="15" thickBot="1" x14ac:dyDescent="0.4">
      <c r="A928" s="45"/>
      <c r="B928" s="45"/>
      <c r="C928" s="46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5"/>
      <c r="U928" s="45"/>
      <c r="V928" s="45"/>
      <c r="W928" s="45"/>
      <c r="X928" s="47"/>
      <c r="Y928" s="45"/>
      <c r="Z928" s="45"/>
      <c r="AA928" s="48"/>
      <c r="AB928" s="48"/>
      <c r="AC928" s="47"/>
      <c r="AD928" s="47"/>
      <c r="AE928" s="47"/>
    </row>
    <row r="929" spans="1:31" x14ac:dyDescent="0.35">
      <c r="A929" s="41"/>
      <c r="B929" s="41"/>
      <c r="C929" s="42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1"/>
      <c r="W929" s="41"/>
      <c r="X929" s="41"/>
      <c r="Y929" s="41"/>
      <c r="Z929" s="41"/>
      <c r="AA929" s="44"/>
      <c r="AB929" s="44"/>
      <c r="AC929" s="43"/>
      <c r="AD929" s="43"/>
      <c r="AE929" s="43"/>
    </row>
    <row r="930" spans="1:31" x14ac:dyDescent="0.35">
      <c r="C930" s="33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AA930" s="35"/>
      <c r="AB930" s="35"/>
      <c r="AC930" s="34"/>
      <c r="AD930" s="34"/>
      <c r="AE930" s="34"/>
    </row>
    <row r="931" spans="1:31" ht="15" thickBot="1" x14ac:dyDescent="0.4">
      <c r="A931" s="45"/>
      <c r="B931" s="45"/>
      <c r="C931" s="46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5"/>
      <c r="U931" s="45"/>
      <c r="V931" s="45"/>
      <c r="W931" s="45"/>
      <c r="X931" s="47"/>
      <c r="Y931" s="45"/>
      <c r="Z931" s="45"/>
      <c r="AA931" s="48"/>
      <c r="AB931" s="48"/>
      <c r="AC931" s="47"/>
      <c r="AD931" s="47"/>
      <c r="AE931" s="47"/>
    </row>
    <row r="932" spans="1:31" x14ac:dyDescent="0.35">
      <c r="A932" s="41"/>
      <c r="B932" s="41"/>
      <c r="C932" s="42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1"/>
      <c r="W932" s="41"/>
      <c r="X932" s="41"/>
      <c r="Y932" s="41"/>
      <c r="Z932" s="41"/>
      <c r="AA932" s="44"/>
      <c r="AB932" s="44"/>
      <c r="AC932" s="43"/>
      <c r="AD932" s="43"/>
      <c r="AE932" s="43"/>
    </row>
    <row r="933" spans="1:31" x14ac:dyDescent="0.35">
      <c r="C933" s="33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AA933" s="35"/>
      <c r="AB933" s="35"/>
      <c r="AC933" s="34"/>
      <c r="AD933" s="34"/>
      <c r="AE933" s="34"/>
    </row>
    <row r="934" spans="1:31" ht="15" thickBot="1" x14ac:dyDescent="0.4">
      <c r="A934" s="45"/>
      <c r="B934" s="45"/>
      <c r="C934" s="46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5"/>
      <c r="U934" s="45"/>
      <c r="V934" s="45"/>
      <c r="W934" s="45"/>
      <c r="X934" s="47"/>
      <c r="Y934" s="45"/>
      <c r="Z934" s="45"/>
      <c r="AA934" s="48"/>
      <c r="AB934" s="48"/>
      <c r="AC934" s="47"/>
      <c r="AD934" s="47"/>
      <c r="AE934" s="47"/>
    </row>
    <row r="935" spans="1:31" x14ac:dyDescent="0.35">
      <c r="A935" s="41"/>
      <c r="B935" s="41"/>
      <c r="C935" s="42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1"/>
      <c r="W935" s="41"/>
      <c r="X935" s="41"/>
      <c r="Y935" s="41"/>
      <c r="Z935" s="41"/>
      <c r="AA935" s="44"/>
      <c r="AB935" s="44"/>
      <c r="AC935" s="43"/>
      <c r="AD935" s="43"/>
      <c r="AE935" s="43"/>
    </row>
    <row r="936" spans="1:31" x14ac:dyDescent="0.35">
      <c r="C936" s="33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AA936" s="35"/>
      <c r="AB936" s="35"/>
      <c r="AC936" s="34"/>
      <c r="AD936" s="34"/>
      <c r="AE936" s="34"/>
    </row>
    <row r="937" spans="1:31" ht="15" thickBot="1" x14ac:dyDescent="0.4">
      <c r="A937" s="45"/>
      <c r="B937" s="45"/>
      <c r="C937" s="46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5"/>
      <c r="U937" s="45"/>
      <c r="V937" s="45"/>
      <c r="W937" s="45"/>
      <c r="X937" s="47"/>
      <c r="Y937" s="45"/>
      <c r="Z937" s="45"/>
      <c r="AA937" s="48"/>
      <c r="AB937" s="48"/>
      <c r="AC937" s="47"/>
      <c r="AD937" s="47"/>
      <c r="AE937" s="47"/>
    </row>
    <row r="938" spans="1:31" x14ac:dyDescent="0.35">
      <c r="A938" s="41"/>
      <c r="B938" s="41"/>
      <c r="C938" s="42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1"/>
      <c r="W938" s="41"/>
      <c r="X938" s="41"/>
      <c r="Y938" s="41"/>
      <c r="Z938" s="41"/>
      <c r="AA938" s="44"/>
      <c r="AB938" s="44"/>
      <c r="AC938" s="43"/>
      <c r="AD938" s="43"/>
      <c r="AE938" s="43"/>
    </row>
    <row r="939" spans="1:31" x14ac:dyDescent="0.35">
      <c r="C939" s="33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AA939" s="35"/>
      <c r="AB939" s="35"/>
      <c r="AC939" s="34"/>
      <c r="AD939" s="34"/>
      <c r="AE939" s="34"/>
    </row>
    <row r="940" spans="1:31" ht="15" thickBot="1" x14ac:dyDescent="0.4">
      <c r="A940" s="45"/>
      <c r="B940" s="45"/>
      <c r="C940" s="46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5"/>
      <c r="U940" s="45"/>
      <c r="V940" s="45"/>
      <c r="W940" s="45"/>
      <c r="X940" s="47"/>
      <c r="Y940" s="45"/>
      <c r="Z940" s="45"/>
      <c r="AA940" s="48"/>
      <c r="AB940" s="48"/>
      <c r="AC940" s="47"/>
      <c r="AD940" s="47"/>
      <c r="AE940" s="47"/>
    </row>
    <row r="941" spans="1:31" x14ac:dyDescent="0.35">
      <c r="A941" s="41"/>
      <c r="B941" s="41"/>
      <c r="C941" s="42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1"/>
      <c r="W941" s="41"/>
      <c r="X941" s="41"/>
      <c r="Y941" s="41"/>
      <c r="Z941" s="41"/>
      <c r="AA941" s="44"/>
      <c r="AB941" s="44"/>
      <c r="AC941" s="43"/>
      <c r="AD941" s="43"/>
      <c r="AE941" s="43"/>
    </row>
    <row r="942" spans="1:31" x14ac:dyDescent="0.35">
      <c r="C942" s="33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AA942" s="35"/>
      <c r="AB942" s="35"/>
      <c r="AC942" s="34"/>
      <c r="AD942" s="34"/>
      <c r="AE942" s="34"/>
    </row>
    <row r="943" spans="1:31" ht="15" thickBot="1" x14ac:dyDescent="0.4">
      <c r="A943" s="45"/>
      <c r="B943" s="45"/>
      <c r="C943" s="46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5"/>
      <c r="U943" s="45"/>
      <c r="V943" s="45"/>
      <c r="W943" s="45"/>
      <c r="X943" s="47"/>
      <c r="Y943" s="45"/>
      <c r="Z943" s="45"/>
      <c r="AA943" s="48"/>
      <c r="AB943" s="48"/>
      <c r="AC943" s="47"/>
      <c r="AD943" s="47"/>
      <c r="AE943" s="47"/>
    </row>
    <row r="944" spans="1:31" x14ac:dyDescent="0.35">
      <c r="A944" s="41"/>
      <c r="B944" s="41"/>
      <c r="C944" s="42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1"/>
      <c r="W944" s="41"/>
      <c r="X944" s="41"/>
      <c r="Y944" s="41"/>
      <c r="Z944" s="41"/>
      <c r="AA944" s="44"/>
      <c r="AB944" s="44"/>
      <c r="AC944" s="43"/>
      <c r="AD944" s="43"/>
      <c r="AE944" s="43"/>
    </row>
    <row r="945" spans="1:31" x14ac:dyDescent="0.35">
      <c r="C945" s="33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AA945" s="35"/>
      <c r="AB945" s="35"/>
      <c r="AC945" s="34"/>
      <c r="AD945" s="34"/>
      <c r="AE945" s="34"/>
    </row>
    <row r="946" spans="1:31" ht="15" thickBot="1" x14ac:dyDescent="0.4">
      <c r="A946" s="45"/>
      <c r="B946" s="45"/>
      <c r="C946" s="46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5"/>
      <c r="U946" s="45"/>
      <c r="V946" s="45"/>
      <c r="W946" s="45"/>
      <c r="X946" s="47"/>
      <c r="Y946" s="45"/>
      <c r="Z946" s="45"/>
      <c r="AA946" s="48"/>
      <c r="AB946" s="48"/>
      <c r="AC946" s="47"/>
      <c r="AD946" s="47"/>
      <c r="AE946" s="47"/>
    </row>
    <row r="947" spans="1:31" x14ac:dyDescent="0.35">
      <c r="A947" s="41"/>
      <c r="B947" s="41"/>
      <c r="C947" s="42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1"/>
      <c r="W947" s="41"/>
      <c r="X947" s="41"/>
      <c r="Y947" s="41"/>
      <c r="Z947" s="41"/>
      <c r="AA947" s="44"/>
      <c r="AB947" s="44"/>
      <c r="AC947" s="43"/>
      <c r="AD947" s="43"/>
      <c r="AE947" s="43"/>
    </row>
    <row r="948" spans="1:31" x14ac:dyDescent="0.35">
      <c r="C948" s="33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AA948" s="35"/>
      <c r="AB948" s="35"/>
      <c r="AC948" s="34"/>
      <c r="AD948" s="34"/>
      <c r="AE948" s="34"/>
    </row>
    <row r="949" spans="1:31" ht="15" thickBot="1" x14ac:dyDescent="0.4">
      <c r="A949" s="45"/>
      <c r="B949" s="45"/>
      <c r="C949" s="46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5"/>
      <c r="U949" s="45"/>
      <c r="V949" s="45"/>
      <c r="W949" s="45"/>
      <c r="X949" s="47"/>
      <c r="Y949" s="45"/>
      <c r="Z949" s="45"/>
      <c r="AA949" s="48"/>
      <c r="AB949" s="48"/>
      <c r="AC949" s="47"/>
      <c r="AD949" s="47"/>
      <c r="AE949" s="47"/>
    </row>
    <row r="950" spans="1:31" x14ac:dyDescent="0.35">
      <c r="A950" s="41"/>
      <c r="B950" s="41"/>
      <c r="C950" s="42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1"/>
      <c r="W950" s="41"/>
      <c r="X950" s="41"/>
      <c r="Y950" s="41"/>
      <c r="Z950" s="41"/>
      <c r="AA950" s="44"/>
      <c r="AB950" s="44"/>
      <c r="AC950" s="43"/>
      <c r="AD950" s="43"/>
      <c r="AE950" s="43"/>
    </row>
    <row r="951" spans="1:31" x14ac:dyDescent="0.35">
      <c r="C951" s="33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AA951" s="35"/>
      <c r="AB951" s="35"/>
      <c r="AC951" s="34"/>
      <c r="AD951" s="34"/>
      <c r="AE951" s="34"/>
    </row>
    <row r="952" spans="1:31" ht="15" thickBot="1" x14ac:dyDescent="0.4">
      <c r="A952" s="45"/>
      <c r="B952" s="45"/>
      <c r="C952" s="46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5"/>
      <c r="U952" s="45"/>
      <c r="V952" s="45"/>
      <c r="W952" s="45"/>
      <c r="X952" s="47"/>
      <c r="Y952" s="45"/>
      <c r="Z952" s="45"/>
      <c r="AA952" s="48"/>
      <c r="AB952" s="48"/>
      <c r="AC952" s="47"/>
      <c r="AD952" s="47"/>
      <c r="AE952" s="47"/>
    </row>
    <row r="953" spans="1:31" x14ac:dyDescent="0.35">
      <c r="A953" s="41"/>
      <c r="B953" s="41"/>
      <c r="C953" s="42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1"/>
      <c r="W953" s="41"/>
      <c r="X953" s="41"/>
      <c r="Y953" s="41"/>
      <c r="Z953" s="41"/>
      <c r="AA953" s="44"/>
      <c r="AB953" s="44"/>
      <c r="AC953" s="43"/>
      <c r="AD953" s="43"/>
      <c r="AE953" s="43"/>
    </row>
    <row r="954" spans="1:31" x14ac:dyDescent="0.35">
      <c r="C954" s="33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AA954" s="35"/>
      <c r="AB954" s="35"/>
      <c r="AC954" s="34"/>
      <c r="AD954" s="34"/>
      <c r="AE954" s="34"/>
    </row>
    <row r="955" spans="1:31" ht="15" thickBot="1" x14ac:dyDescent="0.4">
      <c r="A955" s="45"/>
      <c r="B955" s="45"/>
      <c r="C955" s="46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5"/>
      <c r="U955" s="45"/>
      <c r="V955" s="45"/>
      <c r="W955" s="45"/>
      <c r="X955" s="47"/>
      <c r="Y955" s="45"/>
      <c r="Z955" s="45"/>
      <c r="AA955" s="48"/>
      <c r="AB955" s="48"/>
      <c r="AC955" s="47"/>
      <c r="AD955" s="47"/>
      <c r="AE955" s="47"/>
    </row>
    <row r="956" spans="1:31" x14ac:dyDescent="0.35">
      <c r="A956" s="41"/>
      <c r="B956" s="41"/>
      <c r="C956" s="42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1"/>
      <c r="W956" s="41"/>
      <c r="X956" s="41"/>
      <c r="Y956" s="41"/>
      <c r="Z956" s="41"/>
      <c r="AA956" s="44"/>
      <c r="AB956" s="44"/>
      <c r="AC956" s="43"/>
      <c r="AD956" s="43"/>
      <c r="AE956" s="43"/>
    </row>
    <row r="957" spans="1:31" x14ac:dyDescent="0.35">
      <c r="C957" s="33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AA957" s="35"/>
      <c r="AB957" s="35"/>
      <c r="AC957" s="34"/>
      <c r="AD957" s="34"/>
      <c r="AE957" s="34"/>
    </row>
    <row r="958" spans="1:31" ht="15" thickBot="1" x14ac:dyDescent="0.4">
      <c r="A958" s="45"/>
      <c r="B958" s="45"/>
      <c r="C958" s="46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5"/>
      <c r="U958" s="45"/>
      <c r="V958" s="45"/>
      <c r="W958" s="45"/>
      <c r="X958" s="47"/>
      <c r="Y958" s="45"/>
      <c r="Z958" s="45"/>
      <c r="AA958" s="48"/>
      <c r="AB958" s="48"/>
      <c r="AC958" s="47"/>
      <c r="AD958" s="47"/>
      <c r="AE958" s="47"/>
    </row>
    <row r="959" spans="1:31" x14ac:dyDescent="0.35">
      <c r="A959" s="41"/>
      <c r="B959" s="41"/>
      <c r="C959" s="42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1"/>
      <c r="W959" s="41"/>
      <c r="X959" s="41"/>
      <c r="Y959" s="41"/>
      <c r="Z959" s="41"/>
      <c r="AA959" s="44"/>
      <c r="AB959" s="44"/>
      <c r="AC959" s="43"/>
      <c r="AD959" s="43"/>
      <c r="AE959" s="43"/>
    </row>
    <row r="960" spans="1:31" x14ac:dyDescent="0.35">
      <c r="C960" s="33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AA960" s="35"/>
      <c r="AB960" s="35"/>
      <c r="AC960" s="34"/>
      <c r="AD960" s="34"/>
      <c r="AE960" s="34"/>
    </row>
    <row r="961" spans="1:31" ht="15" thickBot="1" x14ac:dyDescent="0.4">
      <c r="A961" s="45"/>
      <c r="B961" s="45"/>
      <c r="C961" s="46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5"/>
      <c r="U961" s="45"/>
      <c r="V961" s="45"/>
      <c r="W961" s="45"/>
      <c r="X961" s="47"/>
      <c r="Y961" s="45"/>
      <c r="Z961" s="45"/>
      <c r="AA961" s="48"/>
      <c r="AB961" s="48"/>
      <c r="AC961" s="47"/>
      <c r="AD961" s="47"/>
      <c r="AE961" s="47"/>
    </row>
    <row r="962" spans="1:31" x14ac:dyDescent="0.35">
      <c r="A962" s="41"/>
      <c r="B962" s="41"/>
      <c r="C962" s="42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1"/>
      <c r="W962" s="41"/>
      <c r="X962" s="41"/>
      <c r="Y962" s="41"/>
      <c r="Z962" s="41"/>
      <c r="AA962" s="44"/>
      <c r="AB962" s="44"/>
      <c r="AC962" s="43"/>
      <c r="AD962" s="43"/>
      <c r="AE962" s="43"/>
    </row>
    <row r="963" spans="1:31" x14ac:dyDescent="0.35">
      <c r="C963" s="33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AA963" s="35"/>
      <c r="AB963" s="35"/>
      <c r="AC963" s="34"/>
      <c r="AD963" s="34"/>
      <c r="AE963" s="34"/>
    </row>
    <row r="964" spans="1:31" ht="15" thickBot="1" x14ac:dyDescent="0.4">
      <c r="A964" s="45"/>
      <c r="B964" s="45"/>
      <c r="C964" s="46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5"/>
      <c r="U964" s="45"/>
      <c r="V964" s="45"/>
      <c r="W964" s="45"/>
      <c r="X964" s="47"/>
      <c r="Y964" s="45"/>
      <c r="Z964" s="45"/>
      <c r="AA964" s="48"/>
      <c r="AB964" s="48"/>
      <c r="AC964" s="47"/>
      <c r="AD964" s="47"/>
      <c r="AE964" s="47"/>
    </row>
    <row r="965" spans="1:31" x14ac:dyDescent="0.35">
      <c r="A965" s="41"/>
      <c r="B965" s="41"/>
      <c r="C965" s="42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1"/>
      <c r="W965" s="41"/>
      <c r="X965" s="41"/>
      <c r="Y965" s="41"/>
      <c r="Z965" s="41"/>
      <c r="AA965" s="44"/>
      <c r="AB965" s="44"/>
      <c r="AC965" s="43"/>
      <c r="AD965" s="43"/>
      <c r="AE965" s="43"/>
    </row>
    <row r="966" spans="1:31" x14ac:dyDescent="0.35">
      <c r="C966" s="33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AA966" s="35"/>
      <c r="AB966" s="35"/>
      <c r="AC966" s="34"/>
      <c r="AD966" s="34"/>
      <c r="AE966" s="34"/>
    </row>
    <row r="967" spans="1:31" ht="15" thickBot="1" x14ac:dyDescent="0.4">
      <c r="A967" s="45"/>
      <c r="B967" s="45"/>
      <c r="C967" s="46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5"/>
      <c r="U967" s="45"/>
      <c r="V967" s="45"/>
      <c r="W967" s="45"/>
      <c r="X967" s="47"/>
      <c r="Y967" s="45"/>
      <c r="Z967" s="45"/>
      <c r="AA967" s="48"/>
      <c r="AB967" s="48"/>
      <c r="AC967" s="47"/>
      <c r="AD967" s="47"/>
      <c r="AE967" s="47"/>
    </row>
    <row r="968" spans="1:31" x14ac:dyDescent="0.35">
      <c r="A968" s="41"/>
      <c r="B968" s="41"/>
      <c r="C968" s="42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1"/>
      <c r="W968" s="41"/>
      <c r="X968" s="41"/>
      <c r="Y968" s="41"/>
      <c r="Z968" s="41"/>
      <c r="AA968" s="44"/>
      <c r="AB968" s="44"/>
      <c r="AC968" s="43"/>
      <c r="AD968" s="43"/>
      <c r="AE968" s="43"/>
    </row>
    <row r="969" spans="1:31" x14ac:dyDescent="0.35">
      <c r="C969" s="33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AA969" s="35"/>
      <c r="AB969" s="35"/>
      <c r="AC969" s="34"/>
      <c r="AD969" s="34"/>
      <c r="AE969" s="34"/>
    </row>
    <row r="970" spans="1:31" ht="15" thickBot="1" x14ac:dyDescent="0.4">
      <c r="A970" s="45"/>
      <c r="B970" s="45"/>
      <c r="C970" s="46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5"/>
      <c r="U970" s="45"/>
      <c r="V970" s="45"/>
      <c r="W970" s="45"/>
      <c r="X970" s="47"/>
      <c r="Y970" s="45"/>
      <c r="Z970" s="45"/>
      <c r="AA970" s="48"/>
      <c r="AB970" s="48"/>
      <c r="AC970" s="47"/>
      <c r="AD970" s="47"/>
      <c r="AE970" s="47"/>
    </row>
    <row r="971" spans="1:31" x14ac:dyDescent="0.35">
      <c r="A971" s="41"/>
      <c r="B971" s="41"/>
      <c r="C971" s="42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1"/>
      <c r="W971" s="41"/>
      <c r="X971" s="41"/>
      <c r="Y971" s="41"/>
      <c r="Z971" s="41"/>
      <c r="AA971" s="44"/>
      <c r="AB971" s="44"/>
      <c r="AC971" s="43"/>
      <c r="AD971" s="43"/>
      <c r="AE971" s="43"/>
    </row>
    <row r="972" spans="1:31" x14ac:dyDescent="0.35">
      <c r="C972" s="33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AA972" s="35"/>
      <c r="AB972" s="35"/>
      <c r="AC972" s="34"/>
      <c r="AD972" s="34"/>
      <c r="AE972" s="34"/>
    </row>
    <row r="973" spans="1:31" ht="15" thickBot="1" x14ac:dyDescent="0.4">
      <c r="A973" s="45"/>
      <c r="B973" s="45"/>
      <c r="C973" s="46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5"/>
      <c r="U973" s="45"/>
      <c r="V973" s="45"/>
      <c r="W973" s="45"/>
      <c r="X973" s="47"/>
      <c r="Y973" s="45"/>
      <c r="Z973" s="45"/>
      <c r="AA973" s="48"/>
      <c r="AB973" s="48"/>
      <c r="AC973" s="47"/>
      <c r="AD973" s="47"/>
      <c r="AE973" s="47"/>
    </row>
    <row r="974" spans="1:31" x14ac:dyDescent="0.35">
      <c r="A974" s="41"/>
      <c r="B974" s="41"/>
      <c r="C974" s="42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1"/>
      <c r="W974" s="41"/>
      <c r="X974" s="41"/>
      <c r="Y974" s="41"/>
      <c r="Z974" s="41"/>
      <c r="AA974" s="44"/>
      <c r="AB974" s="44"/>
      <c r="AC974" s="43"/>
      <c r="AD974" s="43"/>
      <c r="AE974" s="43"/>
    </row>
    <row r="975" spans="1:31" x14ac:dyDescent="0.35">
      <c r="C975" s="33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AA975" s="35"/>
      <c r="AB975" s="35"/>
      <c r="AC975" s="34"/>
      <c r="AD975" s="34"/>
      <c r="AE975" s="34"/>
    </row>
    <row r="976" spans="1:31" ht="15" thickBot="1" x14ac:dyDescent="0.4">
      <c r="A976" s="45"/>
      <c r="B976" s="45"/>
      <c r="C976" s="46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5"/>
      <c r="U976" s="45"/>
      <c r="V976" s="45"/>
      <c r="W976" s="45"/>
      <c r="X976" s="47"/>
      <c r="Y976" s="45"/>
      <c r="Z976" s="45"/>
      <c r="AA976" s="48"/>
      <c r="AB976" s="48"/>
      <c r="AC976" s="47"/>
      <c r="AD976" s="47"/>
      <c r="AE976" s="47"/>
    </row>
    <row r="977" spans="1:31" x14ac:dyDescent="0.35">
      <c r="A977" s="41"/>
      <c r="B977" s="41"/>
      <c r="C977" s="42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1"/>
      <c r="W977" s="41"/>
      <c r="X977" s="41"/>
      <c r="Y977" s="41"/>
      <c r="Z977" s="41"/>
      <c r="AA977" s="44"/>
      <c r="AB977" s="44"/>
      <c r="AC977" s="43"/>
      <c r="AD977" s="43"/>
      <c r="AE977" s="43"/>
    </row>
    <row r="978" spans="1:31" x14ac:dyDescent="0.35">
      <c r="C978" s="33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AA978" s="35"/>
      <c r="AB978" s="35"/>
      <c r="AC978" s="34"/>
      <c r="AD978" s="34"/>
      <c r="AE978" s="34"/>
    </row>
    <row r="979" spans="1:31" ht="15" thickBot="1" x14ac:dyDescent="0.4">
      <c r="A979" s="45"/>
      <c r="B979" s="45"/>
      <c r="C979" s="46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5"/>
      <c r="U979" s="45"/>
      <c r="V979" s="45"/>
      <c r="W979" s="45"/>
      <c r="X979" s="47"/>
      <c r="Y979" s="45"/>
      <c r="Z979" s="45"/>
      <c r="AA979" s="48"/>
      <c r="AB979" s="48"/>
      <c r="AC979" s="47"/>
      <c r="AD979" s="47"/>
      <c r="AE979" s="47"/>
    </row>
    <row r="980" spans="1:31" x14ac:dyDescent="0.35">
      <c r="A980" s="41"/>
      <c r="B980" s="41"/>
      <c r="C980" s="42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1"/>
      <c r="W980" s="41"/>
      <c r="X980" s="41"/>
      <c r="Y980" s="41"/>
      <c r="Z980" s="41"/>
      <c r="AA980" s="44"/>
      <c r="AB980" s="44"/>
      <c r="AC980" s="43"/>
      <c r="AD980" s="43"/>
      <c r="AE980" s="43"/>
    </row>
    <row r="981" spans="1:31" x14ac:dyDescent="0.35">
      <c r="C981" s="33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AA981" s="35"/>
      <c r="AB981" s="35"/>
      <c r="AC981" s="34"/>
      <c r="AD981" s="34"/>
      <c r="AE981" s="34"/>
    </row>
    <row r="982" spans="1:31" ht="15" thickBot="1" x14ac:dyDescent="0.4">
      <c r="A982" s="45"/>
      <c r="B982" s="45"/>
      <c r="C982" s="46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5"/>
      <c r="U982" s="45"/>
      <c r="V982" s="45"/>
      <c r="W982" s="45"/>
      <c r="X982" s="47"/>
      <c r="Y982" s="45"/>
      <c r="Z982" s="45"/>
      <c r="AA982" s="48"/>
      <c r="AB982" s="48"/>
      <c r="AC982" s="47"/>
      <c r="AD982" s="47"/>
      <c r="AE982" s="47"/>
    </row>
    <row r="983" spans="1:31" x14ac:dyDescent="0.35">
      <c r="A983" s="41"/>
      <c r="B983" s="41"/>
      <c r="C983" s="42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1"/>
      <c r="W983" s="41"/>
      <c r="X983" s="41"/>
      <c r="Y983" s="41"/>
      <c r="Z983" s="41"/>
      <c r="AA983" s="44"/>
      <c r="AB983" s="44"/>
      <c r="AC983" s="43"/>
      <c r="AD983" s="43"/>
      <c r="AE983" s="43"/>
    </row>
    <row r="984" spans="1:31" x14ac:dyDescent="0.35">
      <c r="C984" s="33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AA984" s="35"/>
      <c r="AB984" s="35"/>
      <c r="AC984" s="34"/>
      <c r="AD984" s="34"/>
      <c r="AE984" s="34"/>
    </row>
    <row r="985" spans="1:31" ht="15" thickBot="1" x14ac:dyDescent="0.4">
      <c r="A985" s="45"/>
      <c r="B985" s="45"/>
      <c r="C985" s="46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5"/>
      <c r="U985" s="45"/>
      <c r="V985" s="45"/>
      <c r="W985" s="45"/>
      <c r="X985" s="47"/>
      <c r="Y985" s="45"/>
      <c r="Z985" s="45"/>
      <c r="AA985" s="48"/>
      <c r="AB985" s="48"/>
      <c r="AC985" s="47"/>
      <c r="AD985" s="47"/>
      <c r="AE985" s="47"/>
    </row>
    <row r="986" spans="1:31" x14ac:dyDescent="0.35">
      <c r="A986" s="41"/>
      <c r="B986" s="41"/>
      <c r="C986" s="42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1"/>
      <c r="W986" s="41"/>
      <c r="X986" s="41"/>
      <c r="Y986" s="41"/>
      <c r="Z986" s="41"/>
      <c r="AA986" s="44"/>
      <c r="AB986" s="44"/>
      <c r="AC986" s="43"/>
      <c r="AD986" s="43"/>
      <c r="AE986" s="43"/>
    </row>
    <row r="987" spans="1:31" x14ac:dyDescent="0.35">
      <c r="C987" s="33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AA987" s="35"/>
      <c r="AB987" s="35"/>
      <c r="AC987" s="34"/>
      <c r="AD987" s="34"/>
      <c r="AE987" s="34"/>
    </row>
    <row r="988" spans="1:31" ht="15" thickBot="1" x14ac:dyDescent="0.4">
      <c r="A988" s="45"/>
      <c r="B988" s="45"/>
      <c r="C988" s="46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5"/>
      <c r="U988" s="45"/>
      <c r="V988" s="45"/>
      <c r="W988" s="45"/>
      <c r="X988" s="47"/>
      <c r="Y988" s="45"/>
      <c r="Z988" s="45"/>
      <c r="AA988" s="48"/>
      <c r="AB988" s="48"/>
      <c r="AC988" s="47"/>
      <c r="AD988" s="47"/>
      <c r="AE988" s="47"/>
    </row>
    <row r="989" spans="1:31" x14ac:dyDescent="0.35">
      <c r="A989" s="41"/>
      <c r="B989" s="41"/>
      <c r="C989" s="42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1"/>
      <c r="W989" s="41"/>
      <c r="X989" s="41"/>
      <c r="Y989" s="41"/>
      <c r="Z989" s="41"/>
      <c r="AA989" s="44"/>
      <c r="AB989" s="44"/>
      <c r="AC989" s="43"/>
      <c r="AD989" s="43"/>
      <c r="AE989" s="43"/>
    </row>
    <row r="990" spans="1:31" x14ac:dyDescent="0.35">
      <c r="C990" s="33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AA990" s="35"/>
      <c r="AB990" s="35"/>
      <c r="AC990" s="34"/>
      <c r="AD990" s="34"/>
      <c r="AE990" s="34"/>
    </row>
    <row r="991" spans="1:31" ht="15" thickBot="1" x14ac:dyDescent="0.4">
      <c r="A991" s="45"/>
      <c r="B991" s="45"/>
      <c r="C991" s="46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5"/>
      <c r="U991" s="45"/>
      <c r="V991" s="45"/>
      <c r="W991" s="45"/>
      <c r="X991" s="47"/>
      <c r="Y991" s="45"/>
      <c r="Z991" s="45"/>
      <c r="AA991" s="48"/>
      <c r="AB991" s="48"/>
      <c r="AC991" s="47"/>
      <c r="AD991" s="47"/>
      <c r="AE991" s="47"/>
    </row>
    <row r="992" spans="1:31" x14ac:dyDescent="0.35">
      <c r="A992" s="41"/>
      <c r="B992" s="41"/>
      <c r="C992" s="42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1"/>
      <c r="W992" s="41"/>
      <c r="X992" s="41"/>
      <c r="Y992" s="41"/>
      <c r="Z992" s="41"/>
      <c r="AA992" s="44"/>
      <c r="AB992" s="44"/>
      <c r="AC992" s="43"/>
      <c r="AD992" s="43"/>
      <c r="AE992" s="43"/>
    </row>
    <row r="993" spans="1:31" x14ac:dyDescent="0.35">
      <c r="C993" s="33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AA993" s="35"/>
      <c r="AB993" s="35"/>
      <c r="AC993" s="34"/>
      <c r="AD993" s="34"/>
      <c r="AE993" s="34"/>
    </row>
    <row r="994" spans="1:31" ht="15" thickBot="1" x14ac:dyDescent="0.4">
      <c r="A994" s="45"/>
      <c r="B994" s="45"/>
      <c r="C994" s="46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5"/>
      <c r="U994" s="45"/>
      <c r="V994" s="45"/>
      <c r="W994" s="45"/>
      <c r="X994" s="47"/>
      <c r="Y994" s="45"/>
      <c r="Z994" s="45"/>
      <c r="AA994" s="48"/>
      <c r="AB994" s="48"/>
      <c r="AC994" s="47"/>
      <c r="AD994" s="47"/>
      <c r="AE994" s="47"/>
    </row>
    <row r="995" spans="1:31" x14ac:dyDescent="0.35">
      <c r="A995" s="41"/>
      <c r="B995" s="41"/>
      <c r="C995" s="42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1"/>
      <c r="W995" s="41"/>
      <c r="X995" s="41"/>
      <c r="Y995" s="41"/>
      <c r="Z995" s="41"/>
      <c r="AA995" s="44"/>
      <c r="AB995" s="44"/>
      <c r="AC995" s="43"/>
      <c r="AD995" s="43"/>
      <c r="AE995" s="43"/>
    </row>
    <row r="996" spans="1:31" x14ac:dyDescent="0.35">
      <c r="C996" s="33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AA996" s="35"/>
      <c r="AB996" s="35"/>
      <c r="AC996" s="34"/>
      <c r="AD996" s="34"/>
      <c r="AE996" s="34"/>
    </row>
    <row r="997" spans="1:31" ht="15" thickBot="1" x14ac:dyDescent="0.4">
      <c r="A997" s="45"/>
      <c r="B997" s="45"/>
      <c r="C997" s="46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5"/>
      <c r="U997" s="45"/>
      <c r="V997" s="45"/>
      <c r="W997" s="45"/>
      <c r="X997" s="47"/>
      <c r="Y997" s="45"/>
      <c r="Z997" s="45"/>
      <c r="AA997" s="48"/>
      <c r="AB997" s="48"/>
      <c r="AC997" s="47"/>
      <c r="AD997" s="47"/>
      <c r="AE997" s="47"/>
    </row>
    <row r="998" spans="1:31" x14ac:dyDescent="0.35">
      <c r="A998" s="41"/>
      <c r="B998" s="41"/>
      <c r="C998" s="42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1"/>
      <c r="W998" s="41"/>
      <c r="X998" s="41"/>
      <c r="Y998" s="41"/>
      <c r="Z998" s="41"/>
      <c r="AA998" s="44"/>
      <c r="AB998" s="44"/>
      <c r="AC998" s="43"/>
      <c r="AD998" s="43"/>
      <c r="AE998" s="43"/>
    </row>
    <row r="999" spans="1:31" x14ac:dyDescent="0.35">
      <c r="C999" s="33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AA999" s="35"/>
      <c r="AB999" s="35"/>
      <c r="AC999" s="34"/>
      <c r="AD999" s="34"/>
      <c r="AE999" s="34"/>
    </row>
    <row r="1000" spans="1:31" ht="15" thickBot="1" x14ac:dyDescent="0.4">
      <c r="A1000" s="45"/>
      <c r="B1000" s="45"/>
      <c r="C1000" s="46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5"/>
      <c r="U1000" s="45"/>
      <c r="V1000" s="45"/>
      <c r="W1000" s="45"/>
      <c r="X1000" s="47"/>
      <c r="Y1000" s="45"/>
      <c r="Z1000" s="45"/>
      <c r="AA1000" s="48"/>
      <c r="AB1000" s="48"/>
      <c r="AC1000" s="47"/>
      <c r="AD1000" s="47"/>
      <c r="AE1000" s="47"/>
    </row>
    <row r="1001" spans="1:31" x14ac:dyDescent="0.35">
      <c r="A1001" s="41"/>
      <c r="B1001" s="41"/>
      <c r="C1001" s="42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1"/>
      <c r="W1001" s="41"/>
      <c r="X1001" s="41"/>
      <c r="Y1001" s="41"/>
      <c r="Z1001" s="41"/>
      <c r="AA1001" s="44"/>
      <c r="AB1001" s="44"/>
      <c r="AC1001" s="43"/>
      <c r="AD1001" s="43"/>
      <c r="AE1001" s="43"/>
    </row>
    <row r="1002" spans="1:31" x14ac:dyDescent="0.35">
      <c r="C1002" s="33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AA1002" s="35"/>
      <c r="AB1002" s="35"/>
      <c r="AC1002" s="34"/>
      <c r="AD1002" s="34"/>
      <c r="AE1002" s="34"/>
    </row>
    <row r="1003" spans="1:31" ht="15" thickBot="1" x14ac:dyDescent="0.4">
      <c r="A1003" s="45"/>
      <c r="B1003" s="45"/>
      <c r="C1003" s="46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5"/>
      <c r="U1003" s="45"/>
      <c r="V1003" s="45"/>
      <c r="W1003" s="45"/>
      <c r="X1003" s="47"/>
      <c r="Y1003" s="45"/>
      <c r="Z1003" s="45"/>
      <c r="AA1003" s="48"/>
      <c r="AB1003" s="48"/>
      <c r="AC1003" s="47"/>
      <c r="AD1003" s="47"/>
      <c r="AE1003" s="47"/>
    </row>
    <row r="1004" spans="1:31" x14ac:dyDescent="0.35">
      <c r="A1004" s="41"/>
      <c r="B1004" s="41"/>
      <c r="C1004" s="42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1"/>
      <c r="W1004" s="41"/>
      <c r="X1004" s="41"/>
      <c r="Y1004" s="41"/>
      <c r="Z1004" s="41"/>
      <c r="AA1004" s="44"/>
      <c r="AB1004" s="44"/>
      <c r="AC1004" s="43"/>
      <c r="AD1004" s="43"/>
      <c r="AE1004" s="43"/>
    </row>
    <row r="1005" spans="1:31" x14ac:dyDescent="0.35">
      <c r="C1005" s="33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AA1005" s="35"/>
      <c r="AB1005" s="35"/>
      <c r="AC1005" s="34"/>
      <c r="AD1005" s="34"/>
      <c r="AE1005" s="34"/>
    </row>
    <row r="1006" spans="1:31" ht="15" thickBot="1" x14ac:dyDescent="0.4">
      <c r="A1006" s="45"/>
      <c r="B1006" s="45"/>
      <c r="C1006" s="46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  <c r="S1006" s="47"/>
      <c r="T1006" s="45"/>
      <c r="U1006" s="45"/>
      <c r="V1006" s="45"/>
      <c r="W1006" s="45"/>
      <c r="X1006" s="47"/>
      <c r="Y1006" s="45"/>
      <c r="Z1006" s="45"/>
      <c r="AA1006" s="48"/>
      <c r="AB1006" s="48"/>
      <c r="AC1006" s="47"/>
      <c r="AD1006" s="47"/>
      <c r="AE1006" s="47"/>
    </row>
    <row r="1007" spans="1:31" x14ac:dyDescent="0.35">
      <c r="A1007" s="41"/>
      <c r="B1007" s="41"/>
      <c r="C1007" s="42"/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1"/>
      <c r="W1007" s="41"/>
      <c r="X1007" s="41"/>
      <c r="Y1007" s="41"/>
      <c r="Z1007" s="41"/>
      <c r="AA1007" s="44"/>
      <c r="AB1007" s="44"/>
      <c r="AC1007" s="43"/>
      <c r="AD1007" s="43"/>
      <c r="AE1007" s="43"/>
    </row>
    <row r="1008" spans="1:31" x14ac:dyDescent="0.35">
      <c r="C1008" s="33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AA1008" s="35"/>
      <c r="AB1008" s="35"/>
      <c r="AC1008" s="34"/>
      <c r="AD1008" s="34"/>
      <c r="AE1008" s="34"/>
    </row>
    <row r="1009" spans="1:31" ht="15" thickBot="1" x14ac:dyDescent="0.4">
      <c r="A1009" s="45"/>
      <c r="B1009" s="45"/>
      <c r="C1009" s="46"/>
      <c r="D1009" s="47"/>
      <c r="E1009" s="47"/>
      <c r="F1009" s="47"/>
      <c r="G1009" s="47"/>
      <c r="H1009" s="47"/>
      <c r="I1009" s="47"/>
      <c r="J1009" s="47"/>
      <c r="K1009" s="47"/>
      <c r="L1009" s="47"/>
      <c r="M1009" s="47"/>
      <c r="N1009" s="47"/>
      <c r="O1009" s="47"/>
      <c r="P1009" s="47"/>
      <c r="Q1009" s="47"/>
      <c r="R1009" s="47"/>
      <c r="S1009" s="47"/>
      <c r="T1009" s="45"/>
      <c r="U1009" s="45"/>
      <c r="V1009" s="45"/>
      <c r="W1009" s="45"/>
      <c r="X1009" s="47"/>
      <c r="Y1009" s="45"/>
      <c r="Z1009" s="45"/>
      <c r="AA1009" s="48"/>
      <c r="AB1009" s="48"/>
      <c r="AC1009" s="47"/>
      <c r="AD1009" s="47"/>
      <c r="AE1009" s="47"/>
    </row>
    <row r="1010" spans="1:31" x14ac:dyDescent="0.35">
      <c r="A1010" s="41"/>
      <c r="B1010" s="41"/>
      <c r="C1010" s="42"/>
      <c r="D1010" s="43"/>
      <c r="E1010" s="43"/>
      <c r="F1010" s="43"/>
      <c r="G1010" s="43"/>
      <c r="H1010" s="43"/>
      <c r="I1010" s="43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1"/>
      <c r="W1010" s="41"/>
      <c r="X1010" s="41"/>
      <c r="Y1010" s="41"/>
      <c r="Z1010" s="41"/>
      <c r="AA1010" s="44"/>
      <c r="AB1010" s="44"/>
      <c r="AC1010" s="43"/>
      <c r="AD1010" s="43"/>
      <c r="AE1010" s="43"/>
    </row>
    <row r="1011" spans="1:31" x14ac:dyDescent="0.35">
      <c r="C1011" s="33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AA1011" s="35"/>
      <c r="AB1011" s="35"/>
      <c r="AC1011" s="34"/>
      <c r="AD1011" s="34"/>
      <c r="AE1011" s="34"/>
    </row>
    <row r="1012" spans="1:31" ht="15" thickBot="1" x14ac:dyDescent="0.4">
      <c r="A1012" s="45"/>
      <c r="B1012" s="45"/>
      <c r="C1012" s="46"/>
      <c r="D1012" s="47"/>
      <c r="E1012" s="47"/>
      <c r="F1012" s="47"/>
      <c r="G1012" s="47"/>
      <c r="H1012" s="47"/>
      <c r="I1012" s="47"/>
      <c r="J1012" s="47"/>
      <c r="K1012" s="47"/>
      <c r="L1012" s="47"/>
      <c r="M1012" s="47"/>
      <c r="N1012" s="47"/>
      <c r="O1012" s="47"/>
      <c r="P1012" s="47"/>
      <c r="Q1012" s="47"/>
      <c r="R1012" s="47"/>
      <c r="S1012" s="47"/>
      <c r="T1012" s="45"/>
      <c r="U1012" s="45"/>
      <c r="V1012" s="45"/>
      <c r="W1012" s="45"/>
      <c r="X1012" s="47"/>
      <c r="Y1012" s="45"/>
      <c r="Z1012" s="45"/>
      <c r="AA1012" s="48"/>
      <c r="AB1012" s="48"/>
      <c r="AC1012" s="47"/>
      <c r="AD1012" s="47"/>
      <c r="AE1012" s="47"/>
    </row>
    <row r="1013" spans="1:31" x14ac:dyDescent="0.35">
      <c r="A1013" s="41"/>
      <c r="B1013" s="41"/>
      <c r="C1013" s="42"/>
      <c r="D1013" s="43"/>
      <c r="E1013" s="43"/>
      <c r="F1013" s="43"/>
      <c r="G1013" s="43"/>
      <c r="H1013" s="43"/>
      <c r="I1013" s="43"/>
      <c r="J1013" s="43"/>
      <c r="K1013" s="43"/>
      <c r="L1013" s="43"/>
      <c r="M1013" s="43"/>
      <c r="N1013" s="43"/>
      <c r="O1013" s="43"/>
      <c r="P1013" s="43"/>
      <c r="Q1013" s="43"/>
      <c r="R1013" s="43"/>
      <c r="S1013" s="43"/>
      <c r="T1013" s="43"/>
      <c r="U1013" s="43"/>
      <c r="V1013" s="41"/>
      <c r="W1013" s="41"/>
      <c r="X1013" s="41"/>
      <c r="Y1013" s="41"/>
      <c r="Z1013" s="41"/>
      <c r="AA1013" s="44"/>
      <c r="AB1013" s="44"/>
      <c r="AC1013" s="43"/>
      <c r="AD1013" s="43"/>
      <c r="AE1013" s="43"/>
    </row>
    <row r="1014" spans="1:31" x14ac:dyDescent="0.35">
      <c r="C1014" s="33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AA1014" s="35"/>
      <c r="AB1014" s="35"/>
      <c r="AC1014" s="34"/>
      <c r="AD1014" s="34"/>
      <c r="AE1014" s="34"/>
    </row>
    <row r="1015" spans="1:31" ht="15" thickBot="1" x14ac:dyDescent="0.4">
      <c r="A1015" s="45"/>
      <c r="B1015" s="45"/>
      <c r="C1015" s="46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  <c r="S1015" s="47"/>
      <c r="T1015" s="45"/>
      <c r="U1015" s="45"/>
      <c r="V1015" s="45"/>
      <c r="W1015" s="45"/>
      <c r="X1015" s="47"/>
      <c r="Y1015" s="45"/>
      <c r="Z1015" s="45"/>
      <c r="AA1015" s="48"/>
      <c r="AB1015" s="48"/>
      <c r="AC1015" s="47"/>
      <c r="AD1015" s="47"/>
      <c r="AE1015" s="47"/>
    </row>
    <row r="1016" spans="1:31" x14ac:dyDescent="0.35">
      <c r="A1016" s="41"/>
      <c r="B1016" s="41"/>
      <c r="C1016" s="42"/>
      <c r="D1016" s="43"/>
      <c r="E1016" s="43"/>
      <c r="F1016" s="43"/>
      <c r="G1016" s="43"/>
      <c r="H1016" s="43"/>
      <c r="I1016" s="43"/>
      <c r="J1016" s="43"/>
      <c r="K1016" s="43"/>
      <c r="L1016" s="43"/>
      <c r="M1016" s="43"/>
      <c r="N1016" s="43"/>
      <c r="O1016" s="43"/>
      <c r="P1016" s="43"/>
      <c r="Q1016" s="43"/>
      <c r="R1016" s="43"/>
      <c r="S1016" s="43"/>
      <c r="T1016" s="43"/>
      <c r="U1016" s="43"/>
      <c r="V1016" s="41"/>
      <c r="W1016" s="41"/>
      <c r="X1016" s="41"/>
      <c r="Y1016" s="41"/>
      <c r="Z1016" s="41"/>
      <c r="AA1016" s="44"/>
      <c r="AB1016" s="44"/>
      <c r="AC1016" s="43"/>
      <c r="AD1016" s="43"/>
      <c r="AE1016" s="43"/>
    </row>
    <row r="1017" spans="1:31" x14ac:dyDescent="0.35">
      <c r="C1017" s="33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AA1017" s="35"/>
      <c r="AB1017" s="35"/>
      <c r="AC1017" s="34"/>
      <c r="AD1017" s="34"/>
      <c r="AE1017" s="34"/>
    </row>
    <row r="1018" spans="1:31" ht="15" thickBot="1" x14ac:dyDescent="0.4">
      <c r="A1018" s="45"/>
      <c r="B1018" s="45"/>
      <c r="C1018" s="46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  <c r="S1018" s="47"/>
      <c r="T1018" s="45"/>
      <c r="U1018" s="45"/>
      <c r="V1018" s="45"/>
      <c r="W1018" s="45"/>
      <c r="X1018" s="47"/>
      <c r="Y1018" s="45"/>
      <c r="Z1018" s="45"/>
      <c r="AA1018" s="48"/>
      <c r="AB1018" s="48"/>
      <c r="AC1018" s="47"/>
      <c r="AD1018" s="47"/>
      <c r="AE1018" s="47"/>
    </row>
    <row r="1019" spans="1:31" x14ac:dyDescent="0.35">
      <c r="A1019" s="41"/>
      <c r="B1019" s="41"/>
      <c r="C1019" s="42"/>
      <c r="D1019" s="43"/>
      <c r="E1019" s="43"/>
      <c r="F1019" s="43"/>
      <c r="G1019" s="43"/>
      <c r="H1019" s="43"/>
      <c r="I1019" s="43"/>
      <c r="J1019" s="43"/>
      <c r="K1019" s="43"/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1"/>
      <c r="W1019" s="41"/>
      <c r="X1019" s="41"/>
      <c r="Y1019" s="41"/>
      <c r="Z1019" s="41"/>
      <c r="AA1019" s="44"/>
      <c r="AB1019" s="44"/>
      <c r="AC1019" s="43"/>
      <c r="AD1019" s="43"/>
      <c r="AE1019" s="43"/>
    </row>
    <row r="1020" spans="1:31" x14ac:dyDescent="0.35">
      <c r="C1020" s="33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AA1020" s="35"/>
      <c r="AB1020" s="35"/>
      <c r="AC1020" s="34"/>
      <c r="AD1020" s="34"/>
      <c r="AE1020" s="34"/>
    </row>
    <row r="1021" spans="1:31" ht="15" thickBot="1" x14ac:dyDescent="0.4">
      <c r="A1021" s="45"/>
      <c r="B1021" s="45"/>
      <c r="C1021" s="46"/>
      <c r="D1021" s="47"/>
      <c r="E1021" s="47"/>
      <c r="F1021" s="47"/>
      <c r="G1021" s="47"/>
      <c r="H1021" s="47"/>
      <c r="I1021" s="47"/>
      <c r="J1021" s="47"/>
      <c r="K1021" s="47"/>
      <c r="L1021" s="47"/>
      <c r="M1021" s="47"/>
      <c r="N1021" s="47"/>
      <c r="O1021" s="47"/>
      <c r="P1021" s="47"/>
      <c r="Q1021" s="47"/>
      <c r="R1021" s="47"/>
      <c r="S1021" s="47"/>
      <c r="T1021" s="45"/>
      <c r="U1021" s="45"/>
      <c r="V1021" s="45"/>
      <c r="W1021" s="45"/>
      <c r="X1021" s="47"/>
      <c r="Y1021" s="45"/>
      <c r="Z1021" s="45"/>
      <c r="AA1021" s="48"/>
      <c r="AB1021" s="48"/>
      <c r="AC1021" s="47"/>
      <c r="AD1021" s="47"/>
      <c r="AE1021" s="47"/>
    </row>
    <row r="1022" spans="1:31" x14ac:dyDescent="0.35">
      <c r="A1022" s="41"/>
      <c r="B1022" s="41"/>
      <c r="C1022" s="42"/>
      <c r="D1022" s="43"/>
      <c r="E1022" s="43"/>
      <c r="F1022" s="43"/>
      <c r="G1022" s="43"/>
      <c r="H1022" s="43"/>
      <c r="I1022" s="43"/>
      <c r="J1022" s="43"/>
      <c r="K1022" s="43"/>
      <c r="L1022" s="43"/>
      <c r="M1022" s="43"/>
      <c r="N1022" s="43"/>
      <c r="O1022" s="43"/>
      <c r="P1022" s="43"/>
      <c r="Q1022" s="43"/>
      <c r="R1022" s="43"/>
      <c r="S1022" s="43"/>
      <c r="T1022" s="43"/>
      <c r="U1022" s="43"/>
      <c r="V1022" s="41"/>
      <c r="W1022" s="41"/>
      <c r="X1022" s="41"/>
      <c r="Y1022" s="41"/>
      <c r="Z1022" s="41"/>
      <c r="AA1022" s="44"/>
      <c r="AB1022" s="44"/>
      <c r="AC1022" s="43"/>
      <c r="AD1022" s="43"/>
      <c r="AE1022" s="43"/>
    </row>
    <row r="1023" spans="1:31" x14ac:dyDescent="0.35">
      <c r="C1023" s="33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AA1023" s="35"/>
      <c r="AB1023" s="35"/>
      <c r="AC1023" s="34"/>
      <c r="AD1023" s="34"/>
      <c r="AE1023" s="34"/>
    </row>
    <row r="1024" spans="1:31" ht="15" thickBot="1" x14ac:dyDescent="0.4">
      <c r="A1024" s="45"/>
      <c r="B1024" s="45"/>
      <c r="C1024" s="46"/>
      <c r="D1024" s="47"/>
      <c r="E1024" s="47"/>
      <c r="F1024" s="47"/>
      <c r="G1024" s="47"/>
      <c r="H1024" s="47"/>
      <c r="I1024" s="47"/>
      <c r="J1024" s="47"/>
      <c r="K1024" s="47"/>
      <c r="L1024" s="47"/>
      <c r="M1024" s="47"/>
      <c r="N1024" s="47"/>
      <c r="O1024" s="47"/>
      <c r="P1024" s="47"/>
      <c r="Q1024" s="47"/>
      <c r="R1024" s="47"/>
      <c r="S1024" s="47"/>
      <c r="T1024" s="45"/>
      <c r="U1024" s="45"/>
      <c r="V1024" s="45"/>
      <c r="W1024" s="45"/>
      <c r="X1024" s="47"/>
      <c r="Y1024" s="45"/>
      <c r="Z1024" s="45"/>
      <c r="AA1024" s="48"/>
      <c r="AB1024" s="48"/>
      <c r="AC1024" s="47"/>
      <c r="AD1024" s="47"/>
      <c r="AE1024" s="47"/>
    </row>
    <row r="1025" spans="1:31" x14ac:dyDescent="0.35">
      <c r="A1025" s="41"/>
      <c r="B1025" s="41"/>
      <c r="C1025" s="42"/>
      <c r="D1025" s="43"/>
      <c r="E1025" s="43"/>
      <c r="F1025" s="43"/>
      <c r="G1025" s="43"/>
      <c r="H1025" s="43"/>
      <c r="I1025" s="43"/>
      <c r="J1025" s="43"/>
      <c r="K1025" s="43"/>
      <c r="L1025" s="43"/>
      <c r="M1025" s="43"/>
      <c r="N1025" s="43"/>
      <c r="O1025" s="43"/>
      <c r="P1025" s="43"/>
      <c r="Q1025" s="43"/>
      <c r="R1025" s="43"/>
      <c r="S1025" s="43"/>
      <c r="T1025" s="43"/>
      <c r="U1025" s="43"/>
      <c r="V1025" s="41"/>
      <c r="W1025" s="41"/>
      <c r="X1025" s="41"/>
      <c r="Y1025" s="41"/>
      <c r="Z1025" s="41"/>
      <c r="AA1025" s="44"/>
      <c r="AB1025" s="44"/>
      <c r="AC1025" s="43"/>
      <c r="AD1025" s="43"/>
      <c r="AE1025" s="43"/>
    </row>
    <row r="1026" spans="1:31" x14ac:dyDescent="0.35">
      <c r="C1026" s="33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AA1026" s="35"/>
      <c r="AB1026" s="35"/>
      <c r="AC1026" s="34"/>
      <c r="AD1026" s="34"/>
      <c r="AE1026" s="34"/>
    </row>
    <row r="1027" spans="1:31" ht="15" thickBot="1" x14ac:dyDescent="0.4">
      <c r="A1027" s="45"/>
      <c r="B1027" s="45"/>
      <c r="C1027" s="46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  <c r="S1027" s="47"/>
      <c r="T1027" s="45"/>
      <c r="U1027" s="45"/>
      <c r="V1027" s="45"/>
      <c r="W1027" s="45"/>
      <c r="X1027" s="47"/>
      <c r="Y1027" s="45"/>
      <c r="Z1027" s="45"/>
      <c r="AA1027" s="48"/>
      <c r="AB1027" s="48"/>
      <c r="AC1027" s="47"/>
      <c r="AD1027" s="47"/>
      <c r="AE1027" s="47"/>
    </row>
    <row r="1028" spans="1:31" x14ac:dyDescent="0.35">
      <c r="A1028" s="41"/>
      <c r="B1028" s="41"/>
      <c r="C1028" s="42"/>
      <c r="D1028" s="43"/>
      <c r="E1028" s="43"/>
      <c r="F1028" s="43"/>
      <c r="G1028" s="43"/>
      <c r="H1028" s="43"/>
      <c r="I1028" s="43"/>
      <c r="J1028" s="43"/>
      <c r="K1028" s="43"/>
      <c r="L1028" s="43"/>
      <c r="M1028" s="43"/>
      <c r="N1028" s="43"/>
      <c r="O1028" s="43"/>
      <c r="P1028" s="43"/>
      <c r="Q1028" s="43"/>
      <c r="R1028" s="43"/>
      <c r="S1028" s="43"/>
      <c r="T1028" s="43"/>
      <c r="U1028" s="43"/>
      <c r="V1028" s="41"/>
      <c r="W1028" s="41"/>
      <c r="X1028" s="41"/>
      <c r="Y1028" s="41"/>
      <c r="Z1028" s="41"/>
      <c r="AA1028" s="44"/>
      <c r="AB1028" s="44"/>
      <c r="AC1028" s="43"/>
      <c r="AD1028" s="43"/>
      <c r="AE1028" s="43"/>
    </row>
    <row r="1029" spans="1:31" x14ac:dyDescent="0.35">
      <c r="C1029" s="33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AA1029" s="35"/>
      <c r="AB1029" s="35"/>
      <c r="AC1029" s="34"/>
      <c r="AD1029" s="34"/>
      <c r="AE1029" s="34"/>
    </row>
    <row r="1030" spans="1:31" ht="15" thickBot="1" x14ac:dyDescent="0.4">
      <c r="A1030" s="45"/>
      <c r="B1030" s="45"/>
      <c r="C1030" s="46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  <c r="S1030" s="47"/>
      <c r="T1030" s="45"/>
      <c r="U1030" s="45"/>
      <c r="V1030" s="45"/>
      <c r="W1030" s="45"/>
      <c r="X1030" s="47"/>
      <c r="Y1030" s="45"/>
      <c r="Z1030" s="45"/>
      <c r="AA1030" s="48"/>
      <c r="AB1030" s="48"/>
      <c r="AC1030" s="47"/>
      <c r="AD1030" s="47"/>
      <c r="AE1030" s="47"/>
    </row>
    <row r="1031" spans="1:31" x14ac:dyDescent="0.35">
      <c r="A1031" s="41"/>
      <c r="B1031" s="41"/>
      <c r="C1031" s="42"/>
      <c r="D1031" s="43"/>
      <c r="E1031" s="43"/>
      <c r="F1031" s="43"/>
      <c r="G1031" s="43"/>
      <c r="H1031" s="43"/>
      <c r="I1031" s="43"/>
      <c r="J1031" s="43"/>
      <c r="K1031" s="43"/>
      <c r="L1031" s="43"/>
      <c r="M1031" s="43"/>
      <c r="N1031" s="43"/>
      <c r="O1031" s="43"/>
      <c r="P1031" s="43"/>
      <c r="Q1031" s="43"/>
      <c r="R1031" s="43"/>
      <c r="S1031" s="43"/>
      <c r="T1031" s="43"/>
      <c r="U1031" s="43"/>
      <c r="V1031" s="41"/>
      <c r="W1031" s="41"/>
      <c r="X1031" s="41"/>
      <c r="Y1031" s="41"/>
      <c r="Z1031" s="41"/>
      <c r="AA1031" s="44"/>
      <c r="AB1031" s="44"/>
      <c r="AC1031" s="43"/>
      <c r="AD1031" s="43"/>
      <c r="AE1031" s="43"/>
    </row>
    <row r="1032" spans="1:31" x14ac:dyDescent="0.35">
      <c r="C1032" s="33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AA1032" s="35"/>
      <c r="AB1032" s="35"/>
      <c r="AC1032" s="34"/>
      <c r="AD1032" s="34"/>
      <c r="AE1032" s="34"/>
    </row>
    <row r="1033" spans="1:31" ht="15" thickBot="1" x14ac:dyDescent="0.4">
      <c r="A1033" s="45"/>
      <c r="B1033" s="45"/>
      <c r="C1033" s="46"/>
      <c r="D1033" s="47"/>
      <c r="E1033" s="47"/>
      <c r="F1033" s="47"/>
      <c r="G1033" s="47"/>
      <c r="H1033" s="47"/>
      <c r="I1033" s="47"/>
      <c r="J1033" s="47"/>
      <c r="K1033" s="47"/>
      <c r="L1033" s="47"/>
      <c r="M1033" s="47"/>
      <c r="N1033" s="47"/>
      <c r="O1033" s="47"/>
      <c r="P1033" s="47"/>
      <c r="Q1033" s="47"/>
      <c r="R1033" s="47"/>
      <c r="S1033" s="47"/>
      <c r="T1033" s="45"/>
      <c r="U1033" s="45"/>
      <c r="V1033" s="45"/>
      <c r="W1033" s="45"/>
      <c r="X1033" s="47"/>
      <c r="Y1033" s="45"/>
      <c r="Z1033" s="45"/>
      <c r="AA1033" s="48"/>
      <c r="AB1033" s="48"/>
      <c r="AC1033" s="47"/>
      <c r="AD1033" s="47"/>
      <c r="AE1033" s="47"/>
    </row>
    <row r="1034" spans="1:31" x14ac:dyDescent="0.35">
      <c r="A1034" s="41"/>
      <c r="B1034" s="41"/>
      <c r="C1034" s="42"/>
      <c r="D1034" s="43"/>
      <c r="E1034" s="43"/>
      <c r="F1034" s="43"/>
      <c r="G1034" s="43"/>
      <c r="H1034" s="43"/>
      <c r="I1034" s="43"/>
      <c r="J1034" s="43"/>
      <c r="K1034" s="43"/>
      <c r="L1034" s="43"/>
      <c r="M1034" s="43"/>
      <c r="N1034" s="43"/>
      <c r="O1034" s="43"/>
      <c r="P1034" s="43"/>
      <c r="Q1034" s="43"/>
      <c r="R1034" s="43"/>
      <c r="S1034" s="43"/>
      <c r="T1034" s="43"/>
      <c r="U1034" s="43"/>
      <c r="V1034" s="41"/>
      <c r="W1034" s="41"/>
      <c r="X1034" s="41"/>
      <c r="Y1034" s="41"/>
      <c r="Z1034" s="41"/>
      <c r="AA1034" s="44"/>
      <c r="AB1034" s="44"/>
      <c r="AC1034" s="43"/>
      <c r="AD1034" s="43"/>
      <c r="AE1034" s="43"/>
    </row>
    <row r="1035" spans="1:31" x14ac:dyDescent="0.35">
      <c r="C1035" s="33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AA1035" s="35"/>
      <c r="AB1035" s="35"/>
      <c r="AC1035" s="34"/>
      <c r="AD1035" s="34"/>
      <c r="AE1035" s="34"/>
    </row>
    <row r="1036" spans="1:31" ht="15" thickBot="1" x14ac:dyDescent="0.4">
      <c r="A1036" s="45"/>
      <c r="B1036" s="45"/>
      <c r="C1036" s="46"/>
      <c r="D1036" s="47"/>
      <c r="E1036" s="47"/>
      <c r="F1036" s="47"/>
      <c r="G1036" s="47"/>
      <c r="H1036" s="47"/>
      <c r="I1036" s="47"/>
      <c r="J1036" s="47"/>
      <c r="K1036" s="47"/>
      <c r="L1036" s="47"/>
      <c r="M1036" s="47"/>
      <c r="N1036" s="47"/>
      <c r="O1036" s="47"/>
      <c r="P1036" s="47"/>
      <c r="Q1036" s="47"/>
      <c r="R1036" s="47"/>
      <c r="S1036" s="47"/>
      <c r="T1036" s="45"/>
      <c r="U1036" s="45"/>
      <c r="V1036" s="45"/>
      <c r="W1036" s="45"/>
      <c r="X1036" s="47"/>
      <c r="Y1036" s="45"/>
      <c r="Z1036" s="45"/>
      <c r="AA1036" s="48"/>
      <c r="AB1036" s="48"/>
      <c r="AC1036" s="47"/>
      <c r="AD1036" s="47"/>
      <c r="AE1036" s="47"/>
    </row>
    <row r="1037" spans="1:31" x14ac:dyDescent="0.35">
      <c r="A1037" s="41"/>
      <c r="B1037" s="41"/>
      <c r="C1037" s="42"/>
      <c r="D1037" s="43"/>
      <c r="E1037" s="43"/>
      <c r="F1037" s="43"/>
      <c r="G1037" s="43"/>
      <c r="H1037" s="43"/>
      <c r="I1037" s="43"/>
      <c r="J1037" s="43"/>
      <c r="K1037" s="43"/>
      <c r="L1037" s="43"/>
      <c r="M1037" s="43"/>
      <c r="N1037" s="43"/>
      <c r="O1037" s="43"/>
      <c r="P1037" s="43"/>
      <c r="Q1037" s="43"/>
      <c r="R1037" s="43"/>
      <c r="S1037" s="43"/>
      <c r="T1037" s="43"/>
      <c r="U1037" s="43"/>
      <c r="V1037" s="41"/>
      <c r="W1037" s="41"/>
      <c r="X1037" s="41"/>
      <c r="Y1037" s="41"/>
      <c r="Z1037" s="41"/>
      <c r="AA1037" s="44"/>
      <c r="AB1037" s="44"/>
      <c r="AC1037" s="43"/>
      <c r="AD1037" s="43"/>
      <c r="AE1037" s="43"/>
    </row>
    <row r="1038" spans="1:31" x14ac:dyDescent="0.35">
      <c r="C1038" s="33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AA1038" s="35"/>
      <c r="AB1038" s="35"/>
      <c r="AC1038" s="34"/>
      <c r="AD1038" s="34"/>
      <c r="AE1038" s="34"/>
    </row>
    <row r="1039" spans="1:31" ht="15" thickBot="1" x14ac:dyDescent="0.4">
      <c r="A1039" s="45"/>
      <c r="B1039" s="45"/>
      <c r="C1039" s="46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  <c r="S1039" s="47"/>
      <c r="T1039" s="45"/>
      <c r="U1039" s="45"/>
      <c r="V1039" s="45"/>
      <c r="W1039" s="45"/>
      <c r="X1039" s="47"/>
      <c r="Y1039" s="45"/>
      <c r="Z1039" s="45"/>
      <c r="AA1039" s="48"/>
      <c r="AB1039" s="48"/>
      <c r="AC1039" s="47"/>
      <c r="AD1039" s="47"/>
      <c r="AE1039" s="47"/>
    </row>
    <row r="1040" spans="1:31" x14ac:dyDescent="0.35">
      <c r="A1040" s="41"/>
      <c r="B1040" s="41"/>
      <c r="C1040" s="42"/>
      <c r="D1040" s="43"/>
      <c r="E1040" s="43"/>
      <c r="F1040" s="43"/>
      <c r="G1040" s="43"/>
      <c r="H1040" s="43"/>
      <c r="I1040" s="43"/>
      <c r="J1040" s="43"/>
      <c r="K1040" s="43"/>
      <c r="L1040" s="43"/>
      <c r="M1040" s="43"/>
      <c r="N1040" s="43"/>
      <c r="O1040" s="43"/>
      <c r="P1040" s="43"/>
      <c r="Q1040" s="43"/>
      <c r="R1040" s="43"/>
      <c r="S1040" s="43"/>
      <c r="T1040" s="43"/>
      <c r="U1040" s="43"/>
      <c r="V1040" s="41"/>
      <c r="W1040" s="41"/>
      <c r="X1040" s="41"/>
      <c r="Y1040" s="41"/>
      <c r="Z1040" s="41"/>
      <c r="AA1040" s="44"/>
      <c r="AB1040" s="44"/>
      <c r="AC1040" s="43"/>
      <c r="AD1040" s="43"/>
      <c r="AE1040" s="43"/>
    </row>
    <row r="1041" spans="1:31" x14ac:dyDescent="0.35">
      <c r="C1041" s="33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AA1041" s="35"/>
      <c r="AB1041" s="35"/>
      <c r="AC1041" s="34"/>
      <c r="AD1041" s="34"/>
      <c r="AE1041" s="34"/>
    </row>
    <row r="1042" spans="1:31" ht="15" thickBot="1" x14ac:dyDescent="0.4">
      <c r="A1042" s="45"/>
      <c r="B1042" s="45"/>
      <c r="C1042" s="46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  <c r="S1042" s="47"/>
      <c r="T1042" s="45"/>
      <c r="U1042" s="45"/>
      <c r="V1042" s="45"/>
      <c r="W1042" s="45"/>
      <c r="X1042" s="47"/>
      <c r="Y1042" s="45"/>
      <c r="Z1042" s="45"/>
      <c r="AA1042" s="48"/>
      <c r="AB1042" s="48"/>
      <c r="AC1042" s="47"/>
      <c r="AD1042" s="47"/>
      <c r="AE1042" s="47"/>
    </row>
    <row r="1043" spans="1:31" x14ac:dyDescent="0.35">
      <c r="A1043" s="41"/>
      <c r="B1043" s="41"/>
      <c r="C1043" s="42"/>
      <c r="D1043" s="43"/>
      <c r="E1043" s="43"/>
      <c r="F1043" s="43"/>
      <c r="G1043" s="43"/>
      <c r="H1043" s="43"/>
      <c r="I1043" s="43"/>
      <c r="J1043" s="43"/>
      <c r="K1043" s="43"/>
      <c r="L1043" s="43"/>
      <c r="M1043" s="43"/>
      <c r="N1043" s="43"/>
      <c r="O1043" s="43"/>
      <c r="P1043" s="43"/>
      <c r="Q1043" s="43"/>
      <c r="R1043" s="43"/>
      <c r="S1043" s="43"/>
      <c r="T1043" s="43"/>
      <c r="U1043" s="43"/>
      <c r="V1043" s="41"/>
      <c r="W1043" s="41"/>
      <c r="X1043" s="41"/>
      <c r="Y1043" s="41"/>
      <c r="Z1043" s="41"/>
      <c r="AA1043" s="44"/>
      <c r="AB1043" s="44"/>
      <c r="AC1043" s="43"/>
      <c r="AD1043" s="43"/>
      <c r="AE1043" s="43"/>
    </row>
    <row r="1044" spans="1:31" x14ac:dyDescent="0.35">
      <c r="C1044" s="33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AA1044" s="35"/>
      <c r="AB1044" s="35"/>
      <c r="AC1044" s="34"/>
      <c r="AD1044" s="34"/>
      <c r="AE1044" s="34"/>
    </row>
    <row r="1045" spans="1:31" ht="15" thickBot="1" x14ac:dyDescent="0.4">
      <c r="A1045" s="45"/>
      <c r="B1045" s="45"/>
      <c r="C1045" s="46"/>
      <c r="D1045" s="47"/>
      <c r="E1045" s="47"/>
      <c r="F1045" s="47"/>
      <c r="G1045" s="47"/>
      <c r="H1045" s="47"/>
      <c r="I1045" s="47"/>
      <c r="J1045" s="47"/>
      <c r="K1045" s="47"/>
      <c r="L1045" s="47"/>
      <c r="M1045" s="47"/>
      <c r="N1045" s="47"/>
      <c r="O1045" s="47"/>
      <c r="P1045" s="47"/>
      <c r="Q1045" s="47"/>
      <c r="R1045" s="47"/>
      <c r="S1045" s="47"/>
      <c r="T1045" s="45"/>
      <c r="U1045" s="45"/>
      <c r="V1045" s="45"/>
      <c r="W1045" s="45"/>
      <c r="X1045" s="47"/>
      <c r="Y1045" s="45"/>
      <c r="Z1045" s="45"/>
      <c r="AA1045" s="48"/>
      <c r="AB1045" s="48"/>
      <c r="AC1045" s="47"/>
      <c r="AD1045" s="47"/>
      <c r="AE1045" s="47"/>
    </row>
    <row r="1046" spans="1:31" x14ac:dyDescent="0.35">
      <c r="A1046" s="41"/>
      <c r="B1046" s="41"/>
      <c r="C1046" s="42"/>
      <c r="D1046" s="43"/>
      <c r="E1046" s="43"/>
      <c r="F1046" s="43"/>
      <c r="G1046" s="43"/>
      <c r="H1046" s="43"/>
      <c r="I1046" s="43"/>
      <c r="J1046" s="43"/>
      <c r="K1046" s="43"/>
      <c r="L1046" s="43"/>
      <c r="M1046" s="43"/>
      <c r="N1046" s="43"/>
      <c r="O1046" s="43"/>
      <c r="P1046" s="43"/>
      <c r="Q1046" s="43"/>
      <c r="R1046" s="43"/>
      <c r="S1046" s="43"/>
      <c r="T1046" s="43"/>
      <c r="U1046" s="43"/>
      <c r="V1046" s="41"/>
      <c r="W1046" s="41"/>
      <c r="X1046" s="41"/>
      <c r="Y1046" s="41"/>
      <c r="Z1046" s="41"/>
      <c r="AA1046" s="44"/>
      <c r="AB1046" s="44"/>
      <c r="AC1046" s="43"/>
      <c r="AD1046" s="43"/>
      <c r="AE1046" s="43"/>
    </row>
    <row r="1047" spans="1:31" x14ac:dyDescent="0.35">
      <c r="C1047" s="33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AA1047" s="35"/>
      <c r="AB1047" s="35"/>
      <c r="AC1047" s="34"/>
      <c r="AD1047" s="34"/>
      <c r="AE1047" s="34"/>
    </row>
    <row r="1048" spans="1:31" ht="15" thickBot="1" x14ac:dyDescent="0.4">
      <c r="A1048" s="45"/>
      <c r="B1048" s="45"/>
      <c r="C1048" s="46"/>
      <c r="D1048" s="47"/>
      <c r="E1048" s="47"/>
      <c r="F1048" s="47"/>
      <c r="G1048" s="47"/>
      <c r="H1048" s="47"/>
      <c r="I1048" s="47"/>
      <c r="J1048" s="47"/>
      <c r="K1048" s="47"/>
      <c r="L1048" s="47"/>
      <c r="M1048" s="47"/>
      <c r="N1048" s="47"/>
      <c r="O1048" s="47"/>
      <c r="P1048" s="47"/>
      <c r="Q1048" s="47"/>
      <c r="R1048" s="47"/>
      <c r="S1048" s="47"/>
      <c r="T1048" s="45"/>
      <c r="U1048" s="45"/>
      <c r="V1048" s="45"/>
      <c r="W1048" s="45"/>
      <c r="X1048" s="47"/>
      <c r="Y1048" s="45"/>
      <c r="Z1048" s="45"/>
      <c r="AA1048" s="48"/>
      <c r="AB1048" s="48"/>
      <c r="AC1048" s="47"/>
      <c r="AD1048" s="47"/>
      <c r="AE1048" s="47"/>
    </row>
    <row r="1049" spans="1:31" x14ac:dyDescent="0.35">
      <c r="A1049" s="41"/>
      <c r="B1049" s="41"/>
      <c r="C1049" s="42"/>
      <c r="D1049" s="43"/>
      <c r="E1049" s="43"/>
      <c r="F1049" s="43"/>
      <c r="G1049" s="43"/>
      <c r="H1049" s="43"/>
      <c r="I1049" s="43"/>
      <c r="J1049" s="43"/>
      <c r="K1049" s="43"/>
      <c r="L1049" s="43"/>
      <c r="M1049" s="43"/>
      <c r="N1049" s="43"/>
      <c r="O1049" s="43"/>
      <c r="P1049" s="43"/>
      <c r="Q1049" s="43"/>
      <c r="R1049" s="43"/>
      <c r="S1049" s="43"/>
      <c r="T1049" s="43"/>
      <c r="U1049" s="43"/>
      <c r="V1049" s="41"/>
      <c r="W1049" s="41"/>
      <c r="X1049" s="41"/>
      <c r="Y1049" s="41"/>
      <c r="Z1049" s="41"/>
      <c r="AA1049" s="44"/>
      <c r="AB1049" s="44"/>
      <c r="AC1049" s="43"/>
      <c r="AD1049" s="43"/>
      <c r="AE1049" s="43"/>
    </row>
    <row r="1050" spans="1:31" x14ac:dyDescent="0.35">
      <c r="C1050" s="33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AA1050" s="35"/>
      <c r="AB1050" s="35"/>
      <c r="AC1050" s="34"/>
      <c r="AD1050" s="34"/>
      <c r="AE1050" s="34"/>
    </row>
    <row r="1051" spans="1:31" ht="15" thickBot="1" x14ac:dyDescent="0.4">
      <c r="A1051" s="45"/>
      <c r="B1051" s="45"/>
      <c r="C1051" s="46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  <c r="S1051" s="47"/>
      <c r="T1051" s="45"/>
      <c r="U1051" s="45"/>
      <c r="V1051" s="45"/>
      <c r="W1051" s="45"/>
      <c r="X1051" s="47"/>
      <c r="Y1051" s="45"/>
      <c r="Z1051" s="45"/>
      <c r="AA1051" s="48"/>
      <c r="AB1051" s="48"/>
      <c r="AC1051" s="47"/>
      <c r="AD1051" s="47"/>
      <c r="AE1051" s="47"/>
    </row>
    <row r="1052" spans="1:31" x14ac:dyDescent="0.35">
      <c r="A1052" s="41"/>
      <c r="B1052" s="41"/>
      <c r="C1052" s="42"/>
      <c r="D1052" s="43"/>
      <c r="E1052" s="43"/>
      <c r="F1052" s="43"/>
      <c r="G1052" s="43"/>
      <c r="H1052" s="43"/>
      <c r="I1052" s="43"/>
      <c r="J1052" s="43"/>
      <c r="K1052" s="43"/>
      <c r="L1052" s="43"/>
      <c r="M1052" s="43"/>
      <c r="N1052" s="43"/>
      <c r="O1052" s="43"/>
      <c r="P1052" s="43"/>
      <c r="Q1052" s="43"/>
      <c r="R1052" s="43"/>
      <c r="S1052" s="43"/>
      <c r="T1052" s="43"/>
      <c r="U1052" s="43"/>
      <c r="V1052" s="41"/>
      <c r="W1052" s="41"/>
      <c r="X1052" s="41"/>
      <c r="Y1052" s="41"/>
      <c r="Z1052" s="41"/>
      <c r="AA1052" s="44"/>
      <c r="AB1052" s="44"/>
      <c r="AC1052" s="43"/>
      <c r="AD1052" s="43"/>
      <c r="AE1052" s="43"/>
    </row>
    <row r="1053" spans="1:31" x14ac:dyDescent="0.35">
      <c r="C1053" s="33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AA1053" s="35"/>
      <c r="AB1053" s="35"/>
      <c r="AC1053" s="34"/>
      <c r="AD1053" s="34"/>
      <c r="AE1053" s="34"/>
    </row>
    <row r="1054" spans="1:31" ht="15" thickBot="1" x14ac:dyDescent="0.4">
      <c r="A1054" s="45"/>
      <c r="B1054" s="45"/>
      <c r="C1054" s="46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  <c r="S1054" s="47"/>
      <c r="T1054" s="45"/>
      <c r="U1054" s="45"/>
      <c r="V1054" s="45"/>
      <c r="W1054" s="45"/>
      <c r="X1054" s="47"/>
      <c r="Y1054" s="45"/>
      <c r="Z1054" s="45"/>
      <c r="AA1054" s="48"/>
      <c r="AB1054" s="48"/>
      <c r="AC1054" s="47"/>
      <c r="AD1054" s="47"/>
      <c r="AE1054" s="47"/>
    </row>
    <row r="1055" spans="1:31" x14ac:dyDescent="0.35">
      <c r="A1055" s="41"/>
      <c r="B1055" s="41"/>
      <c r="C1055" s="42"/>
      <c r="D1055" s="43"/>
      <c r="E1055" s="43"/>
      <c r="F1055" s="43"/>
      <c r="G1055" s="43"/>
      <c r="H1055" s="43"/>
      <c r="I1055" s="43"/>
      <c r="J1055" s="43"/>
      <c r="K1055" s="43"/>
      <c r="L1055" s="43"/>
      <c r="M1055" s="43"/>
      <c r="N1055" s="43"/>
      <c r="O1055" s="43"/>
      <c r="P1055" s="43"/>
      <c r="Q1055" s="43"/>
      <c r="R1055" s="43"/>
      <c r="S1055" s="43"/>
      <c r="T1055" s="43"/>
      <c r="U1055" s="43"/>
      <c r="V1055" s="41"/>
      <c r="W1055" s="41"/>
      <c r="X1055" s="41"/>
      <c r="Y1055" s="41"/>
      <c r="Z1055" s="41"/>
      <c r="AA1055" s="44"/>
      <c r="AB1055" s="44"/>
      <c r="AC1055" s="43"/>
      <c r="AD1055" s="43"/>
      <c r="AE1055" s="43"/>
    </row>
    <row r="1056" spans="1:31" x14ac:dyDescent="0.35">
      <c r="C1056" s="33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AA1056" s="35"/>
      <c r="AB1056" s="35"/>
      <c r="AC1056" s="34"/>
      <c r="AD1056" s="34"/>
      <c r="AE1056" s="34"/>
    </row>
    <row r="1057" spans="1:31" ht="15" thickBot="1" x14ac:dyDescent="0.4">
      <c r="A1057" s="45"/>
      <c r="B1057" s="45"/>
      <c r="C1057" s="46"/>
      <c r="D1057" s="47"/>
      <c r="E1057" s="47"/>
      <c r="F1057" s="47"/>
      <c r="G1057" s="47"/>
      <c r="H1057" s="47"/>
      <c r="I1057" s="47"/>
      <c r="J1057" s="47"/>
      <c r="K1057" s="47"/>
      <c r="L1057" s="47"/>
      <c r="M1057" s="47"/>
      <c r="N1057" s="47"/>
      <c r="O1057" s="47"/>
      <c r="P1057" s="47"/>
      <c r="Q1057" s="47"/>
      <c r="R1057" s="47"/>
      <c r="S1057" s="47"/>
      <c r="T1057" s="45"/>
      <c r="U1057" s="45"/>
      <c r="V1057" s="45"/>
      <c r="W1057" s="45"/>
      <c r="X1057" s="47"/>
      <c r="Y1057" s="45"/>
      <c r="Z1057" s="45"/>
      <c r="AA1057" s="48"/>
      <c r="AB1057" s="48"/>
      <c r="AC1057" s="47"/>
      <c r="AD1057" s="47"/>
      <c r="AE1057" s="47"/>
    </row>
    <row r="1058" spans="1:31" x14ac:dyDescent="0.35">
      <c r="A1058" s="41"/>
      <c r="B1058" s="41"/>
      <c r="C1058" s="42"/>
      <c r="D1058" s="43"/>
      <c r="E1058" s="43"/>
      <c r="F1058" s="43"/>
      <c r="G1058" s="43"/>
      <c r="H1058" s="43"/>
      <c r="I1058" s="43"/>
      <c r="J1058" s="43"/>
      <c r="K1058" s="43"/>
      <c r="L1058" s="43"/>
      <c r="M1058" s="43"/>
      <c r="N1058" s="43"/>
      <c r="O1058" s="43"/>
      <c r="P1058" s="43"/>
      <c r="Q1058" s="43"/>
      <c r="R1058" s="43"/>
      <c r="S1058" s="43"/>
      <c r="T1058" s="43"/>
      <c r="U1058" s="43"/>
      <c r="V1058" s="41"/>
      <c r="W1058" s="41"/>
      <c r="X1058" s="41"/>
      <c r="Y1058" s="41"/>
      <c r="Z1058" s="41"/>
      <c r="AA1058" s="44"/>
      <c r="AB1058" s="44"/>
      <c r="AC1058" s="43"/>
      <c r="AD1058" s="43"/>
      <c r="AE1058" s="43"/>
    </row>
    <row r="1059" spans="1:31" x14ac:dyDescent="0.35">
      <c r="C1059" s="33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AA1059" s="35"/>
      <c r="AB1059" s="35"/>
      <c r="AC1059" s="34"/>
      <c r="AD1059" s="34"/>
      <c r="AE1059" s="34"/>
    </row>
    <row r="1060" spans="1:31" ht="15" thickBot="1" x14ac:dyDescent="0.4">
      <c r="A1060" s="45"/>
      <c r="B1060" s="45"/>
      <c r="C1060" s="46"/>
      <c r="D1060" s="47"/>
      <c r="E1060" s="47"/>
      <c r="F1060" s="47"/>
      <c r="G1060" s="47"/>
      <c r="H1060" s="47"/>
      <c r="I1060" s="47"/>
      <c r="J1060" s="47"/>
      <c r="K1060" s="47"/>
      <c r="L1060" s="47"/>
      <c r="M1060" s="47"/>
      <c r="N1060" s="47"/>
      <c r="O1060" s="47"/>
      <c r="P1060" s="47"/>
      <c r="Q1060" s="47"/>
      <c r="R1060" s="47"/>
      <c r="S1060" s="47"/>
      <c r="T1060" s="45"/>
      <c r="U1060" s="45"/>
      <c r="V1060" s="45"/>
      <c r="W1060" s="45"/>
      <c r="X1060" s="47"/>
      <c r="Y1060" s="45"/>
      <c r="Z1060" s="45"/>
      <c r="AA1060" s="48"/>
      <c r="AB1060" s="48"/>
      <c r="AC1060" s="47"/>
      <c r="AD1060" s="47"/>
      <c r="AE1060" s="47"/>
    </row>
    <row r="1061" spans="1:31" x14ac:dyDescent="0.35">
      <c r="A1061" s="41"/>
      <c r="B1061" s="41"/>
      <c r="C1061" s="42"/>
      <c r="D1061" s="43"/>
      <c r="E1061" s="43"/>
      <c r="F1061" s="43"/>
      <c r="G1061" s="43"/>
      <c r="H1061" s="43"/>
      <c r="I1061" s="43"/>
      <c r="J1061" s="43"/>
      <c r="K1061" s="43"/>
      <c r="L1061" s="43"/>
      <c r="M1061" s="43"/>
      <c r="N1061" s="43"/>
      <c r="O1061" s="43"/>
      <c r="P1061" s="43"/>
      <c r="Q1061" s="43"/>
      <c r="R1061" s="43"/>
      <c r="S1061" s="43"/>
      <c r="T1061" s="43"/>
      <c r="U1061" s="43"/>
      <c r="V1061" s="41"/>
      <c r="W1061" s="41"/>
      <c r="X1061" s="41"/>
      <c r="Y1061" s="41"/>
      <c r="Z1061" s="41"/>
      <c r="AA1061" s="44"/>
      <c r="AB1061" s="44"/>
      <c r="AC1061" s="43"/>
      <c r="AD1061" s="43"/>
      <c r="AE1061" s="43"/>
    </row>
    <row r="1062" spans="1:31" x14ac:dyDescent="0.35">
      <c r="C1062" s="33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AA1062" s="35"/>
      <c r="AB1062" s="35"/>
      <c r="AC1062" s="34"/>
      <c r="AD1062" s="34"/>
      <c r="AE1062" s="34"/>
    </row>
    <row r="1063" spans="1:31" ht="15" thickBot="1" x14ac:dyDescent="0.4">
      <c r="A1063" s="45"/>
      <c r="B1063" s="45"/>
      <c r="C1063" s="46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  <c r="S1063" s="47"/>
      <c r="T1063" s="45"/>
      <c r="U1063" s="45"/>
      <c r="V1063" s="45"/>
      <c r="W1063" s="45"/>
      <c r="X1063" s="47"/>
      <c r="Y1063" s="45"/>
      <c r="Z1063" s="45"/>
      <c r="AA1063" s="48"/>
      <c r="AB1063" s="48"/>
      <c r="AC1063" s="47"/>
      <c r="AD1063" s="47"/>
      <c r="AE1063" s="47"/>
    </row>
    <row r="1064" spans="1:31" x14ac:dyDescent="0.35">
      <c r="A1064" s="41"/>
      <c r="B1064" s="41"/>
      <c r="C1064" s="42"/>
      <c r="D1064" s="43"/>
      <c r="E1064" s="43"/>
      <c r="F1064" s="43"/>
      <c r="G1064" s="43"/>
      <c r="H1064" s="43"/>
      <c r="I1064" s="43"/>
      <c r="J1064" s="43"/>
      <c r="K1064" s="43"/>
      <c r="L1064" s="43"/>
      <c r="M1064" s="43"/>
      <c r="N1064" s="43"/>
      <c r="O1064" s="43"/>
      <c r="P1064" s="43"/>
      <c r="Q1064" s="43"/>
      <c r="R1064" s="43"/>
      <c r="S1064" s="43"/>
      <c r="T1064" s="43"/>
      <c r="U1064" s="43"/>
      <c r="V1064" s="41"/>
      <c r="W1064" s="41"/>
      <c r="X1064" s="41"/>
      <c r="Y1064" s="41"/>
      <c r="Z1064" s="41"/>
      <c r="AA1064" s="44"/>
      <c r="AB1064" s="44"/>
      <c r="AC1064" s="43"/>
      <c r="AD1064" s="43"/>
      <c r="AE1064" s="43"/>
    </row>
    <row r="1065" spans="1:31" x14ac:dyDescent="0.35">
      <c r="C1065" s="33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AA1065" s="35"/>
      <c r="AB1065" s="35"/>
      <c r="AC1065" s="34"/>
      <c r="AD1065" s="34"/>
      <c r="AE1065" s="34"/>
    </row>
    <row r="1066" spans="1:31" ht="15" thickBot="1" x14ac:dyDescent="0.4">
      <c r="A1066" s="45"/>
      <c r="B1066" s="45"/>
      <c r="C1066" s="46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  <c r="S1066" s="47"/>
      <c r="T1066" s="45"/>
      <c r="U1066" s="45"/>
      <c r="V1066" s="45"/>
      <c r="W1066" s="45"/>
      <c r="X1066" s="47"/>
      <c r="Y1066" s="45"/>
      <c r="Z1066" s="45"/>
      <c r="AA1066" s="48"/>
      <c r="AB1066" s="48"/>
      <c r="AC1066" s="47"/>
      <c r="AD1066" s="47"/>
      <c r="AE1066" s="47"/>
    </row>
    <row r="1067" spans="1:31" x14ac:dyDescent="0.35">
      <c r="A1067" s="41"/>
      <c r="B1067" s="41"/>
      <c r="C1067" s="42"/>
      <c r="D1067" s="43"/>
      <c r="E1067" s="43"/>
      <c r="F1067" s="43"/>
      <c r="G1067" s="43"/>
      <c r="H1067" s="43"/>
      <c r="I1067" s="43"/>
      <c r="J1067" s="43"/>
      <c r="K1067" s="43"/>
      <c r="L1067" s="43"/>
      <c r="M1067" s="43"/>
      <c r="N1067" s="43"/>
      <c r="O1067" s="43"/>
      <c r="P1067" s="43"/>
      <c r="Q1067" s="43"/>
      <c r="R1067" s="43"/>
      <c r="S1067" s="43"/>
      <c r="T1067" s="43"/>
      <c r="U1067" s="43"/>
      <c r="V1067" s="41"/>
      <c r="W1067" s="41"/>
      <c r="X1067" s="41"/>
      <c r="Y1067" s="41"/>
      <c r="Z1067" s="41"/>
      <c r="AA1067" s="44"/>
      <c r="AB1067" s="44"/>
      <c r="AC1067" s="43"/>
      <c r="AD1067" s="43"/>
      <c r="AE1067" s="43"/>
    </row>
    <row r="1068" spans="1:31" x14ac:dyDescent="0.35">
      <c r="C1068" s="33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AA1068" s="35"/>
      <c r="AB1068" s="35"/>
      <c r="AC1068" s="34"/>
      <c r="AD1068" s="34"/>
      <c r="AE1068" s="34"/>
    </row>
    <row r="1069" spans="1:31" ht="15" thickBot="1" x14ac:dyDescent="0.4">
      <c r="A1069" s="45"/>
      <c r="B1069" s="45"/>
      <c r="C1069" s="46"/>
      <c r="D1069" s="47"/>
      <c r="E1069" s="47"/>
      <c r="F1069" s="47"/>
      <c r="G1069" s="47"/>
      <c r="H1069" s="47"/>
      <c r="I1069" s="47"/>
      <c r="J1069" s="47"/>
      <c r="K1069" s="47"/>
      <c r="L1069" s="47"/>
      <c r="M1069" s="47"/>
      <c r="N1069" s="47"/>
      <c r="O1069" s="47"/>
      <c r="P1069" s="47"/>
      <c r="Q1069" s="47"/>
      <c r="R1069" s="47"/>
      <c r="S1069" s="47"/>
      <c r="T1069" s="45"/>
      <c r="U1069" s="45"/>
      <c r="V1069" s="45"/>
      <c r="W1069" s="45"/>
      <c r="X1069" s="47"/>
      <c r="Y1069" s="45"/>
      <c r="Z1069" s="45"/>
      <c r="AA1069" s="48"/>
      <c r="AB1069" s="48"/>
      <c r="AC1069" s="47"/>
      <c r="AD1069" s="47"/>
      <c r="AE1069" s="47"/>
    </row>
    <row r="1070" spans="1:31" x14ac:dyDescent="0.35">
      <c r="A1070" s="41"/>
      <c r="B1070" s="41"/>
      <c r="C1070" s="42"/>
      <c r="D1070" s="43"/>
      <c r="E1070" s="43"/>
      <c r="F1070" s="43"/>
      <c r="G1070" s="43"/>
      <c r="H1070" s="43"/>
      <c r="I1070" s="43"/>
      <c r="J1070" s="43"/>
      <c r="K1070" s="43"/>
      <c r="L1070" s="43"/>
      <c r="M1070" s="43"/>
      <c r="N1070" s="43"/>
      <c r="O1070" s="43"/>
      <c r="P1070" s="43"/>
      <c r="Q1070" s="43"/>
      <c r="R1070" s="43"/>
      <c r="S1070" s="43"/>
      <c r="T1070" s="43"/>
      <c r="U1070" s="43"/>
      <c r="V1070" s="41"/>
      <c r="W1070" s="41"/>
      <c r="X1070" s="41"/>
      <c r="Y1070" s="41"/>
      <c r="Z1070" s="41"/>
      <c r="AA1070" s="44"/>
      <c r="AB1070" s="44"/>
      <c r="AC1070" s="43"/>
      <c r="AD1070" s="43"/>
      <c r="AE1070" s="43"/>
    </row>
    <row r="1071" spans="1:31" x14ac:dyDescent="0.35">
      <c r="C1071" s="33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AA1071" s="35"/>
      <c r="AB1071" s="35"/>
      <c r="AC1071" s="34"/>
      <c r="AD1071" s="34"/>
      <c r="AE1071" s="34"/>
    </row>
    <row r="1072" spans="1:31" ht="15" thickBot="1" x14ac:dyDescent="0.4">
      <c r="A1072" s="45"/>
      <c r="B1072" s="45"/>
      <c r="C1072" s="46"/>
      <c r="D1072" s="47"/>
      <c r="E1072" s="47"/>
      <c r="F1072" s="47"/>
      <c r="G1072" s="47"/>
      <c r="H1072" s="47"/>
      <c r="I1072" s="47"/>
      <c r="J1072" s="47"/>
      <c r="K1072" s="47"/>
      <c r="L1072" s="47"/>
      <c r="M1072" s="47"/>
      <c r="N1072" s="47"/>
      <c r="O1072" s="47"/>
      <c r="P1072" s="47"/>
      <c r="Q1072" s="47"/>
      <c r="R1072" s="47"/>
      <c r="S1072" s="47"/>
      <c r="T1072" s="45"/>
      <c r="U1072" s="45"/>
      <c r="V1072" s="45"/>
      <c r="W1072" s="45"/>
      <c r="X1072" s="47"/>
      <c r="Y1072" s="45"/>
      <c r="Z1072" s="45"/>
      <c r="AA1072" s="48"/>
      <c r="AB1072" s="48"/>
      <c r="AC1072" s="47"/>
      <c r="AD1072" s="47"/>
      <c r="AE1072" s="47"/>
    </row>
    <row r="1073" spans="1:31" x14ac:dyDescent="0.35">
      <c r="A1073" s="41"/>
      <c r="B1073" s="41"/>
      <c r="C1073" s="42"/>
      <c r="D1073" s="43"/>
      <c r="E1073" s="43"/>
      <c r="F1073" s="43"/>
      <c r="G1073" s="43"/>
      <c r="H1073" s="43"/>
      <c r="I1073" s="43"/>
      <c r="J1073" s="43"/>
      <c r="K1073" s="43"/>
      <c r="L1073" s="43"/>
      <c r="M1073" s="43"/>
      <c r="N1073" s="43"/>
      <c r="O1073" s="43"/>
      <c r="P1073" s="43"/>
      <c r="Q1073" s="43"/>
      <c r="R1073" s="43"/>
      <c r="S1073" s="43"/>
      <c r="T1073" s="43"/>
      <c r="U1073" s="43"/>
      <c r="V1073" s="41"/>
      <c r="W1073" s="41"/>
      <c r="X1073" s="41"/>
      <c r="Y1073" s="41"/>
      <c r="Z1073" s="41"/>
      <c r="AA1073" s="44"/>
      <c r="AB1073" s="44"/>
      <c r="AC1073" s="43"/>
      <c r="AD1073" s="43"/>
      <c r="AE1073" s="43"/>
    </row>
    <row r="1074" spans="1:31" x14ac:dyDescent="0.35">
      <c r="C1074" s="33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AA1074" s="35"/>
      <c r="AB1074" s="35"/>
      <c r="AC1074" s="34"/>
      <c r="AD1074" s="34"/>
      <c r="AE1074" s="34"/>
    </row>
    <row r="1075" spans="1:31" ht="15" thickBot="1" x14ac:dyDescent="0.4">
      <c r="A1075" s="45"/>
      <c r="B1075" s="45"/>
      <c r="C1075" s="46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  <c r="S1075" s="47"/>
      <c r="T1075" s="45"/>
      <c r="U1075" s="45"/>
      <c r="V1075" s="45"/>
      <c r="W1075" s="45"/>
      <c r="X1075" s="47"/>
      <c r="Y1075" s="45"/>
      <c r="Z1075" s="45"/>
      <c r="AA1075" s="48"/>
      <c r="AB1075" s="48"/>
      <c r="AC1075" s="47"/>
      <c r="AD1075" s="47"/>
      <c r="AE1075" s="47"/>
    </row>
    <row r="1076" spans="1:31" x14ac:dyDescent="0.35">
      <c r="A1076" s="41"/>
      <c r="B1076" s="41"/>
      <c r="C1076" s="42"/>
      <c r="D1076" s="43"/>
      <c r="E1076" s="43"/>
      <c r="F1076" s="43"/>
      <c r="G1076" s="43"/>
      <c r="H1076" s="43"/>
      <c r="I1076" s="43"/>
      <c r="J1076" s="43"/>
      <c r="K1076" s="43"/>
      <c r="L1076" s="43"/>
      <c r="M1076" s="43"/>
      <c r="N1076" s="43"/>
      <c r="O1076" s="43"/>
      <c r="P1076" s="43"/>
      <c r="Q1076" s="43"/>
      <c r="R1076" s="43"/>
      <c r="S1076" s="43"/>
      <c r="T1076" s="43"/>
      <c r="U1076" s="43"/>
      <c r="V1076" s="41"/>
      <c r="W1076" s="41"/>
      <c r="X1076" s="41"/>
      <c r="Y1076" s="41"/>
      <c r="Z1076" s="41"/>
      <c r="AA1076" s="44"/>
      <c r="AB1076" s="44"/>
      <c r="AC1076" s="43"/>
      <c r="AD1076" s="43"/>
      <c r="AE1076" s="43"/>
    </row>
    <row r="1077" spans="1:31" x14ac:dyDescent="0.35">
      <c r="C1077" s="33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AA1077" s="35"/>
      <c r="AB1077" s="35"/>
      <c r="AC1077" s="34"/>
      <c r="AD1077" s="34"/>
      <c r="AE1077" s="34"/>
    </row>
    <row r="1078" spans="1:31" ht="15" thickBot="1" x14ac:dyDescent="0.4">
      <c r="A1078" s="45"/>
      <c r="B1078" s="45"/>
      <c r="C1078" s="46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  <c r="S1078" s="47"/>
      <c r="T1078" s="45"/>
      <c r="U1078" s="45"/>
      <c r="V1078" s="45"/>
      <c r="W1078" s="45"/>
      <c r="X1078" s="47"/>
      <c r="Y1078" s="45"/>
      <c r="Z1078" s="45"/>
      <c r="AA1078" s="48"/>
      <c r="AB1078" s="48"/>
      <c r="AC1078" s="47"/>
      <c r="AD1078" s="47"/>
      <c r="AE1078" s="47"/>
    </row>
    <row r="1079" spans="1:31" x14ac:dyDescent="0.35">
      <c r="A1079" s="41"/>
      <c r="B1079" s="41"/>
      <c r="C1079" s="42"/>
      <c r="D1079" s="43"/>
      <c r="E1079" s="43"/>
      <c r="F1079" s="43"/>
      <c r="G1079" s="43"/>
      <c r="H1079" s="43"/>
      <c r="I1079" s="43"/>
      <c r="J1079" s="43"/>
      <c r="K1079" s="43"/>
      <c r="L1079" s="43"/>
      <c r="M1079" s="43"/>
      <c r="N1079" s="43"/>
      <c r="O1079" s="43"/>
      <c r="P1079" s="43"/>
      <c r="Q1079" s="43"/>
      <c r="R1079" s="43"/>
      <c r="S1079" s="43"/>
      <c r="T1079" s="43"/>
      <c r="U1079" s="43"/>
      <c r="V1079" s="41"/>
      <c r="W1079" s="41"/>
      <c r="X1079" s="41"/>
      <c r="Y1079" s="41"/>
      <c r="Z1079" s="41"/>
      <c r="AA1079" s="44"/>
      <c r="AB1079" s="44"/>
      <c r="AC1079" s="43"/>
      <c r="AD1079" s="43"/>
      <c r="AE1079" s="43"/>
    </row>
    <row r="1080" spans="1:31" x14ac:dyDescent="0.35">
      <c r="C1080" s="33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AA1080" s="35"/>
      <c r="AB1080" s="35"/>
      <c r="AC1080" s="34"/>
      <c r="AD1080" s="34"/>
      <c r="AE1080" s="34"/>
    </row>
    <row r="1081" spans="1:31" ht="15" thickBot="1" x14ac:dyDescent="0.4">
      <c r="A1081" s="45"/>
      <c r="B1081" s="45"/>
      <c r="C1081" s="46"/>
      <c r="D1081" s="47"/>
      <c r="E1081" s="47"/>
      <c r="F1081" s="47"/>
      <c r="G1081" s="47"/>
      <c r="H1081" s="47"/>
      <c r="I1081" s="47"/>
      <c r="J1081" s="47"/>
      <c r="K1081" s="47"/>
      <c r="L1081" s="47"/>
      <c r="M1081" s="47"/>
      <c r="N1081" s="47"/>
      <c r="O1081" s="47"/>
      <c r="P1081" s="47"/>
      <c r="Q1081" s="47"/>
      <c r="R1081" s="47"/>
      <c r="S1081" s="47"/>
      <c r="T1081" s="45"/>
      <c r="U1081" s="45"/>
      <c r="V1081" s="45"/>
      <c r="W1081" s="45"/>
      <c r="X1081" s="47"/>
      <c r="Y1081" s="45"/>
      <c r="Z1081" s="45"/>
      <c r="AA1081" s="48"/>
      <c r="AB1081" s="48"/>
      <c r="AC1081" s="47"/>
      <c r="AD1081" s="47"/>
      <c r="AE1081" s="47"/>
    </row>
    <row r="1082" spans="1:31" x14ac:dyDescent="0.35">
      <c r="A1082" s="41"/>
      <c r="B1082" s="41"/>
      <c r="C1082" s="42"/>
      <c r="D1082" s="43"/>
      <c r="E1082" s="43"/>
      <c r="F1082" s="43"/>
      <c r="G1082" s="43"/>
      <c r="H1082" s="43"/>
      <c r="I1082" s="43"/>
      <c r="J1082" s="43"/>
      <c r="K1082" s="43"/>
      <c r="L1082" s="43"/>
      <c r="M1082" s="43"/>
      <c r="N1082" s="43"/>
      <c r="O1082" s="43"/>
      <c r="P1082" s="43"/>
      <c r="Q1082" s="43"/>
      <c r="R1082" s="43"/>
      <c r="S1082" s="43"/>
      <c r="T1082" s="43"/>
      <c r="U1082" s="43"/>
      <c r="V1082" s="41"/>
      <c r="W1082" s="41"/>
      <c r="X1082" s="41"/>
      <c r="Y1082" s="41"/>
      <c r="Z1082" s="41"/>
      <c r="AA1082" s="44"/>
      <c r="AB1082" s="44"/>
      <c r="AC1082" s="43"/>
      <c r="AD1082" s="43"/>
      <c r="AE1082" s="43"/>
    </row>
    <row r="1083" spans="1:31" x14ac:dyDescent="0.35">
      <c r="C1083" s="33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AA1083" s="35"/>
      <c r="AB1083" s="35"/>
      <c r="AC1083" s="34"/>
      <c r="AD1083" s="34"/>
      <c r="AE1083" s="34"/>
    </row>
    <row r="1084" spans="1:31" ht="15" thickBot="1" x14ac:dyDescent="0.4">
      <c r="A1084" s="45"/>
      <c r="B1084" s="45"/>
      <c r="C1084" s="46"/>
      <c r="D1084" s="47"/>
      <c r="E1084" s="47"/>
      <c r="F1084" s="47"/>
      <c r="G1084" s="47"/>
      <c r="H1084" s="47"/>
      <c r="I1084" s="47"/>
      <c r="J1084" s="47"/>
      <c r="K1084" s="47"/>
      <c r="L1084" s="47"/>
      <c r="M1084" s="47"/>
      <c r="N1084" s="47"/>
      <c r="O1084" s="47"/>
      <c r="P1084" s="47"/>
      <c r="Q1084" s="47"/>
      <c r="R1084" s="47"/>
      <c r="S1084" s="47"/>
      <c r="T1084" s="45"/>
      <c r="U1084" s="45"/>
      <c r="V1084" s="45"/>
      <c r="W1084" s="45"/>
      <c r="X1084" s="47"/>
      <c r="Y1084" s="45"/>
      <c r="Z1084" s="45"/>
      <c r="AA1084" s="48"/>
      <c r="AB1084" s="48"/>
      <c r="AC1084" s="47"/>
      <c r="AD1084" s="47"/>
      <c r="AE1084" s="47"/>
    </row>
    <row r="1085" spans="1:31" x14ac:dyDescent="0.35">
      <c r="A1085" s="41"/>
      <c r="B1085" s="41"/>
      <c r="C1085" s="42"/>
      <c r="D1085" s="43"/>
      <c r="E1085" s="43"/>
      <c r="F1085" s="43"/>
      <c r="G1085" s="43"/>
      <c r="H1085" s="43"/>
      <c r="I1085" s="43"/>
      <c r="J1085" s="43"/>
      <c r="K1085" s="43"/>
      <c r="L1085" s="43"/>
      <c r="M1085" s="43"/>
      <c r="N1085" s="43"/>
      <c r="O1085" s="43"/>
      <c r="P1085" s="43"/>
      <c r="Q1085" s="43"/>
      <c r="R1085" s="43"/>
      <c r="S1085" s="43"/>
      <c r="T1085" s="43"/>
      <c r="U1085" s="43"/>
      <c r="V1085" s="41"/>
      <c r="W1085" s="41"/>
      <c r="X1085" s="41"/>
      <c r="Y1085" s="41"/>
      <c r="Z1085" s="41"/>
      <c r="AA1085" s="44"/>
      <c r="AB1085" s="44"/>
      <c r="AC1085" s="43"/>
      <c r="AD1085" s="43"/>
      <c r="AE1085" s="43"/>
    </row>
    <row r="1086" spans="1:31" x14ac:dyDescent="0.35">
      <c r="C1086" s="33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AA1086" s="35"/>
      <c r="AB1086" s="35"/>
      <c r="AC1086" s="34"/>
      <c r="AD1086" s="34"/>
      <c r="AE1086" s="34"/>
    </row>
    <row r="1087" spans="1:31" ht="15" thickBot="1" x14ac:dyDescent="0.4">
      <c r="A1087" s="45"/>
      <c r="B1087" s="45"/>
      <c r="C1087" s="46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  <c r="S1087" s="47"/>
      <c r="T1087" s="45"/>
      <c r="U1087" s="45"/>
      <c r="V1087" s="45"/>
      <c r="W1087" s="45"/>
      <c r="X1087" s="47"/>
      <c r="Y1087" s="45"/>
      <c r="Z1087" s="45"/>
      <c r="AA1087" s="48"/>
      <c r="AB1087" s="48"/>
      <c r="AC1087" s="47"/>
      <c r="AD1087" s="47"/>
      <c r="AE1087" s="47"/>
    </row>
    <row r="1088" spans="1:31" x14ac:dyDescent="0.35">
      <c r="A1088" s="41"/>
      <c r="B1088" s="41"/>
      <c r="C1088" s="42"/>
      <c r="D1088" s="43"/>
      <c r="E1088" s="43"/>
      <c r="F1088" s="43"/>
      <c r="G1088" s="43"/>
      <c r="H1088" s="43"/>
      <c r="I1088" s="43"/>
      <c r="J1088" s="43"/>
      <c r="K1088" s="43"/>
      <c r="L1088" s="43"/>
      <c r="M1088" s="43"/>
      <c r="N1088" s="43"/>
      <c r="O1088" s="43"/>
      <c r="P1088" s="43"/>
      <c r="Q1088" s="43"/>
      <c r="R1088" s="43"/>
      <c r="S1088" s="43"/>
      <c r="T1088" s="43"/>
      <c r="U1088" s="43"/>
      <c r="V1088" s="41"/>
      <c r="W1088" s="41"/>
      <c r="X1088" s="41"/>
      <c r="Y1088" s="41"/>
      <c r="Z1088" s="41"/>
      <c r="AA1088" s="44"/>
      <c r="AB1088" s="44"/>
      <c r="AC1088" s="43"/>
      <c r="AD1088" s="43"/>
      <c r="AE1088" s="43"/>
    </row>
    <row r="1089" spans="1:31" x14ac:dyDescent="0.35">
      <c r="C1089" s="33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AA1089" s="35"/>
      <c r="AB1089" s="35"/>
      <c r="AC1089" s="34"/>
      <c r="AD1089" s="34"/>
      <c r="AE1089" s="34"/>
    </row>
    <row r="1090" spans="1:31" ht="15" thickBot="1" x14ac:dyDescent="0.4">
      <c r="A1090" s="45"/>
      <c r="B1090" s="45"/>
      <c r="C1090" s="46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  <c r="S1090" s="47"/>
      <c r="T1090" s="45"/>
      <c r="U1090" s="45"/>
      <c r="V1090" s="45"/>
      <c r="W1090" s="45"/>
      <c r="X1090" s="47"/>
      <c r="Y1090" s="45"/>
      <c r="Z1090" s="45"/>
      <c r="AA1090" s="48"/>
      <c r="AB1090" s="48"/>
      <c r="AC1090" s="47"/>
      <c r="AD1090" s="47"/>
      <c r="AE1090" s="47"/>
    </row>
    <row r="1091" spans="1:31" x14ac:dyDescent="0.35">
      <c r="A1091" s="41"/>
      <c r="B1091" s="41"/>
      <c r="C1091" s="42"/>
      <c r="D1091" s="43"/>
      <c r="E1091" s="43"/>
      <c r="F1091" s="43"/>
      <c r="G1091" s="43"/>
      <c r="H1091" s="43"/>
      <c r="I1091" s="43"/>
      <c r="J1091" s="43"/>
      <c r="K1091" s="43"/>
      <c r="L1091" s="43"/>
      <c r="M1091" s="43"/>
      <c r="N1091" s="43"/>
      <c r="O1091" s="43"/>
      <c r="P1091" s="43"/>
      <c r="Q1091" s="43"/>
      <c r="R1091" s="43"/>
      <c r="S1091" s="43"/>
      <c r="T1091" s="43"/>
      <c r="U1091" s="43"/>
      <c r="V1091" s="41"/>
      <c r="W1091" s="41"/>
      <c r="X1091" s="41"/>
      <c r="Y1091" s="41"/>
      <c r="Z1091" s="41"/>
      <c r="AA1091" s="44"/>
      <c r="AB1091" s="44"/>
      <c r="AC1091" s="43"/>
      <c r="AD1091" s="43"/>
      <c r="AE1091" s="43"/>
    </row>
    <row r="1092" spans="1:31" x14ac:dyDescent="0.35">
      <c r="C1092" s="33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AA1092" s="35"/>
      <c r="AB1092" s="35"/>
      <c r="AC1092" s="34"/>
      <c r="AD1092" s="34"/>
      <c r="AE1092" s="34"/>
    </row>
    <row r="1093" spans="1:31" ht="15" thickBot="1" x14ac:dyDescent="0.4">
      <c r="A1093" s="45"/>
      <c r="B1093" s="45"/>
      <c r="C1093" s="46"/>
      <c r="D1093" s="47"/>
      <c r="E1093" s="47"/>
      <c r="F1093" s="47"/>
      <c r="G1093" s="47"/>
      <c r="H1093" s="47"/>
      <c r="I1093" s="47"/>
      <c r="J1093" s="47"/>
      <c r="K1093" s="47"/>
      <c r="L1093" s="47"/>
      <c r="M1093" s="47"/>
      <c r="N1093" s="47"/>
      <c r="O1093" s="47"/>
      <c r="P1093" s="47"/>
      <c r="Q1093" s="47"/>
      <c r="R1093" s="47"/>
      <c r="S1093" s="47"/>
      <c r="T1093" s="45"/>
      <c r="U1093" s="45"/>
      <c r="V1093" s="45"/>
      <c r="W1093" s="45"/>
      <c r="X1093" s="47"/>
      <c r="Y1093" s="45"/>
      <c r="Z1093" s="45"/>
      <c r="AA1093" s="48"/>
      <c r="AB1093" s="48"/>
      <c r="AC1093" s="47"/>
      <c r="AD1093" s="47"/>
      <c r="AE1093" s="47"/>
    </row>
    <row r="1094" spans="1:31" x14ac:dyDescent="0.35">
      <c r="A1094" s="41"/>
      <c r="B1094" s="41"/>
      <c r="C1094" s="42"/>
      <c r="D1094" s="43"/>
      <c r="E1094" s="43"/>
      <c r="F1094" s="43"/>
      <c r="G1094" s="43"/>
      <c r="H1094" s="43"/>
      <c r="I1094" s="43"/>
      <c r="J1094" s="43"/>
      <c r="K1094" s="43"/>
      <c r="L1094" s="43"/>
      <c r="M1094" s="43"/>
      <c r="N1094" s="43"/>
      <c r="O1094" s="43"/>
      <c r="P1094" s="43"/>
      <c r="Q1094" s="43"/>
      <c r="R1094" s="43"/>
      <c r="S1094" s="43"/>
      <c r="T1094" s="43"/>
      <c r="U1094" s="43"/>
      <c r="V1094" s="41"/>
      <c r="W1094" s="41"/>
      <c r="X1094" s="41"/>
      <c r="Y1094" s="41"/>
      <c r="Z1094" s="41"/>
      <c r="AA1094" s="44"/>
      <c r="AB1094" s="44"/>
      <c r="AC1094" s="43"/>
      <c r="AD1094" s="43"/>
      <c r="AE1094" s="43"/>
    </row>
    <row r="1095" spans="1:31" x14ac:dyDescent="0.35">
      <c r="C1095" s="33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AA1095" s="35"/>
      <c r="AB1095" s="35"/>
      <c r="AC1095" s="34"/>
      <c r="AD1095" s="34"/>
      <c r="AE1095" s="34"/>
    </row>
    <row r="1096" spans="1:31" ht="15" thickBot="1" x14ac:dyDescent="0.4">
      <c r="A1096" s="45"/>
      <c r="B1096" s="45"/>
      <c r="C1096" s="46"/>
      <c r="D1096" s="47"/>
      <c r="E1096" s="47"/>
      <c r="F1096" s="47"/>
      <c r="G1096" s="47"/>
      <c r="H1096" s="47"/>
      <c r="I1096" s="47"/>
      <c r="J1096" s="47"/>
      <c r="K1096" s="47"/>
      <c r="L1096" s="47"/>
      <c r="M1096" s="47"/>
      <c r="N1096" s="47"/>
      <c r="O1096" s="47"/>
      <c r="P1096" s="47"/>
      <c r="Q1096" s="47"/>
      <c r="R1096" s="47"/>
      <c r="S1096" s="47"/>
      <c r="T1096" s="45"/>
      <c r="U1096" s="45"/>
      <c r="V1096" s="45"/>
      <c r="W1096" s="45"/>
      <c r="X1096" s="47"/>
      <c r="Y1096" s="45"/>
      <c r="Z1096" s="45"/>
      <c r="AA1096" s="48"/>
      <c r="AB1096" s="48"/>
      <c r="AC1096" s="47"/>
      <c r="AD1096" s="47"/>
      <c r="AE1096" s="47"/>
    </row>
    <row r="1097" spans="1:31" x14ac:dyDescent="0.35">
      <c r="A1097" s="41"/>
      <c r="B1097" s="41"/>
      <c r="C1097" s="42"/>
      <c r="D1097" s="43"/>
      <c r="E1097" s="43"/>
      <c r="F1097" s="43"/>
      <c r="G1097" s="43"/>
      <c r="H1097" s="43"/>
      <c r="I1097" s="43"/>
      <c r="J1097" s="43"/>
      <c r="K1097" s="43"/>
      <c r="L1097" s="43"/>
      <c r="M1097" s="43"/>
      <c r="N1097" s="43"/>
      <c r="O1097" s="43"/>
      <c r="P1097" s="43"/>
      <c r="Q1097" s="43"/>
      <c r="R1097" s="43"/>
      <c r="S1097" s="43"/>
      <c r="T1097" s="43"/>
      <c r="U1097" s="43"/>
      <c r="V1097" s="41"/>
      <c r="W1097" s="41"/>
      <c r="X1097" s="41"/>
      <c r="Y1097" s="41"/>
      <c r="Z1097" s="41"/>
      <c r="AA1097" s="44"/>
      <c r="AB1097" s="44"/>
      <c r="AC1097" s="43"/>
      <c r="AD1097" s="43"/>
      <c r="AE1097" s="43"/>
    </row>
    <row r="1098" spans="1:31" x14ac:dyDescent="0.35">
      <c r="C1098" s="33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AA1098" s="35"/>
      <c r="AB1098" s="35"/>
      <c r="AC1098" s="34"/>
      <c r="AD1098" s="34"/>
      <c r="AE1098" s="34"/>
    </row>
    <row r="1099" spans="1:31" ht="15" thickBot="1" x14ac:dyDescent="0.4">
      <c r="A1099" s="45"/>
      <c r="B1099" s="45"/>
      <c r="C1099" s="46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  <c r="S1099" s="47"/>
      <c r="T1099" s="45"/>
      <c r="U1099" s="45"/>
      <c r="V1099" s="45"/>
      <c r="W1099" s="45"/>
      <c r="X1099" s="47"/>
      <c r="Y1099" s="45"/>
      <c r="Z1099" s="45"/>
      <c r="AA1099" s="48"/>
      <c r="AB1099" s="48"/>
      <c r="AC1099" s="47"/>
      <c r="AD1099" s="47"/>
      <c r="AE1099" s="47"/>
    </row>
    <row r="1100" spans="1:31" x14ac:dyDescent="0.35">
      <c r="A1100" s="41"/>
      <c r="B1100" s="41"/>
      <c r="C1100" s="42"/>
      <c r="D1100" s="43"/>
      <c r="E1100" s="43"/>
      <c r="F1100" s="43"/>
      <c r="G1100" s="43"/>
      <c r="H1100" s="43"/>
      <c r="I1100" s="43"/>
      <c r="J1100" s="43"/>
      <c r="K1100" s="43"/>
      <c r="L1100" s="43"/>
      <c r="M1100" s="43"/>
      <c r="N1100" s="43"/>
      <c r="O1100" s="43"/>
      <c r="P1100" s="43"/>
      <c r="Q1100" s="43"/>
      <c r="R1100" s="43"/>
      <c r="S1100" s="43"/>
      <c r="T1100" s="43"/>
      <c r="U1100" s="43"/>
      <c r="V1100" s="41"/>
      <c r="W1100" s="41"/>
      <c r="X1100" s="41"/>
      <c r="Y1100" s="41"/>
      <c r="Z1100" s="41"/>
      <c r="AA1100" s="44"/>
      <c r="AB1100" s="44"/>
      <c r="AC1100" s="43"/>
      <c r="AD1100" s="43"/>
      <c r="AE1100" s="43"/>
    </row>
    <row r="1101" spans="1:31" x14ac:dyDescent="0.35">
      <c r="C1101" s="33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AA1101" s="35"/>
      <c r="AB1101" s="35"/>
      <c r="AC1101" s="34"/>
      <c r="AD1101" s="34"/>
      <c r="AE1101" s="34"/>
    </row>
    <row r="1102" spans="1:31" ht="15" thickBot="1" x14ac:dyDescent="0.4">
      <c r="A1102" s="45"/>
      <c r="B1102" s="45"/>
      <c r="C1102" s="46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  <c r="S1102" s="47"/>
      <c r="T1102" s="45"/>
      <c r="U1102" s="45"/>
      <c r="V1102" s="45"/>
      <c r="W1102" s="45"/>
      <c r="X1102" s="47"/>
      <c r="Y1102" s="45"/>
      <c r="Z1102" s="45"/>
      <c r="AA1102" s="48"/>
      <c r="AB1102" s="48"/>
      <c r="AC1102" s="47"/>
      <c r="AD1102" s="47"/>
      <c r="AE1102" s="47"/>
    </row>
    <row r="1103" spans="1:31" x14ac:dyDescent="0.35">
      <c r="A1103" s="41"/>
      <c r="B1103" s="41"/>
      <c r="C1103" s="42"/>
      <c r="D1103" s="43"/>
      <c r="E1103" s="43"/>
      <c r="F1103" s="43"/>
      <c r="G1103" s="43"/>
      <c r="H1103" s="43"/>
      <c r="I1103" s="43"/>
      <c r="J1103" s="43"/>
      <c r="K1103" s="43"/>
      <c r="L1103" s="43"/>
      <c r="M1103" s="43"/>
      <c r="N1103" s="43"/>
      <c r="O1103" s="43"/>
      <c r="P1103" s="43"/>
      <c r="Q1103" s="43"/>
      <c r="R1103" s="43"/>
      <c r="S1103" s="43"/>
      <c r="T1103" s="43"/>
      <c r="U1103" s="43"/>
      <c r="V1103" s="41"/>
      <c r="W1103" s="41"/>
      <c r="X1103" s="41"/>
      <c r="Y1103" s="41"/>
      <c r="Z1103" s="41"/>
      <c r="AA1103" s="44"/>
      <c r="AB1103" s="44"/>
      <c r="AC1103" s="43"/>
      <c r="AD1103" s="43"/>
      <c r="AE1103" s="43"/>
    </row>
    <row r="1104" spans="1:31" x14ac:dyDescent="0.35">
      <c r="C1104" s="33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AA1104" s="35"/>
      <c r="AB1104" s="35"/>
      <c r="AC1104" s="34"/>
      <c r="AD1104" s="34"/>
      <c r="AE1104" s="34"/>
    </row>
    <row r="1105" spans="1:31" ht="15" thickBot="1" x14ac:dyDescent="0.4">
      <c r="A1105" s="45"/>
      <c r="B1105" s="45"/>
      <c r="C1105" s="46"/>
      <c r="D1105" s="47"/>
      <c r="E1105" s="47"/>
      <c r="F1105" s="47"/>
      <c r="G1105" s="47"/>
      <c r="H1105" s="47"/>
      <c r="I1105" s="47"/>
      <c r="J1105" s="47"/>
      <c r="K1105" s="47"/>
      <c r="L1105" s="47"/>
      <c r="M1105" s="47"/>
      <c r="N1105" s="47"/>
      <c r="O1105" s="47"/>
      <c r="P1105" s="47"/>
      <c r="Q1105" s="47"/>
      <c r="R1105" s="47"/>
      <c r="S1105" s="47"/>
      <c r="T1105" s="45"/>
      <c r="U1105" s="45"/>
      <c r="V1105" s="45"/>
      <c r="W1105" s="45"/>
      <c r="X1105" s="47"/>
      <c r="Y1105" s="45"/>
      <c r="Z1105" s="45"/>
      <c r="AA1105" s="48"/>
      <c r="AB1105" s="48"/>
      <c r="AC1105" s="47"/>
      <c r="AD1105" s="47"/>
      <c r="AE1105" s="47"/>
    </row>
    <row r="1106" spans="1:31" x14ac:dyDescent="0.35">
      <c r="A1106" s="41"/>
      <c r="B1106" s="41"/>
      <c r="C1106" s="42"/>
      <c r="D1106" s="43"/>
      <c r="E1106" s="43"/>
      <c r="F1106" s="43"/>
      <c r="G1106" s="43"/>
      <c r="H1106" s="43"/>
      <c r="I1106" s="43"/>
      <c r="J1106" s="43"/>
      <c r="K1106" s="43"/>
      <c r="L1106" s="43"/>
      <c r="M1106" s="43"/>
      <c r="N1106" s="43"/>
      <c r="O1106" s="43"/>
      <c r="P1106" s="43"/>
      <c r="Q1106" s="43"/>
      <c r="R1106" s="43"/>
      <c r="S1106" s="43"/>
      <c r="T1106" s="43"/>
      <c r="U1106" s="43"/>
      <c r="V1106" s="41"/>
      <c r="W1106" s="41"/>
      <c r="X1106" s="41"/>
      <c r="Y1106" s="41"/>
      <c r="Z1106" s="41"/>
      <c r="AA1106" s="44"/>
      <c r="AB1106" s="44"/>
      <c r="AC1106" s="43"/>
      <c r="AD1106" s="43"/>
      <c r="AE1106" s="43"/>
    </row>
    <row r="1107" spans="1:31" x14ac:dyDescent="0.35">
      <c r="C1107" s="33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AA1107" s="35"/>
      <c r="AB1107" s="35"/>
      <c r="AC1107" s="34"/>
      <c r="AD1107" s="34"/>
      <c r="AE1107" s="34"/>
    </row>
    <row r="1108" spans="1:31" ht="15" thickBot="1" x14ac:dyDescent="0.4">
      <c r="A1108" s="45"/>
      <c r="B1108" s="45"/>
      <c r="C1108" s="46"/>
      <c r="D1108" s="47"/>
      <c r="E1108" s="47"/>
      <c r="F1108" s="47"/>
      <c r="G1108" s="47"/>
      <c r="H1108" s="47"/>
      <c r="I1108" s="47"/>
      <c r="J1108" s="47"/>
      <c r="K1108" s="47"/>
      <c r="L1108" s="47"/>
      <c r="M1108" s="47"/>
      <c r="N1108" s="47"/>
      <c r="O1108" s="47"/>
      <c r="P1108" s="47"/>
      <c r="Q1108" s="47"/>
      <c r="R1108" s="47"/>
      <c r="S1108" s="47"/>
      <c r="T1108" s="45"/>
      <c r="U1108" s="45"/>
      <c r="V1108" s="45"/>
      <c r="W1108" s="45"/>
      <c r="X1108" s="47"/>
      <c r="Y1108" s="45"/>
      <c r="Z1108" s="45"/>
      <c r="AA1108" s="48"/>
      <c r="AB1108" s="48"/>
      <c r="AC1108" s="47"/>
      <c r="AD1108" s="47"/>
      <c r="AE1108" s="47"/>
    </row>
    <row r="1109" spans="1:31" x14ac:dyDescent="0.35">
      <c r="A1109" s="41"/>
      <c r="B1109" s="41"/>
      <c r="C1109" s="42"/>
      <c r="D1109" s="43"/>
      <c r="E1109" s="43"/>
      <c r="F1109" s="43"/>
      <c r="G1109" s="43"/>
      <c r="H1109" s="43"/>
      <c r="I1109" s="43"/>
      <c r="J1109" s="43"/>
      <c r="K1109" s="43"/>
      <c r="L1109" s="43"/>
      <c r="M1109" s="43"/>
      <c r="N1109" s="43"/>
      <c r="O1109" s="43"/>
      <c r="P1109" s="43"/>
      <c r="Q1109" s="43"/>
      <c r="R1109" s="43"/>
      <c r="S1109" s="43"/>
      <c r="T1109" s="43"/>
      <c r="U1109" s="43"/>
      <c r="V1109" s="41"/>
      <c r="W1109" s="41"/>
      <c r="X1109" s="41"/>
      <c r="Y1109" s="41"/>
      <c r="Z1109" s="41"/>
      <c r="AA1109" s="44"/>
      <c r="AB1109" s="44"/>
      <c r="AC1109" s="43"/>
      <c r="AD1109" s="43"/>
      <c r="AE1109" s="43"/>
    </row>
    <row r="1110" spans="1:31" x14ac:dyDescent="0.35">
      <c r="C1110" s="33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AA1110" s="35"/>
      <c r="AB1110" s="35"/>
      <c r="AC1110" s="34"/>
      <c r="AD1110" s="34"/>
      <c r="AE1110" s="34"/>
    </row>
    <row r="1111" spans="1:31" ht="15" thickBot="1" x14ac:dyDescent="0.4">
      <c r="A1111" s="45"/>
      <c r="B1111" s="45"/>
      <c r="C1111" s="46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  <c r="S1111" s="47"/>
      <c r="T1111" s="45"/>
      <c r="U1111" s="45"/>
      <c r="V1111" s="45"/>
      <c r="W1111" s="45"/>
      <c r="X1111" s="47"/>
      <c r="Y1111" s="45"/>
      <c r="Z1111" s="45"/>
      <c r="AA1111" s="48"/>
      <c r="AB1111" s="48"/>
      <c r="AC1111" s="47"/>
      <c r="AD1111" s="47"/>
      <c r="AE1111" s="47"/>
    </row>
    <row r="1112" spans="1:31" x14ac:dyDescent="0.35">
      <c r="A1112" s="41"/>
      <c r="B1112" s="41"/>
      <c r="C1112" s="42"/>
      <c r="D1112" s="43"/>
      <c r="E1112" s="43"/>
      <c r="F1112" s="43"/>
      <c r="G1112" s="43"/>
      <c r="H1112" s="43"/>
      <c r="I1112" s="43"/>
      <c r="J1112" s="43"/>
      <c r="K1112" s="43"/>
      <c r="L1112" s="43"/>
      <c r="M1112" s="43"/>
      <c r="N1112" s="43"/>
      <c r="O1112" s="43"/>
      <c r="P1112" s="43"/>
      <c r="Q1112" s="43"/>
      <c r="R1112" s="43"/>
      <c r="S1112" s="43"/>
      <c r="T1112" s="43"/>
      <c r="U1112" s="43"/>
      <c r="V1112" s="41"/>
      <c r="W1112" s="41"/>
      <c r="X1112" s="41"/>
      <c r="Y1112" s="41"/>
      <c r="Z1112" s="41"/>
      <c r="AA1112" s="44"/>
      <c r="AB1112" s="44"/>
      <c r="AC1112" s="43"/>
      <c r="AD1112" s="43"/>
      <c r="AE1112" s="43"/>
    </row>
    <row r="1113" spans="1:31" x14ac:dyDescent="0.35">
      <c r="C1113" s="33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AA1113" s="35"/>
      <c r="AB1113" s="35"/>
      <c r="AC1113" s="34"/>
      <c r="AD1113" s="34"/>
      <c r="AE1113" s="34"/>
    </row>
    <row r="1114" spans="1:31" ht="15" thickBot="1" x14ac:dyDescent="0.4">
      <c r="A1114" s="45"/>
      <c r="B1114" s="45"/>
      <c r="C1114" s="46"/>
      <c r="D1114" s="47"/>
      <c r="E1114" s="47"/>
      <c r="F1114" s="47"/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  <c r="S1114" s="47"/>
      <c r="T1114" s="45"/>
      <c r="U1114" s="45"/>
      <c r="V1114" s="45"/>
      <c r="W1114" s="45"/>
      <c r="X1114" s="47"/>
      <c r="Y1114" s="45"/>
      <c r="Z1114" s="45"/>
      <c r="AA1114" s="48"/>
      <c r="AB1114" s="48"/>
      <c r="AC1114" s="47"/>
      <c r="AD1114" s="47"/>
      <c r="AE1114" s="47"/>
    </row>
    <row r="1115" spans="1:31" x14ac:dyDescent="0.35">
      <c r="A1115" s="41"/>
      <c r="B1115" s="41"/>
      <c r="C1115" s="42"/>
      <c r="D1115" s="43"/>
      <c r="E1115" s="43"/>
      <c r="F1115" s="43"/>
      <c r="G1115" s="43"/>
      <c r="H1115" s="43"/>
      <c r="I1115" s="43"/>
      <c r="J1115" s="43"/>
      <c r="K1115" s="43"/>
      <c r="L1115" s="43"/>
      <c r="M1115" s="43"/>
      <c r="N1115" s="43"/>
      <c r="O1115" s="43"/>
      <c r="P1115" s="43"/>
      <c r="Q1115" s="43"/>
      <c r="R1115" s="43"/>
      <c r="S1115" s="43"/>
      <c r="T1115" s="43"/>
      <c r="U1115" s="43"/>
      <c r="V1115" s="41"/>
      <c r="W1115" s="41"/>
      <c r="X1115" s="41"/>
      <c r="Y1115" s="41"/>
      <c r="Z1115" s="41"/>
      <c r="AA1115" s="44"/>
      <c r="AB1115" s="44"/>
      <c r="AC1115" s="43"/>
      <c r="AD1115" s="43"/>
      <c r="AE1115" s="43"/>
    </row>
    <row r="1116" spans="1:31" x14ac:dyDescent="0.35">
      <c r="C1116" s="33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AA1116" s="35"/>
      <c r="AB1116" s="35"/>
      <c r="AC1116" s="34"/>
      <c r="AD1116" s="34"/>
      <c r="AE1116" s="34"/>
    </row>
    <row r="1117" spans="1:31" ht="15" thickBot="1" x14ac:dyDescent="0.4">
      <c r="A1117" s="45"/>
      <c r="B1117" s="45"/>
      <c r="C1117" s="46"/>
      <c r="D1117" s="47"/>
      <c r="E1117" s="47"/>
      <c r="F1117" s="47"/>
      <c r="G1117" s="47"/>
      <c r="H1117" s="47"/>
      <c r="I1117" s="47"/>
      <c r="J1117" s="47"/>
      <c r="K1117" s="47"/>
      <c r="L1117" s="47"/>
      <c r="M1117" s="47"/>
      <c r="N1117" s="47"/>
      <c r="O1117" s="47"/>
      <c r="P1117" s="47"/>
      <c r="Q1117" s="47"/>
      <c r="R1117" s="47"/>
      <c r="S1117" s="47"/>
      <c r="T1117" s="45"/>
      <c r="U1117" s="45"/>
      <c r="V1117" s="45"/>
      <c r="W1117" s="45"/>
      <c r="X1117" s="47"/>
      <c r="Y1117" s="45"/>
      <c r="Z1117" s="45"/>
      <c r="AA1117" s="48"/>
      <c r="AB1117" s="48"/>
      <c r="AC1117" s="47"/>
      <c r="AD1117" s="47"/>
      <c r="AE1117" s="47"/>
    </row>
    <row r="1118" spans="1:31" x14ac:dyDescent="0.35">
      <c r="A1118" s="41"/>
      <c r="B1118" s="41"/>
      <c r="C1118" s="42"/>
      <c r="D1118" s="43"/>
      <c r="E1118" s="43"/>
      <c r="F1118" s="43"/>
      <c r="G1118" s="43"/>
      <c r="H1118" s="43"/>
      <c r="I1118" s="43"/>
      <c r="J1118" s="43"/>
      <c r="K1118" s="43"/>
      <c r="L1118" s="43"/>
      <c r="M1118" s="43"/>
      <c r="N1118" s="43"/>
      <c r="O1118" s="43"/>
      <c r="P1118" s="43"/>
      <c r="Q1118" s="43"/>
      <c r="R1118" s="43"/>
      <c r="S1118" s="43"/>
      <c r="T1118" s="43"/>
      <c r="U1118" s="43"/>
      <c r="V1118" s="41"/>
      <c r="W1118" s="41"/>
      <c r="X1118" s="41"/>
      <c r="Y1118" s="41"/>
      <c r="Z1118" s="41"/>
      <c r="AA1118" s="44"/>
      <c r="AB1118" s="44"/>
      <c r="AC1118" s="43"/>
      <c r="AD1118" s="43"/>
      <c r="AE1118" s="43"/>
    </row>
    <row r="1119" spans="1:31" x14ac:dyDescent="0.35">
      <c r="C1119" s="33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AA1119" s="35"/>
      <c r="AB1119" s="35"/>
      <c r="AC1119" s="34"/>
      <c r="AD1119" s="34"/>
      <c r="AE1119" s="34"/>
    </row>
    <row r="1120" spans="1:31" ht="15" thickBot="1" x14ac:dyDescent="0.4">
      <c r="A1120" s="45"/>
      <c r="B1120" s="45"/>
      <c r="C1120" s="46"/>
      <c r="D1120" s="47"/>
      <c r="E1120" s="47"/>
      <c r="F1120" s="47"/>
      <c r="G1120" s="47"/>
      <c r="H1120" s="47"/>
      <c r="I1120" s="47"/>
      <c r="J1120" s="47"/>
      <c r="K1120" s="47"/>
      <c r="L1120" s="47"/>
      <c r="M1120" s="47"/>
      <c r="N1120" s="47"/>
      <c r="O1120" s="47"/>
      <c r="P1120" s="47"/>
      <c r="Q1120" s="47"/>
      <c r="R1120" s="47"/>
      <c r="S1120" s="47"/>
      <c r="T1120" s="45"/>
      <c r="U1120" s="45"/>
      <c r="V1120" s="45"/>
      <c r="W1120" s="45"/>
      <c r="X1120" s="47"/>
      <c r="Y1120" s="45"/>
      <c r="Z1120" s="45"/>
      <c r="AA1120" s="48"/>
      <c r="AB1120" s="48"/>
      <c r="AC1120" s="47"/>
      <c r="AD1120" s="47"/>
      <c r="AE1120" s="47"/>
    </row>
    <row r="1121" spans="1:31" x14ac:dyDescent="0.35">
      <c r="A1121" s="41"/>
      <c r="B1121" s="41"/>
      <c r="C1121" s="42"/>
      <c r="D1121" s="43"/>
      <c r="E1121" s="43"/>
      <c r="F1121" s="43"/>
      <c r="G1121" s="43"/>
      <c r="H1121" s="43"/>
      <c r="I1121" s="43"/>
      <c r="J1121" s="43"/>
      <c r="K1121" s="43"/>
      <c r="L1121" s="43"/>
      <c r="M1121" s="43"/>
      <c r="N1121" s="43"/>
      <c r="O1121" s="43"/>
      <c r="P1121" s="43"/>
      <c r="Q1121" s="43"/>
      <c r="R1121" s="43"/>
      <c r="S1121" s="43"/>
      <c r="T1121" s="43"/>
      <c r="U1121" s="43"/>
      <c r="V1121" s="41"/>
      <c r="W1121" s="41"/>
      <c r="X1121" s="41"/>
      <c r="Y1121" s="41"/>
      <c r="Z1121" s="41"/>
      <c r="AA1121" s="44"/>
      <c r="AB1121" s="44"/>
      <c r="AC1121" s="43"/>
      <c r="AD1121" s="43"/>
      <c r="AE1121" s="43"/>
    </row>
    <row r="1122" spans="1:31" x14ac:dyDescent="0.35">
      <c r="C1122" s="33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AA1122" s="35"/>
      <c r="AB1122" s="35"/>
      <c r="AC1122" s="34"/>
      <c r="AD1122" s="34"/>
      <c r="AE1122" s="34"/>
    </row>
    <row r="1123" spans="1:31" ht="15" thickBot="1" x14ac:dyDescent="0.4">
      <c r="A1123" s="45"/>
      <c r="B1123" s="45"/>
      <c r="C1123" s="46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  <c r="S1123" s="47"/>
      <c r="T1123" s="45"/>
      <c r="U1123" s="45"/>
      <c r="V1123" s="45"/>
      <c r="W1123" s="45"/>
      <c r="X1123" s="47"/>
      <c r="Y1123" s="45"/>
      <c r="Z1123" s="45"/>
      <c r="AA1123" s="48"/>
      <c r="AB1123" s="48"/>
      <c r="AC1123" s="47"/>
      <c r="AD1123" s="47"/>
      <c r="AE1123" s="47"/>
    </row>
    <row r="1124" spans="1:31" x14ac:dyDescent="0.35">
      <c r="A1124" s="41"/>
      <c r="B1124" s="41"/>
      <c r="C1124" s="42"/>
      <c r="D1124" s="43"/>
      <c r="E1124" s="43"/>
      <c r="F1124" s="43"/>
      <c r="G1124" s="43"/>
      <c r="H1124" s="43"/>
      <c r="I1124" s="43"/>
      <c r="J1124" s="43"/>
      <c r="K1124" s="43"/>
      <c r="L1124" s="43"/>
      <c r="M1124" s="43"/>
      <c r="N1124" s="43"/>
      <c r="O1124" s="43"/>
      <c r="P1124" s="43"/>
      <c r="Q1124" s="43"/>
      <c r="R1124" s="43"/>
      <c r="S1124" s="43"/>
      <c r="T1124" s="43"/>
      <c r="U1124" s="43"/>
      <c r="V1124" s="41"/>
      <c r="W1124" s="41"/>
      <c r="X1124" s="41"/>
      <c r="Y1124" s="41"/>
      <c r="Z1124" s="41"/>
      <c r="AA1124" s="44"/>
      <c r="AB1124" s="44"/>
      <c r="AC1124" s="43"/>
      <c r="AD1124" s="43"/>
      <c r="AE1124" s="43"/>
    </row>
    <row r="1125" spans="1:31" x14ac:dyDescent="0.35">
      <c r="C1125" s="33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AA1125" s="35"/>
      <c r="AB1125" s="35"/>
      <c r="AC1125" s="34"/>
      <c r="AD1125" s="34"/>
      <c r="AE1125" s="34"/>
    </row>
    <row r="1126" spans="1:31" ht="15" thickBot="1" x14ac:dyDescent="0.4">
      <c r="A1126" s="45"/>
      <c r="B1126" s="45"/>
      <c r="C1126" s="46"/>
      <c r="D1126" s="47"/>
      <c r="E1126" s="47"/>
      <c r="F1126" s="47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  <c r="S1126" s="47"/>
      <c r="T1126" s="45"/>
      <c r="U1126" s="45"/>
      <c r="V1126" s="45"/>
      <c r="W1126" s="45"/>
      <c r="X1126" s="47"/>
      <c r="Y1126" s="45"/>
      <c r="Z1126" s="45"/>
      <c r="AA1126" s="48"/>
      <c r="AB1126" s="48"/>
      <c r="AC1126" s="47"/>
      <c r="AD1126" s="47"/>
      <c r="AE1126" s="47"/>
    </row>
    <row r="1127" spans="1:31" x14ac:dyDescent="0.35">
      <c r="A1127" s="41"/>
      <c r="B1127" s="41"/>
      <c r="C1127" s="42"/>
      <c r="D1127" s="43"/>
      <c r="E1127" s="43"/>
      <c r="F1127" s="43"/>
      <c r="G1127" s="43"/>
      <c r="H1127" s="43"/>
      <c r="I1127" s="43"/>
      <c r="J1127" s="43"/>
      <c r="K1127" s="43"/>
      <c r="L1127" s="43"/>
      <c r="M1127" s="43"/>
      <c r="N1127" s="43"/>
      <c r="O1127" s="43"/>
      <c r="P1127" s="43"/>
      <c r="Q1127" s="43"/>
      <c r="R1127" s="43"/>
      <c r="S1127" s="43"/>
      <c r="T1127" s="43"/>
      <c r="U1127" s="43"/>
      <c r="V1127" s="41"/>
      <c r="W1127" s="41"/>
      <c r="X1127" s="41"/>
      <c r="Y1127" s="41"/>
      <c r="Z1127" s="41"/>
      <c r="AA1127" s="44"/>
      <c r="AB1127" s="44"/>
      <c r="AC1127" s="43"/>
      <c r="AD1127" s="43"/>
      <c r="AE1127" s="43"/>
    </row>
    <row r="1128" spans="1:31" x14ac:dyDescent="0.35">
      <c r="C1128" s="33"/>
      <c r="D1128" s="34"/>
      <c r="E1128" s="34"/>
      <c r="F1128" s="34"/>
      <c r="G1128" s="34"/>
      <c r="H1128" s="34"/>
      <c r="I1128" s="34"/>
      <c r="J1128" s="34"/>
      <c r="K1128" s="34"/>
      <c r="L1128" s="34"/>
      <c r="M1128" s="34"/>
      <c r="N1128" s="34"/>
      <c r="O1128" s="34"/>
      <c r="AA1128" s="35"/>
      <c r="AB1128" s="35"/>
      <c r="AC1128" s="34"/>
      <c r="AD1128" s="34"/>
      <c r="AE1128" s="34"/>
    </row>
    <row r="1129" spans="1:31" ht="15" thickBot="1" x14ac:dyDescent="0.4">
      <c r="A1129" s="45"/>
      <c r="B1129" s="45"/>
      <c r="C1129" s="46"/>
      <c r="D1129" s="47"/>
      <c r="E1129" s="47"/>
      <c r="F1129" s="47"/>
      <c r="G1129" s="47"/>
      <c r="H1129" s="47"/>
      <c r="I1129" s="47"/>
      <c r="J1129" s="47"/>
      <c r="K1129" s="47"/>
      <c r="L1129" s="47"/>
      <c r="M1129" s="47"/>
      <c r="N1129" s="47"/>
      <c r="O1129" s="47"/>
      <c r="P1129" s="47"/>
      <c r="Q1129" s="47"/>
      <c r="R1129" s="47"/>
      <c r="S1129" s="47"/>
      <c r="T1129" s="45"/>
      <c r="U1129" s="45"/>
      <c r="V1129" s="45"/>
      <c r="W1129" s="45"/>
      <c r="X1129" s="47"/>
      <c r="Y1129" s="45"/>
      <c r="Z1129" s="45"/>
      <c r="AA1129" s="48"/>
      <c r="AB1129" s="48"/>
      <c r="AC1129" s="47"/>
      <c r="AD1129" s="47"/>
      <c r="AE1129" s="47"/>
    </row>
    <row r="1130" spans="1:31" x14ac:dyDescent="0.35">
      <c r="A1130" s="41"/>
      <c r="B1130" s="41"/>
      <c r="C1130" s="42"/>
      <c r="D1130" s="43"/>
      <c r="E1130" s="43"/>
      <c r="F1130" s="43"/>
      <c r="G1130" s="43"/>
      <c r="H1130" s="43"/>
      <c r="I1130" s="43"/>
      <c r="J1130" s="43"/>
      <c r="K1130" s="43"/>
      <c r="L1130" s="43"/>
      <c r="M1130" s="43"/>
      <c r="N1130" s="43"/>
      <c r="O1130" s="43"/>
      <c r="P1130" s="43"/>
      <c r="Q1130" s="43"/>
      <c r="R1130" s="43"/>
      <c r="S1130" s="43"/>
      <c r="T1130" s="43"/>
      <c r="U1130" s="43"/>
      <c r="V1130" s="41"/>
      <c r="W1130" s="41"/>
      <c r="X1130" s="41"/>
      <c r="Y1130" s="41"/>
      <c r="Z1130" s="41"/>
      <c r="AA1130" s="44"/>
      <c r="AB1130" s="44"/>
      <c r="AC1130" s="43"/>
      <c r="AD1130" s="43"/>
      <c r="AE1130" s="43"/>
    </row>
    <row r="1131" spans="1:31" x14ac:dyDescent="0.35">
      <c r="C1131" s="33"/>
      <c r="D1131" s="34"/>
      <c r="E1131" s="34"/>
      <c r="F1131" s="34"/>
      <c r="G1131" s="34"/>
      <c r="H1131" s="34"/>
      <c r="I1131" s="34"/>
      <c r="J1131" s="34"/>
      <c r="K1131" s="34"/>
      <c r="L1131" s="34"/>
      <c r="M1131" s="34"/>
      <c r="N1131" s="34"/>
      <c r="O1131" s="34"/>
      <c r="AA1131" s="35"/>
      <c r="AB1131" s="35"/>
      <c r="AC1131" s="34"/>
      <c r="AD1131" s="34"/>
      <c r="AE1131" s="34"/>
    </row>
    <row r="1132" spans="1:31" ht="15" thickBot="1" x14ac:dyDescent="0.4">
      <c r="A1132" s="45"/>
      <c r="B1132" s="45"/>
      <c r="C1132" s="46"/>
      <c r="D1132" s="47"/>
      <c r="E1132" s="47"/>
      <c r="F1132" s="47"/>
      <c r="G1132" s="47"/>
      <c r="H1132" s="47"/>
      <c r="I1132" s="47"/>
      <c r="J1132" s="47"/>
      <c r="K1132" s="47"/>
      <c r="L1132" s="47"/>
      <c r="M1132" s="47"/>
      <c r="N1132" s="47"/>
      <c r="O1132" s="47"/>
      <c r="P1132" s="47"/>
      <c r="Q1132" s="47"/>
      <c r="R1132" s="47"/>
      <c r="S1132" s="47"/>
      <c r="T1132" s="45"/>
      <c r="U1132" s="45"/>
      <c r="V1132" s="45"/>
      <c r="W1132" s="45"/>
      <c r="X1132" s="47"/>
      <c r="Y1132" s="45"/>
      <c r="Z1132" s="45"/>
      <c r="AA1132" s="48"/>
      <c r="AB1132" s="48"/>
      <c r="AC1132" s="47"/>
      <c r="AD1132" s="47"/>
      <c r="AE1132" s="47"/>
    </row>
    <row r="1133" spans="1:31" x14ac:dyDescent="0.35">
      <c r="A1133" s="41"/>
      <c r="B1133" s="41"/>
      <c r="C1133" s="42"/>
      <c r="D1133" s="43"/>
      <c r="E1133" s="43"/>
      <c r="F1133" s="43"/>
      <c r="G1133" s="43"/>
      <c r="H1133" s="43"/>
      <c r="I1133" s="43"/>
      <c r="J1133" s="43"/>
      <c r="K1133" s="43"/>
      <c r="L1133" s="43"/>
      <c r="M1133" s="43"/>
      <c r="N1133" s="43"/>
      <c r="O1133" s="43"/>
      <c r="P1133" s="43"/>
      <c r="Q1133" s="43"/>
      <c r="R1133" s="43"/>
      <c r="S1133" s="43"/>
      <c r="T1133" s="43"/>
      <c r="U1133" s="43"/>
      <c r="V1133" s="41"/>
      <c r="W1133" s="41"/>
      <c r="X1133" s="41"/>
      <c r="Y1133" s="41"/>
      <c r="Z1133" s="41"/>
      <c r="AA1133" s="44"/>
      <c r="AB1133" s="44"/>
      <c r="AC1133" s="43"/>
      <c r="AD1133" s="43"/>
      <c r="AE1133" s="43"/>
    </row>
    <row r="1134" spans="1:31" x14ac:dyDescent="0.35">
      <c r="C1134" s="33"/>
      <c r="D1134" s="34"/>
      <c r="E1134" s="34"/>
      <c r="F1134" s="34"/>
      <c r="G1134" s="34"/>
      <c r="H1134" s="34"/>
      <c r="I1134" s="34"/>
      <c r="J1134" s="34"/>
      <c r="K1134" s="34"/>
      <c r="L1134" s="34"/>
      <c r="M1134" s="34"/>
      <c r="N1134" s="34"/>
      <c r="O1134" s="34"/>
      <c r="AA1134" s="35"/>
      <c r="AB1134" s="35"/>
      <c r="AC1134" s="34"/>
      <c r="AD1134" s="34"/>
      <c r="AE1134" s="34"/>
    </row>
    <row r="1135" spans="1:31" ht="15" thickBot="1" x14ac:dyDescent="0.4">
      <c r="A1135" s="45"/>
      <c r="B1135" s="45"/>
      <c r="C1135" s="46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  <c r="S1135" s="47"/>
      <c r="T1135" s="45"/>
      <c r="U1135" s="45"/>
      <c r="V1135" s="45"/>
      <c r="W1135" s="45"/>
      <c r="X1135" s="47"/>
      <c r="Y1135" s="45"/>
      <c r="Z1135" s="45"/>
      <c r="AA1135" s="48"/>
      <c r="AB1135" s="48"/>
      <c r="AC1135" s="47"/>
      <c r="AD1135" s="47"/>
      <c r="AE1135" s="47"/>
    </row>
    <row r="1136" spans="1:31" x14ac:dyDescent="0.35">
      <c r="A1136" s="41"/>
      <c r="B1136" s="41"/>
      <c r="C1136" s="42"/>
      <c r="D1136" s="43"/>
      <c r="E1136" s="43"/>
      <c r="F1136" s="43"/>
      <c r="G1136" s="43"/>
      <c r="H1136" s="43"/>
      <c r="I1136" s="43"/>
      <c r="J1136" s="43"/>
      <c r="K1136" s="43"/>
      <c r="L1136" s="43"/>
      <c r="M1136" s="43"/>
      <c r="N1136" s="43"/>
      <c r="O1136" s="43"/>
      <c r="P1136" s="43"/>
      <c r="Q1136" s="43"/>
      <c r="R1136" s="43"/>
      <c r="S1136" s="43"/>
      <c r="T1136" s="43"/>
      <c r="U1136" s="43"/>
      <c r="V1136" s="41"/>
      <c r="W1136" s="41"/>
      <c r="X1136" s="41"/>
      <c r="Y1136" s="41"/>
      <c r="Z1136" s="41"/>
      <c r="AA1136" s="44"/>
      <c r="AB1136" s="44"/>
      <c r="AC1136" s="43"/>
      <c r="AD1136" s="43"/>
      <c r="AE1136" s="43"/>
    </row>
    <row r="1137" spans="1:31" x14ac:dyDescent="0.35">
      <c r="C1137" s="33"/>
      <c r="D1137" s="34"/>
      <c r="E1137" s="34"/>
      <c r="F1137" s="34"/>
      <c r="G1137" s="34"/>
      <c r="H1137" s="34"/>
      <c r="I1137" s="34"/>
      <c r="J1137" s="34"/>
      <c r="K1137" s="34"/>
      <c r="L1137" s="34"/>
      <c r="M1137" s="34"/>
      <c r="N1137" s="34"/>
      <c r="O1137" s="34"/>
      <c r="AA1137" s="35"/>
      <c r="AB1137" s="35"/>
      <c r="AC1137" s="34"/>
      <c r="AD1137" s="34"/>
      <c r="AE1137" s="34"/>
    </row>
    <row r="1138" spans="1:31" ht="15" thickBot="1" x14ac:dyDescent="0.4">
      <c r="A1138" s="45"/>
      <c r="B1138" s="45"/>
      <c r="C1138" s="46"/>
      <c r="D1138" s="47"/>
      <c r="E1138" s="47"/>
      <c r="F1138" s="47"/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  <c r="S1138" s="47"/>
      <c r="T1138" s="45"/>
      <c r="U1138" s="45"/>
      <c r="V1138" s="45"/>
      <c r="W1138" s="45"/>
      <c r="X1138" s="47"/>
      <c r="Y1138" s="45"/>
      <c r="Z1138" s="45"/>
      <c r="AA1138" s="48"/>
      <c r="AB1138" s="48"/>
      <c r="AC1138" s="47"/>
      <c r="AD1138" s="47"/>
      <c r="AE1138" s="47"/>
    </row>
    <row r="1139" spans="1:31" x14ac:dyDescent="0.35">
      <c r="A1139" s="41"/>
      <c r="B1139" s="41"/>
      <c r="C1139" s="42"/>
      <c r="D1139" s="43"/>
      <c r="E1139" s="43"/>
      <c r="F1139" s="43"/>
      <c r="G1139" s="43"/>
      <c r="H1139" s="43"/>
      <c r="I1139" s="43"/>
      <c r="J1139" s="43"/>
      <c r="K1139" s="43"/>
      <c r="L1139" s="43"/>
      <c r="M1139" s="43"/>
      <c r="N1139" s="43"/>
      <c r="O1139" s="43"/>
      <c r="P1139" s="43"/>
      <c r="Q1139" s="43"/>
      <c r="R1139" s="43"/>
      <c r="S1139" s="43"/>
      <c r="T1139" s="43"/>
      <c r="U1139" s="43"/>
      <c r="V1139" s="41"/>
      <c r="W1139" s="41"/>
      <c r="X1139" s="41"/>
      <c r="Y1139" s="41"/>
      <c r="Z1139" s="41"/>
      <c r="AA1139" s="44"/>
      <c r="AB1139" s="44"/>
      <c r="AC1139" s="43"/>
      <c r="AD1139" s="43"/>
      <c r="AE1139" s="43"/>
    </row>
    <row r="1140" spans="1:31" x14ac:dyDescent="0.35">
      <c r="C1140" s="33"/>
      <c r="D1140" s="34"/>
      <c r="E1140" s="34"/>
      <c r="F1140" s="34"/>
      <c r="G1140" s="34"/>
      <c r="H1140" s="34"/>
      <c r="I1140" s="34"/>
      <c r="J1140" s="34"/>
      <c r="K1140" s="34"/>
      <c r="L1140" s="34"/>
      <c r="M1140" s="34"/>
      <c r="N1140" s="34"/>
      <c r="O1140" s="34"/>
      <c r="AA1140" s="35"/>
      <c r="AB1140" s="35"/>
      <c r="AC1140" s="34"/>
      <c r="AD1140" s="34"/>
      <c r="AE1140" s="34"/>
    </row>
    <row r="1141" spans="1:31" ht="15" thickBot="1" x14ac:dyDescent="0.4">
      <c r="A1141" s="45"/>
      <c r="B1141" s="45"/>
      <c r="C1141" s="46"/>
      <c r="D1141" s="47"/>
      <c r="E1141" s="47"/>
      <c r="F1141" s="47"/>
      <c r="G1141" s="47"/>
      <c r="H1141" s="47"/>
      <c r="I1141" s="47"/>
      <c r="J1141" s="47"/>
      <c r="K1141" s="47"/>
      <c r="L1141" s="47"/>
      <c r="M1141" s="47"/>
      <c r="N1141" s="47"/>
      <c r="O1141" s="47"/>
      <c r="P1141" s="47"/>
      <c r="Q1141" s="47"/>
      <c r="R1141" s="47"/>
      <c r="S1141" s="47"/>
      <c r="T1141" s="45"/>
      <c r="U1141" s="45"/>
      <c r="V1141" s="45"/>
      <c r="W1141" s="45"/>
      <c r="X1141" s="47"/>
      <c r="Y1141" s="45"/>
      <c r="Z1141" s="45"/>
      <c r="AA1141" s="48"/>
      <c r="AB1141" s="48"/>
      <c r="AC1141" s="47"/>
      <c r="AD1141" s="47"/>
      <c r="AE1141" s="47"/>
    </row>
    <row r="1142" spans="1:31" x14ac:dyDescent="0.35">
      <c r="A1142" s="41"/>
      <c r="B1142" s="41"/>
      <c r="C1142" s="42"/>
      <c r="D1142" s="43"/>
      <c r="E1142" s="43"/>
      <c r="F1142" s="43"/>
      <c r="G1142" s="43"/>
      <c r="H1142" s="43"/>
      <c r="I1142" s="43"/>
      <c r="J1142" s="43"/>
      <c r="K1142" s="43"/>
      <c r="L1142" s="43"/>
      <c r="M1142" s="43"/>
      <c r="N1142" s="43"/>
      <c r="O1142" s="43"/>
      <c r="P1142" s="43"/>
      <c r="Q1142" s="43"/>
      <c r="R1142" s="43"/>
      <c r="S1142" s="43"/>
      <c r="T1142" s="43"/>
      <c r="U1142" s="43"/>
      <c r="V1142" s="41"/>
      <c r="W1142" s="41"/>
      <c r="X1142" s="41"/>
      <c r="Y1142" s="41"/>
      <c r="Z1142" s="41"/>
      <c r="AA1142" s="44"/>
      <c r="AB1142" s="44"/>
      <c r="AC1142" s="43"/>
      <c r="AD1142" s="43"/>
      <c r="AE1142" s="43"/>
    </row>
    <row r="1143" spans="1:31" x14ac:dyDescent="0.35">
      <c r="C1143" s="33"/>
      <c r="D1143" s="34"/>
      <c r="E1143" s="34"/>
      <c r="F1143" s="34"/>
      <c r="G1143" s="34"/>
      <c r="H1143" s="34"/>
      <c r="I1143" s="34"/>
      <c r="J1143" s="34"/>
      <c r="K1143" s="34"/>
      <c r="L1143" s="34"/>
      <c r="M1143" s="34"/>
      <c r="N1143" s="34"/>
      <c r="O1143" s="34"/>
      <c r="AA1143" s="35"/>
      <c r="AB1143" s="35"/>
      <c r="AC1143" s="34"/>
      <c r="AD1143" s="34"/>
      <c r="AE1143" s="34"/>
    </row>
    <row r="1144" spans="1:31" ht="15" thickBot="1" x14ac:dyDescent="0.4">
      <c r="A1144" s="45"/>
      <c r="B1144" s="45"/>
      <c r="C1144" s="46"/>
      <c r="D1144" s="47"/>
      <c r="E1144" s="47"/>
      <c r="F1144" s="47"/>
      <c r="G1144" s="47"/>
      <c r="H1144" s="47"/>
      <c r="I1144" s="47"/>
      <c r="J1144" s="47"/>
      <c r="K1144" s="47"/>
      <c r="L1144" s="47"/>
      <c r="M1144" s="47"/>
      <c r="N1144" s="47"/>
      <c r="O1144" s="47"/>
      <c r="P1144" s="47"/>
      <c r="Q1144" s="47"/>
      <c r="R1144" s="47"/>
      <c r="S1144" s="47"/>
      <c r="T1144" s="45"/>
      <c r="U1144" s="45"/>
      <c r="V1144" s="45"/>
      <c r="W1144" s="45"/>
      <c r="X1144" s="47"/>
      <c r="Y1144" s="45"/>
      <c r="Z1144" s="45"/>
      <c r="AA1144" s="48"/>
      <c r="AB1144" s="48"/>
      <c r="AC1144" s="47"/>
      <c r="AD1144" s="47"/>
      <c r="AE1144" s="47"/>
    </row>
    <row r="1145" spans="1:31" x14ac:dyDescent="0.35">
      <c r="A1145" s="41"/>
      <c r="B1145" s="41"/>
      <c r="C1145" s="42"/>
      <c r="D1145" s="43"/>
      <c r="E1145" s="43"/>
      <c r="F1145" s="43"/>
      <c r="G1145" s="43"/>
      <c r="H1145" s="43"/>
      <c r="I1145" s="43"/>
      <c r="J1145" s="43"/>
      <c r="K1145" s="43"/>
      <c r="L1145" s="43"/>
      <c r="M1145" s="43"/>
      <c r="N1145" s="43"/>
      <c r="O1145" s="43"/>
      <c r="P1145" s="43"/>
      <c r="Q1145" s="43"/>
      <c r="R1145" s="43"/>
      <c r="S1145" s="43"/>
      <c r="T1145" s="43"/>
      <c r="U1145" s="43"/>
      <c r="V1145" s="41"/>
      <c r="W1145" s="41"/>
      <c r="X1145" s="41"/>
      <c r="Y1145" s="41"/>
      <c r="Z1145" s="41"/>
      <c r="AA1145" s="44"/>
      <c r="AB1145" s="44"/>
      <c r="AC1145" s="43"/>
      <c r="AD1145" s="43"/>
      <c r="AE1145" s="43"/>
    </row>
    <row r="1146" spans="1:31" x14ac:dyDescent="0.35">
      <c r="C1146" s="33"/>
      <c r="D1146" s="34"/>
      <c r="E1146" s="34"/>
      <c r="F1146" s="34"/>
      <c r="G1146" s="34"/>
      <c r="H1146" s="34"/>
      <c r="I1146" s="34"/>
      <c r="J1146" s="34"/>
      <c r="K1146" s="34"/>
      <c r="L1146" s="34"/>
      <c r="M1146" s="34"/>
      <c r="N1146" s="34"/>
      <c r="O1146" s="34"/>
      <c r="AA1146" s="35"/>
      <c r="AB1146" s="35"/>
      <c r="AC1146" s="34"/>
      <c r="AD1146" s="34"/>
      <c r="AE1146" s="34"/>
    </row>
    <row r="1147" spans="1:31" ht="15" thickBot="1" x14ac:dyDescent="0.4">
      <c r="A1147" s="45"/>
      <c r="B1147" s="45"/>
      <c r="C1147" s="46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  <c r="S1147" s="47"/>
      <c r="T1147" s="45"/>
      <c r="U1147" s="45"/>
      <c r="V1147" s="45"/>
      <c r="W1147" s="45"/>
      <c r="X1147" s="47"/>
      <c r="Y1147" s="45"/>
      <c r="Z1147" s="45"/>
      <c r="AA1147" s="48"/>
      <c r="AB1147" s="48"/>
      <c r="AC1147" s="47"/>
      <c r="AD1147" s="47"/>
      <c r="AE1147" s="47"/>
    </row>
    <row r="1148" spans="1:31" x14ac:dyDescent="0.35">
      <c r="A1148" s="41"/>
      <c r="B1148" s="41"/>
      <c r="C1148" s="42"/>
      <c r="D1148" s="43"/>
      <c r="E1148" s="43"/>
      <c r="F1148" s="43"/>
      <c r="G1148" s="43"/>
      <c r="H1148" s="43"/>
      <c r="I1148" s="43"/>
      <c r="J1148" s="43"/>
      <c r="K1148" s="43"/>
      <c r="L1148" s="43"/>
      <c r="M1148" s="43"/>
      <c r="N1148" s="43"/>
      <c r="O1148" s="43"/>
      <c r="P1148" s="43"/>
      <c r="Q1148" s="43"/>
      <c r="R1148" s="43"/>
      <c r="S1148" s="43"/>
      <c r="T1148" s="43"/>
      <c r="U1148" s="43"/>
      <c r="V1148" s="41"/>
      <c r="W1148" s="41"/>
      <c r="X1148" s="41"/>
      <c r="Y1148" s="41"/>
      <c r="Z1148" s="41"/>
      <c r="AA1148" s="44"/>
      <c r="AB1148" s="44"/>
      <c r="AC1148" s="43"/>
      <c r="AD1148" s="43"/>
      <c r="AE1148" s="43"/>
    </row>
    <row r="1149" spans="1:31" x14ac:dyDescent="0.35">
      <c r="C1149" s="33"/>
      <c r="D1149" s="34"/>
      <c r="E1149" s="34"/>
      <c r="F1149" s="34"/>
      <c r="G1149" s="34"/>
      <c r="H1149" s="34"/>
      <c r="I1149" s="34"/>
      <c r="J1149" s="34"/>
      <c r="K1149" s="34"/>
      <c r="L1149" s="34"/>
      <c r="M1149" s="34"/>
      <c r="N1149" s="34"/>
      <c r="O1149" s="34"/>
      <c r="AA1149" s="35"/>
      <c r="AB1149" s="35"/>
      <c r="AC1149" s="34"/>
      <c r="AD1149" s="34"/>
      <c r="AE1149" s="34"/>
    </row>
    <row r="1150" spans="1:31" ht="15" thickBot="1" x14ac:dyDescent="0.4">
      <c r="A1150" s="45"/>
      <c r="B1150" s="45"/>
      <c r="C1150" s="46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  <c r="S1150" s="47"/>
      <c r="T1150" s="45"/>
      <c r="U1150" s="45"/>
      <c r="V1150" s="45"/>
      <c r="W1150" s="45"/>
      <c r="X1150" s="47"/>
      <c r="Y1150" s="45"/>
      <c r="Z1150" s="45"/>
      <c r="AA1150" s="48"/>
      <c r="AB1150" s="48"/>
      <c r="AC1150" s="47"/>
      <c r="AD1150" s="47"/>
      <c r="AE1150" s="47"/>
    </row>
    <row r="1151" spans="1:31" x14ac:dyDescent="0.35">
      <c r="A1151" s="41"/>
      <c r="B1151" s="41"/>
      <c r="C1151" s="42"/>
      <c r="D1151" s="43"/>
      <c r="E1151" s="43"/>
      <c r="F1151" s="43"/>
      <c r="G1151" s="43"/>
      <c r="H1151" s="43"/>
      <c r="I1151" s="43"/>
      <c r="J1151" s="43"/>
      <c r="K1151" s="43"/>
      <c r="L1151" s="43"/>
      <c r="M1151" s="43"/>
      <c r="N1151" s="43"/>
      <c r="O1151" s="43"/>
      <c r="P1151" s="43"/>
      <c r="Q1151" s="43"/>
      <c r="R1151" s="43"/>
      <c r="S1151" s="43"/>
      <c r="T1151" s="43"/>
      <c r="U1151" s="43"/>
      <c r="V1151" s="41"/>
      <c r="W1151" s="41"/>
      <c r="X1151" s="41"/>
      <c r="Y1151" s="41"/>
      <c r="Z1151" s="41"/>
      <c r="AA1151" s="44"/>
      <c r="AB1151" s="44"/>
      <c r="AC1151" s="43"/>
      <c r="AD1151" s="43"/>
      <c r="AE1151" s="43"/>
    </row>
    <row r="1152" spans="1:31" x14ac:dyDescent="0.35">
      <c r="C1152" s="33"/>
      <c r="D1152" s="34"/>
      <c r="E1152" s="34"/>
      <c r="F1152" s="34"/>
      <c r="G1152" s="34"/>
      <c r="H1152" s="34"/>
      <c r="I1152" s="34"/>
      <c r="J1152" s="34"/>
      <c r="K1152" s="34"/>
      <c r="L1152" s="34"/>
      <c r="M1152" s="34"/>
      <c r="N1152" s="34"/>
      <c r="O1152" s="34"/>
      <c r="AA1152" s="35"/>
      <c r="AB1152" s="35"/>
      <c r="AC1152" s="34"/>
      <c r="AD1152" s="34"/>
      <c r="AE1152" s="34"/>
    </row>
    <row r="1153" spans="1:31" ht="15" thickBot="1" x14ac:dyDescent="0.4">
      <c r="A1153" s="45"/>
      <c r="B1153" s="45"/>
      <c r="C1153" s="46"/>
      <c r="D1153" s="47"/>
      <c r="E1153" s="47"/>
      <c r="F1153" s="47"/>
      <c r="G1153" s="47"/>
      <c r="H1153" s="47"/>
      <c r="I1153" s="47"/>
      <c r="J1153" s="47"/>
      <c r="K1153" s="47"/>
      <c r="L1153" s="47"/>
      <c r="M1153" s="47"/>
      <c r="N1153" s="47"/>
      <c r="O1153" s="47"/>
      <c r="P1153" s="47"/>
      <c r="Q1153" s="47"/>
      <c r="R1153" s="47"/>
      <c r="S1153" s="47"/>
      <c r="T1153" s="45"/>
      <c r="U1153" s="45"/>
      <c r="V1153" s="45"/>
      <c r="W1153" s="45"/>
      <c r="X1153" s="47"/>
      <c r="Y1153" s="45"/>
      <c r="Z1153" s="45"/>
      <c r="AA1153" s="48"/>
      <c r="AB1153" s="48"/>
      <c r="AC1153" s="47"/>
      <c r="AD1153" s="47"/>
      <c r="AE1153" s="47"/>
    </row>
    <row r="1154" spans="1:31" x14ac:dyDescent="0.35">
      <c r="A1154" s="41"/>
      <c r="B1154" s="41"/>
      <c r="C1154" s="42"/>
      <c r="D1154" s="43"/>
      <c r="E1154" s="43"/>
      <c r="F1154" s="43"/>
      <c r="G1154" s="43"/>
      <c r="H1154" s="43"/>
      <c r="I1154" s="43"/>
      <c r="J1154" s="43"/>
      <c r="K1154" s="43"/>
      <c r="L1154" s="43"/>
      <c r="M1154" s="43"/>
      <c r="N1154" s="43"/>
      <c r="O1154" s="43"/>
      <c r="P1154" s="43"/>
      <c r="Q1154" s="43"/>
      <c r="R1154" s="43"/>
      <c r="S1154" s="43"/>
      <c r="T1154" s="43"/>
      <c r="U1154" s="43"/>
      <c r="V1154" s="41"/>
      <c r="W1154" s="41"/>
      <c r="X1154" s="41"/>
      <c r="Y1154" s="41"/>
      <c r="Z1154" s="41"/>
      <c r="AA1154" s="44"/>
      <c r="AB1154" s="44"/>
      <c r="AC1154" s="43"/>
      <c r="AD1154" s="43"/>
      <c r="AE1154" s="43"/>
    </row>
    <row r="1155" spans="1:31" x14ac:dyDescent="0.35">
      <c r="C1155" s="33"/>
      <c r="D1155" s="34"/>
      <c r="E1155" s="34"/>
      <c r="F1155" s="34"/>
      <c r="G1155" s="34"/>
      <c r="H1155" s="34"/>
      <c r="I1155" s="34"/>
      <c r="J1155" s="34"/>
      <c r="K1155" s="34"/>
      <c r="L1155" s="34"/>
      <c r="M1155" s="34"/>
      <c r="N1155" s="34"/>
      <c r="O1155" s="34"/>
      <c r="AA1155" s="35"/>
      <c r="AB1155" s="35"/>
      <c r="AC1155" s="34"/>
      <c r="AD1155" s="34"/>
      <c r="AE1155" s="34"/>
    </row>
    <row r="1156" spans="1:31" ht="15" thickBot="1" x14ac:dyDescent="0.4">
      <c r="A1156" s="45"/>
      <c r="B1156" s="45"/>
      <c r="C1156" s="46"/>
      <c r="D1156" s="47"/>
      <c r="E1156" s="47"/>
      <c r="F1156" s="47"/>
      <c r="G1156" s="47"/>
      <c r="H1156" s="47"/>
      <c r="I1156" s="47"/>
      <c r="J1156" s="47"/>
      <c r="K1156" s="47"/>
      <c r="L1156" s="47"/>
      <c r="M1156" s="47"/>
      <c r="N1156" s="47"/>
      <c r="O1156" s="47"/>
      <c r="P1156" s="47"/>
      <c r="Q1156" s="47"/>
      <c r="R1156" s="47"/>
      <c r="S1156" s="47"/>
      <c r="T1156" s="45"/>
      <c r="U1156" s="45"/>
      <c r="V1156" s="45"/>
      <c r="W1156" s="45"/>
      <c r="X1156" s="47"/>
      <c r="Y1156" s="45"/>
      <c r="Z1156" s="45"/>
      <c r="AA1156" s="48"/>
      <c r="AB1156" s="48"/>
      <c r="AC1156" s="47"/>
      <c r="AD1156" s="47"/>
      <c r="AE1156" s="47"/>
    </row>
    <row r="1157" spans="1:31" x14ac:dyDescent="0.35">
      <c r="A1157" s="41"/>
      <c r="B1157" s="41"/>
      <c r="C1157" s="42"/>
      <c r="D1157" s="43"/>
      <c r="E1157" s="43"/>
      <c r="F1157" s="43"/>
      <c r="G1157" s="43"/>
      <c r="H1157" s="43"/>
      <c r="I1157" s="43"/>
      <c r="J1157" s="43"/>
      <c r="K1157" s="43"/>
      <c r="L1157" s="43"/>
      <c r="M1157" s="43"/>
      <c r="N1157" s="43"/>
      <c r="O1157" s="43"/>
      <c r="P1157" s="43"/>
      <c r="Q1157" s="43"/>
      <c r="R1157" s="43"/>
      <c r="S1157" s="43"/>
      <c r="T1157" s="43"/>
      <c r="U1157" s="43"/>
      <c r="V1157" s="41"/>
      <c r="W1157" s="41"/>
      <c r="X1157" s="41"/>
      <c r="Y1157" s="41"/>
      <c r="Z1157" s="41"/>
      <c r="AA1157" s="44"/>
      <c r="AB1157" s="44"/>
      <c r="AC1157" s="43"/>
      <c r="AD1157" s="43"/>
      <c r="AE1157" s="43"/>
    </row>
    <row r="1158" spans="1:31" x14ac:dyDescent="0.35">
      <c r="C1158" s="33"/>
      <c r="D1158" s="34"/>
      <c r="E1158" s="34"/>
      <c r="F1158" s="34"/>
      <c r="G1158" s="34"/>
      <c r="H1158" s="34"/>
      <c r="I1158" s="34"/>
      <c r="J1158" s="34"/>
      <c r="K1158" s="34"/>
      <c r="L1158" s="34"/>
      <c r="M1158" s="34"/>
      <c r="N1158" s="34"/>
      <c r="O1158" s="34"/>
      <c r="AA1158" s="35"/>
      <c r="AB1158" s="35"/>
      <c r="AC1158" s="34"/>
      <c r="AD1158" s="34"/>
      <c r="AE1158" s="34"/>
    </row>
    <row r="1159" spans="1:31" ht="15" thickBot="1" x14ac:dyDescent="0.4">
      <c r="A1159" s="45"/>
      <c r="B1159" s="45"/>
      <c r="C1159" s="46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  <c r="S1159" s="47"/>
      <c r="T1159" s="45"/>
      <c r="U1159" s="45"/>
      <c r="V1159" s="45"/>
      <c r="W1159" s="45"/>
      <c r="X1159" s="47"/>
      <c r="Y1159" s="45"/>
      <c r="Z1159" s="45"/>
      <c r="AA1159" s="48"/>
      <c r="AB1159" s="48"/>
      <c r="AC1159" s="47"/>
      <c r="AD1159" s="47"/>
      <c r="AE1159" s="47"/>
    </row>
    <row r="1160" spans="1:31" x14ac:dyDescent="0.35">
      <c r="A1160" s="41"/>
      <c r="B1160" s="41"/>
      <c r="C1160" s="42"/>
      <c r="D1160" s="43"/>
      <c r="E1160" s="43"/>
      <c r="F1160" s="43"/>
      <c r="G1160" s="43"/>
      <c r="H1160" s="43"/>
      <c r="I1160" s="43"/>
      <c r="J1160" s="43"/>
      <c r="K1160" s="43"/>
      <c r="L1160" s="43"/>
      <c r="M1160" s="43"/>
      <c r="N1160" s="43"/>
      <c r="O1160" s="43"/>
      <c r="P1160" s="43"/>
      <c r="Q1160" s="43"/>
      <c r="R1160" s="43"/>
      <c r="S1160" s="43"/>
      <c r="T1160" s="43"/>
      <c r="U1160" s="43"/>
      <c r="V1160" s="41"/>
      <c r="W1160" s="41"/>
      <c r="X1160" s="41"/>
      <c r="Y1160" s="41"/>
      <c r="Z1160" s="41"/>
      <c r="AA1160" s="44"/>
      <c r="AB1160" s="44"/>
      <c r="AC1160" s="43"/>
      <c r="AD1160" s="43"/>
      <c r="AE1160" s="43"/>
    </row>
    <row r="1161" spans="1:31" x14ac:dyDescent="0.35">
      <c r="C1161" s="33"/>
      <c r="D1161" s="34"/>
      <c r="E1161" s="34"/>
      <c r="F1161" s="34"/>
      <c r="G1161" s="34"/>
      <c r="H1161" s="34"/>
      <c r="I1161" s="34"/>
      <c r="J1161" s="34"/>
      <c r="K1161" s="34"/>
      <c r="L1161" s="34"/>
      <c r="M1161" s="34"/>
      <c r="N1161" s="34"/>
      <c r="O1161" s="34"/>
      <c r="AA1161" s="35"/>
      <c r="AB1161" s="35"/>
      <c r="AC1161" s="34"/>
      <c r="AD1161" s="34"/>
      <c r="AE1161" s="34"/>
    </row>
    <row r="1162" spans="1:31" ht="15" thickBot="1" x14ac:dyDescent="0.4">
      <c r="A1162" s="45"/>
      <c r="B1162" s="45"/>
      <c r="C1162" s="46"/>
      <c r="D1162" s="47"/>
      <c r="E1162" s="47"/>
      <c r="F1162" s="47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  <c r="S1162" s="47"/>
      <c r="T1162" s="45"/>
      <c r="U1162" s="45"/>
      <c r="V1162" s="45"/>
      <c r="W1162" s="45"/>
      <c r="X1162" s="47"/>
      <c r="Y1162" s="45"/>
      <c r="Z1162" s="45"/>
      <c r="AA1162" s="48"/>
      <c r="AB1162" s="48"/>
      <c r="AC1162" s="47"/>
      <c r="AD1162" s="47"/>
      <c r="AE1162" s="47"/>
    </row>
    <row r="1163" spans="1:31" x14ac:dyDescent="0.35">
      <c r="A1163" s="41"/>
      <c r="B1163" s="41"/>
      <c r="C1163" s="42"/>
      <c r="D1163" s="43"/>
      <c r="E1163" s="43"/>
      <c r="F1163" s="43"/>
      <c r="G1163" s="43"/>
      <c r="H1163" s="43"/>
      <c r="I1163" s="43"/>
      <c r="J1163" s="43"/>
      <c r="K1163" s="43"/>
      <c r="L1163" s="43"/>
      <c r="M1163" s="43"/>
      <c r="N1163" s="43"/>
      <c r="O1163" s="43"/>
      <c r="P1163" s="43"/>
      <c r="Q1163" s="43"/>
      <c r="R1163" s="43"/>
      <c r="S1163" s="43"/>
      <c r="T1163" s="43"/>
      <c r="U1163" s="43"/>
      <c r="V1163" s="41"/>
      <c r="W1163" s="41"/>
      <c r="X1163" s="41"/>
      <c r="Y1163" s="41"/>
      <c r="Z1163" s="41"/>
      <c r="AA1163" s="44"/>
      <c r="AB1163" s="44"/>
      <c r="AC1163" s="43"/>
      <c r="AD1163" s="43"/>
      <c r="AE1163" s="43"/>
    </row>
    <row r="1164" spans="1:31" x14ac:dyDescent="0.35">
      <c r="C1164" s="33"/>
      <c r="D1164" s="34"/>
      <c r="E1164" s="34"/>
      <c r="F1164" s="34"/>
      <c r="G1164" s="34"/>
      <c r="H1164" s="34"/>
      <c r="I1164" s="34"/>
      <c r="J1164" s="34"/>
      <c r="K1164" s="34"/>
      <c r="L1164" s="34"/>
      <c r="M1164" s="34"/>
      <c r="N1164" s="34"/>
      <c r="O1164" s="34"/>
      <c r="AA1164" s="35"/>
      <c r="AB1164" s="35"/>
      <c r="AC1164" s="34"/>
      <c r="AD1164" s="34"/>
      <c r="AE1164" s="34"/>
    </row>
    <row r="1165" spans="1:31" ht="15" thickBot="1" x14ac:dyDescent="0.4">
      <c r="A1165" s="45"/>
      <c r="B1165" s="45"/>
      <c r="C1165" s="46"/>
      <c r="D1165" s="47"/>
      <c r="E1165" s="47"/>
      <c r="F1165" s="47"/>
      <c r="G1165" s="47"/>
      <c r="H1165" s="47"/>
      <c r="I1165" s="47"/>
      <c r="J1165" s="47"/>
      <c r="K1165" s="47"/>
      <c r="L1165" s="47"/>
      <c r="M1165" s="47"/>
      <c r="N1165" s="47"/>
      <c r="O1165" s="47"/>
      <c r="P1165" s="47"/>
      <c r="Q1165" s="47"/>
      <c r="R1165" s="47"/>
      <c r="S1165" s="47"/>
      <c r="T1165" s="45"/>
      <c r="U1165" s="45"/>
      <c r="V1165" s="45"/>
      <c r="W1165" s="45"/>
      <c r="X1165" s="47"/>
      <c r="Y1165" s="45"/>
      <c r="Z1165" s="45"/>
      <c r="AA1165" s="48"/>
      <c r="AB1165" s="48"/>
      <c r="AC1165" s="47"/>
      <c r="AD1165" s="47"/>
      <c r="AE1165" s="47"/>
    </row>
    <row r="1166" spans="1:31" x14ac:dyDescent="0.35">
      <c r="A1166" s="41"/>
      <c r="B1166" s="41"/>
      <c r="C1166" s="42"/>
      <c r="D1166" s="43"/>
      <c r="E1166" s="43"/>
      <c r="F1166" s="43"/>
      <c r="G1166" s="43"/>
      <c r="H1166" s="43"/>
      <c r="I1166" s="43"/>
      <c r="J1166" s="43"/>
      <c r="K1166" s="43"/>
      <c r="L1166" s="43"/>
      <c r="M1166" s="43"/>
      <c r="N1166" s="43"/>
      <c r="O1166" s="43"/>
      <c r="P1166" s="43"/>
      <c r="Q1166" s="43"/>
      <c r="R1166" s="43"/>
      <c r="S1166" s="43"/>
      <c r="T1166" s="43"/>
      <c r="U1166" s="43"/>
      <c r="V1166" s="41"/>
      <c r="W1166" s="41"/>
      <c r="X1166" s="41"/>
      <c r="Y1166" s="41"/>
      <c r="Z1166" s="41"/>
      <c r="AA1166" s="44"/>
      <c r="AB1166" s="44"/>
      <c r="AC1166" s="43"/>
      <c r="AD1166" s="43"/>
      <c r="AE1166" s="43"/>
    </row>
    <row r="1167" spans="1:31" x14ac:dyDescent="0.35">
      <c r="C1167" s="33"/>
      <c r="D1167" s="34"/>
      <c r="E1167" s="34"/>
      <c r="F1167" s="34"/>
      <c r="G1167" s="34"/>
      <c r="H1167" s="34"/>
      <c r="I1167" s="34"/>
      <c r="J1167" s="34"/>
      <c r="K1167" s="34"/>
      <c r="L1167" s="34"/>
      <c r="M1167" s="34"/>
      <c r="N1167" s="34"/>
      <c r="O1167" s="34"/>
      <c r="AA1167" s="35"/>
      <c r="AB1167" s="35"/>
      <c r="AC1167" s="34"/>
      <c r="AD1167" s="34"/>
      <c r="AE1167" s="34"/>
    </row>
    <row r="1168" spans="1:31" ht="15" thickBot="1" x14ac:dyDescent="0.4">
      <c r="A1168" s="45"/>
      <c r="B1168" s="45"/>
      <c r="C1168" s="46"/>
      <c r="D1168" s="47"/>
      <c r="E1168" s="47"/>
      <c r="F1168" s="47"/>
      <c r="G1168" s="47"/>
      <c r="H1168" s="47"/>
      <c r="I1168" s="47"/>
      <c r="J1168" s="47"/>
      <c r="K1168" s="47"/>
      <c r="L1168" s="47"/>
      <c r="M1168" s="47"/>
      <c r="N1168" s="47"/>
      <c r="O1168" s="47"/>
      <c r="P1168" s="47"/>
      <c r="Q1168" s="47"/>
      <c r="R1168" s="47"/>
      <c r="S1168" s="47"/>
      <c r="T1168" s="45"/>
      <c r="U1168" s="45"/>
      <c r="V1168" s="45"/>
      <c r="W1168" s="45"/>
      <c r="X1168" s="47"/>
      <c r="Y1168" s="45"/>
      <c r="Z1168" s="45"/>
      <c r="AA1168" s="48"/>
      <c r="AB1168" s="48"/>
      <c r="AC1168" s="47"/>
      <c r="AD1168" s="47"/>
      <c r="AE1168" s="47"/>
    </row>
    <row r="1169" spans="1:31" x14ac:dyDescent="0.35">
      <c r="A1169" s="41"/>
      <c r="B1169" s="41"/>
      <c r="C1169" s="42"/>
      <c r="D1169" s="43"/>
      <c r="E1169" s="43"/>
      <c r="F1169" s="43"/>
      <c r="G1169" s="43"/>
      <c r="H1169" s="43"/>
      <c r="I1169" s="43"/>
      <c r="J1169" s="43"/>
      <c r="K1169" s="43"/>
      <c r="L1169" s="43"/>
      <c r="M1169" s="43"/>
      <c r="N1169" s="43"/>
      <c r="O1169" s="43"/>
      <c r="P1169" s="43"/>
      <c r="Q1169" s="43"/>
      <c r="R1169" s="43"/>
      <c r="S1169" s="43"/>
      <c r="T1169" s="43"/>
      <c r="U1169" s="43"/>
      <c r="V1169" s="41"/>
      <c r="W1169" s="41"/>
      <c r="X1169" s="41"/>
      <c r="Y1169" s="41"/>
      <c r="Z1169" s="41"/>
      <c r="AA1169" s="44"/>
      <c r="AB1169" s="44"/>
      <c r="AC1169" s="43"/>
      <c r="AD1169" s="43"/>
      <c r="AE1169" s="43"/>
    </row>
    <row r="1170" spans="1:31" x14ac:dyDescent="0.35">
      <c r="C1170" s="33"/>
      <c r="D1170" s="34"/>
      <c r="E1170" s="34"/>
      <c r="F1170" s="34"/>
      <c r="G1170" s="34"/>
      <c r="H1170" s="34"/>
      <c r="I1170" s="34"/>
      <c r="J1170" s="34"/>
      <c r="K1170" s="34"/>
      <c r="L1170" s="34"/>
      <c r="M1170" s="34"/>
      <c r="N1170" s="34"/>
      <c r="O1170" s="34"/>
      <c r="AA1170" s="35"/>
      <c r="AB1170" s="35"/>
      <c r="AC1170" s="34"/>
      <c r="AD1170" s="34"/>
      <c r="AE1170" s="34"/>
    </row>
    <row r="1171" spans="1:31" ht="15" thickBot="1" x14ac:dyDescent="0.4">
      <c r="A1171" s="45"/>
      <c r="B1171" s="45"/>
      <c r="C1171" s="46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  <c r="S1171" s="47"/>
      <c r="T1171" s="45"/>
      <c r="U1171" s="45"/>
      <c r="V1171" s="45"/>
      <c r="W1171" s="45"/>
      <c r="X1171" s="47"/>
      <c r="Y1171" s="45"/>
      <c r="Z1171" s="45"/>
      <c r="AA1171" s="48"/>
      <c r="AB1171" s="48"/>
      <c r="AC1171" s="47"/>
      <c r="AD1171" s="47"/>
      <c r="AE1171" s="47"/>
    </row>
    <row r="1172" spans="1:31" x14ac:dyDescent="0.35">
      <c r="A1172" s="41"/>
      <c r="B1172" s="41"/>
      <c r="C1172" s="42"/>
      <c r="D1172" s="43"/>
      <c r="E1172" s="43"/>
      <c r="F1172" s="43"/>
      <c r="G1172" s="43"/>
      <c r="H1172" s="43"/>
      <c r="I1172" s="43"/>
      <c r="J1172" s="43"/>
      <c r="K1172" s="43"/>
      <c r="L1172" s="43"/>
      <c r="M1172" s="43"/>
      <c r="N1172" s="43"/>
      <c r="O1172" s="43"/>
      <c r="P1172" s="43"/>
      <c r="Q1172" s="43"/>
      <c r="R1172" s="43"/>
      <c r="S1172" s="43"/>
      <c r="T1172" s="43"/>
      <c r="U1172" s="43"/>
      <c r="V1172" s="41"/>
      <c r="W1172" s="41"/>
      <c r="X1172" s="41"/>
      <c r="Y1172" s="41"/>
      <c r="Z1172" s="41"/>
      <c r="AA1172" s="44"/>
      <c r="AB1172" s="44"/>
      <c r="AC1172" s="43"/>
      <c r="AD1172" s="43"/>
      <c r="AE1172" s="43"/>
    </row>
    <row r="1173" spans="1:31" x14ac:dyDescent="0.35">
      <c r="C1173" s="33"/>
      <c r="D1173" s="34"/>
      <c r="E1173" s="34"/>
      <c r="F1173" s="34"/>
      <c r="G1173" s="34"/>
      <c r="H1173" s="34"/>
      <c r="I1173" s="34"/>
      <c r="J1173" s="34"/>
      <c r="K1173" s="34"/>
      <c r="L1173" s="34"/>
      <c r="M1173" s="34"/>
      <c r="N1173" s="34"/>
      <c r="O1173" s="34"/>
      <c r="AA1173" s="35"/>
      <c r="AB1173" s="35"/>
      <c r="AC1173" s="34"/>
      <c r="AD1173" s="34"/>
      <c r="AE1173" s="34"/>
    </row>
    <row r="1174" spans="1:31" ht="15" thickBot="1" x14ac:dyDescent="0.4">
      <c r="A1174" s="45"/>
      <c r="B1174" s="45"/>
      <c r="C1174" s="46"/>
      <c r="D1174" s="47"/>
      <c r="E1174" s="47"/>
      <c r="F1174" s="47"/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  <c r="S1174" s="47"/>
      <c r="T1174" s="45"/>
      <c r="U1174" s="45"/>
      <c r="V1174" s="45"/>
      <c r="W1174" s="45"/>
      <c r="X1174" s="47"/>
      <c r="Y1174" s="45"/>
      <c r="Z1174" s="45"/>
      <c r="AA1174" s="48"/>
      <c r="AB1174" s="48"/>
      <c r="AC1174" s="47"/>
      <c r="AD1174" s="47"/>
      <c r="AE1174" s="47"/>
    </row>
    <row r="1175" spans="1:31" x14ac:dyDescent="0.35">
      <c r="A1175" s="41"/>
      <c r="B1175" s="41"/>
      <c r="C1175" s="42"/>
      <c r="D1175" s="43"/>
      <c r="E1175" s="43"/>
      <c r="F1175" s="43"/>
      <c r="G1175" s="43"/>
      <c r="H1175" s="43"/>
      <c r="I1175" s="43"/>
      <c r="J1175" s="43"/>
      <c r="K1175" s="43"/>
      <c r="L1175" s="43"/>
      <c r="M1175" s="43"/>
      <c r="N1175" s="43"/>
      <c r="O1175" s="43"/>
      <c r="P1175" s="43"/>
      <c r="Q1175" s="43"/>
      <c r="R1175" s="43"/>
      <c r="S1175" s="43"/>
      <c r="T1175" s="43"/>
      <c r="U1175" s="43"/>
      <c r="V1175" s="41"/>
      <c r="W1175" s="41"/>
      <c r="X1175" s="41"/>
      <c r="Y1175" s="41"/>
      <c r="Z1175" s="41"/>
      <c r="AA1175" s="44"/>
      <c r="AB1175" s="44"/>
      <c r="AC1175" s="43"/>
      <c r="AD1175" s="43"/>
      <c r="AE1175" s="43"/>
    </row>
    <row r="1176" spans="1:31" x14ac:dyDescent="0.35">
      <c r="C1176" s="33"/>
      <c r="D1176" s="34"/>
      <c r="E1176" s="34"/>
      <c r="F1176" s="34"/>
      <c r="G1176" s="34"/>
      <c r="H1176" s="34"/>
      <c r="I1176" s="34"/>
      <c r="J1176" s="34"/>
      <c r="K1176" s="34"/>
      <c r="L1176" s="34"/>
      <c r="M1176" s="34"/>
      <c r="N1176" s="34"/>
      <c r="O1176" s="34"/>
      <c r="AA1176" s="35"/>
      <c r="AB1176" s="35"/>
      <c r="AC1176" s="34"/>
      <c r="AD1176" s="34"/>
      <c r="AE1176" s="34"/>
    </row>
    <row r="1177" spans="1:31" ht="15" thickBot="1" x14ac:dyDescent="0.4">
      <c r="A1177" s="45"/>
      <c r="B1177" s="45"/>
      <c r="C1177" s="46"/>
      <c r="D1177" s="47"/>
      <c r="E1177" s="47"/>
      <c r="F1177" s="47"/>
      <c r="G1177" s="47"/>
      <c r="H1177" s="47"/>
      <c r="I1177" s="47"/>
      <c r="J1177" s="47"/>
      <c r="K1177" s="47"/>
      <c r="L1177" s="47"/>
      <c r="M1177" s="47"/>
      <c r="N1177" s="47"/>
      <c r="O1177" s="47"/>
      <c r="P1177" s="47"/>
      <c r="Q1177" s="47"/>
      <c r="R1177" s="47"/>
      <c r="S1177" s="47"/>
      <c r="T1177" s="45"/>
      <c r="U1177" s="45"/>
      <c r="V1177" s="45"/>
      <c r="W1177" s="45"/>
      <c r="X1177" s="47"/>
      <c r="Y1177" s="45"/>
      <c r="Z1177" s="45"/>
      <c r="AA1177" s="48"/>
      <c r="AB1177" s="48"/>
      <c r="AC1177" s="47"/>
      <c r="AD1177" s="47"/>
      <c r="AE1177" s="47"/>
    </row>
    <row r="1178" spans="1:31" x14ac:dyDescent="0.35">
      <c r="A1178" s="41"/>
      <c r="B1178" s="41"/>
      <c r="C1178" s="42"/>
      <c r="D1178" s="43"/>
      <c r="E1178" s="43"/>
      <c r="F1178" s="43"/>
      <c r="G1178" s="43"/>
      <c r="H1178" s="43"/>
      <c r="I1178" s="43"/>
      <c r="J1178" s="43"/>
      <c r="K1178" s="43"/>
      <c r="L1178" s="43"/>
      <c r="M1178" s="43"/>
      <c r="N1178" s="43"/>
      <c r="O1178" s="43"/>
      <c r="P1178" s="43"/>
      <c r="Q1178" s="43"/>
      <c r="R1178" s="43"/>
      <c r="S1178" s="43"/>
      <c r="T1178" s="43"/>
      <c r="U1178" s="43"/>
      <c r="V1178" s="41"/>
      <c r="W1178" s="41"/>
      <c r="X1178" s="41"/>
      <c r="Y1178" s="41"/>
      <c r="Z1178" s="41"/>
      <c r="AA1178" s="44"/>
      <c r="AB1178" s="44"/>
      <c r="AC1178" s="43"/>
      <c r="AD1178" s="43"/>
      <c r="AE1178" s="43"/>
    </row>
    <row r="1179" spans="1:31" x14ac:dyDescent="0.35">
      <c r="C1179" s="33"/>
      <c r="D1179" s="34"/>
      <c r="E1179" s="34"/>
      <c r="F1179" s="34"/>
      <c r="G1179" s="34"/>
      <c r="H1179" s="34"/>
      <c r="I1179" s="34"/>
      <c r="J1179" s="34"/>
      <c r="K1179" s="34"/>
      <c r="L1179" s="34"/>
      <c r="M1179" s="34"/>
      <c r="N1179" s="34"/>
      <c r="O1179" s="34"/>
      <c r="AA1179" s="35"/>
      <c r="AB1179" s="35"/>
      <c r="AC1179" s="34"/>
      <c r="AD1179" s="34"/>
      <c r="AE1179" s="34"/>
    </row>
    <row r="1180" spans="1:31" ht="15" thickBot="1" x14ac:dyDescent="0.4">
      <c r="A1180" s="45"/>
      <c r="B1180" s="45"/>
      <c r="C1180" s="46"/>
      <c r="D1180" s="47"/>
      <c r="E1180" s="47"/>
      <c r="F1180" s="47"/>
      <c r="G1180" s="47"/>
      <c r="H1180" s="47"/>
      <c r="I1180" s="47"/>
      <c r="J1180" s="47"/>
      <c r="K1180" s="47"/>
      <c r="L1180" s="47"/>
      <c r="M1180" s="47"/>
      <c r="N1180" s="47"/>
      <c r="O1180" s="47"/>
      <c r="P1180" s="47"/>
      <c r="Q1180" s="47"/>
      <c r="R1180" s="47"/>
      <c r="S1180" s="47"/>
      <c r="T1180" s="45"/>
      <c r="U1180" s="45"/>
      <c r="V1180" s="45"/>
      <c r="W1180" s="45"/>
      <c r="X1180" s="47"/>
      <c r="Y1180" s="45"/>
      <c r="Z1180" s="45"/>
      <c r="AA1180" s="48"/>
      <c r="AB1180" s="48"/>
      <c r="AC1180" s="47"/>
      <c r="AD1180" s="47"/>
      <c r="AE1180" s="47"/>
    </row>
    <row r="1181" spans="1:31" x14ac:dyDescent="0.35">
      <c r="A1181" s="41"/>
      <c r="B1181" s="41"/>
      <c r="C1181" s="42"/>
      <c r="D1181" s="43"/>
      <c r="E1181" s="43"/>
      <c r="F1181" s="43"/>
      <c r="G1181" s="43"/>
      <c r="H1181" s="43"/>
      <c r="I1181" s="43"/>
      <c r="J1181" s="43"/>
      <c r="K1181" s="43"/>
      <c r="L1181" s="43"/>
      <c r="M1181" s="43"/>
      <c r="N1181" s="43"/>
      <c r="O1181" s="43"/>
      <c r="P1181" s="43"/>
      <c r="Q1181" s="43"/>
      <c r="R1181" s="43"/>
      <c r="S1181" s="43"/>
      <c r="T1181" s="43"/>
      <c r="U1181" s="43"/>
      <c r="V1181" s="41"/>
      <c r="W1181" s="41"/>
      <c r="X1181" s="41"/>
      <c r="Y1181" s="41"/>
      <c r="Z1181" s="41"/>
      <c r="AA1181" s="44"/>
      <c r="AB1181" s="44"/>
      <c r="AC1181" s="43"/>
      <c r="AD1181" s="43"/>
      <c r="AE1181" s="43"/>
    </row>
    <row r="1182" spans="1:31" x14ac:dyDescent="0.35">
      <c r="C1182" s="33"/>
      <c r="D1182" s="34"/>
      <c r="E1182" s="34"/>
      <c r="F1182" s="34"/>
      <c r="G1182" s="34"/>
      <c r="H1182" s="34"/>
      <c r="I1182" s="34"/>
      <c r="J1182" s="34"/>
      <c r="K1182" s="34"/>
      <c r="L1182" s="34"/>
      <c r="M1182" s="34"/>
      <c r="N1182" s="34"/>
      <c r="O1182" s="34"/>
      <c r="AA1182" s="35"/>
      <c r="AB1182" s="35"/>
      <c r="AC1182" s="34"/>
      <c r="AD1182" s="34"/>
      <c r="AE1182" s="34"/>
    </row>
    <row r="1183" spans="1:31" ht="15" thickBot="1" x14ac:dyDescent="0.4">
      <c r="A1183" s="45"/>
      <c r="B1183" s="45"/>
      <c r="C1183" s="46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  <c r="S1183" s="47"/>
      <c r="T1183" s="45"/>
      <c r="U1183" s="45"/>
      <c r="V1183" s="45"/>
      <c r="W1183" s="45"/>
      <c r="X1183" s="47"/>
      <c r="Y1183" s="45"/>
      <c r="Z1183" s="45"/>
      <c r="AA1183" s="48"/>
      <c r="AB1183" s="48"/>
      <c r="AC1183" s="47"/>
      <c r="AD1183" s="47"/>
      <c r="AE1183" s="47"/>
    </row>
    <row r="1184" spans="1:31" x14ac:dyDescent="0.35">
      <c r="A1184" s="41"/>
      <c r="B1184" s="41"/>
      <c r="C1184" s="42"/>
      <c r="D1184" s="43"/>
      <c r="E1184" s="43"/>
      <c r="F1184" s="43"/>
      <c r="G1184" s="43"/>
      <c r="H1184" s="43"/>
      <c r="I1184" s="43"/>
      <c r="J1184" s="43"/>
      <c r="K1184" s="43"/>
      <c r="L1184" s="43"/>
      <c r="M1184" s="43"/>
      <c r="N1184" s="43"/>
      <c r="O1184" s="43"/>
      <c r="P1184" s="43"/>
      <c r="Q1184" s="43"/>
      <c r="R1184" s="43"/>
      <c r="S1184" s="43"/>
      <c r="T1184" s="43"/>
      <c r="U1184" s="43"/>
      <c r="V1184" s="41"/>
      <c r="W1184" s="41"/>
      <c r="X1184" s="41"/>
      <c r="Y1184" s="41"/>
      <c r="Z1184" s="41"/>
      <c r="AA1184" s="44"/>
      <c r="AB1184" s="44"/>
      <c r="AC1184" s="43"/>
      <c r="AD1184" s="43"/>
      <c r="AE1184" s="43"/>
    </row>
    <row r="1185" spans="1:31" x14ac:dyDescent="0.35">
      <c r="C1185" s="33"/>
      <c r="D1185" s="34"/>
      <c r="E1185" s="34"/>
      <c r="F1185" s="34"/>
      <c r="G1185" s="34"/>
      <c r="H1185" s="34"/>
      <c r="I1185" s="34"/>
      <c r="J1185" s="34"/>
      <c r="K1185" s="34"/>
      <c r="L1185" s="34"/>
      <c r="M1185" s="34"/>
      <c r="N1185" s="34"/>
      <c r="O1185" s="34"/>
      <c r="AA1185" s="35"/>
      <c r="AB1185" s="35"/>
      <c r="AC1185" s="34"/>
      <c r="AD1185" s="34"/>
      <c r="AE1185" s="34"/>
    </row>
    <row r="1186" spans="1:31" ht="15" thickBot="1" x14ac:dyDescent="0.4">
      <c r="A1186" s="45"/>
      <c r="B1186" s="45"/>
      <c r="C1186" s="46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  <c r="S1186" s="47"/>
      <c r="T1186" s="45"/>
      <c r="U1186" s="45"/>
      <c r="V1186" s="45"/>
      <c r="W1186" s="45"/>
      <c r="X1186" s="47"/>
      <c r="Y1186" s="45"/>
      <c r="Z1186" s="45"/>
      <c r="AA1186" s="48"/>
      <c r="AB1186" s="48"/>
      <c r="AC1186" s="47"/>
      <c r="AD1186" s="47"/>
      <c r="AE1186" s="47"/>
    </row>
    <row r="1187" spans="1:31" x14ac:dyDescent="0.35">
      <c r="A1187" s="41"/>
      <c r="B1187" s="41"/>
      <c r="C1187" s="42"/>
      <c r="D1187" s="43"/>
      <c r="E1187" s="43"/>
      <c r="F1187" s="43"/>
      <c r="G1187" s="43"/>
      <c r="H1187" s="43"/>
      <c r="I1187" s="43"/>
      <c r="J1187" s="43"/>
      <c r="K1187" s="43"/>
      <c r="L1187" s="43"/>
      <c r="M1187" s="43"/>
      <c r="N1187" s="43"/>
      <c r="O1187" s="43"/>
      <c r="P1187" s="43"/>
      <c r="Q1187" s="43"/>
      <c r="R1187" s="43"/>
      <c r="S1187" s="43"/>
      <c r="T1187" s="43"/>
      <c r="U1187" s="43"/>
      <c r="V1187" s="41"/>
      <c r="W1187" s="41"/>
      <c r="X1187" s="41"/>
      <c r="Y1187" s="41"/>
      <c r="Z1187" s="41"/>
      <c r="AA1187" s="44"/>
      <c r="AB1187" s="44"/>
      <c r="AC1187" s="43"/>
      <c r="AD1187" s="43"/>
      <c r="AE1187" s="43"/>
    </row>
    <row r="1188" spans="1:31" x14ac:dyDescent="0.35">
      <c r="C1188" s="33"/>
      <c r="D1188" s="34"/>
      <c r="E1188" s="34"/>
      <c r="F1188" s="34"/>
      <c r="G1188" s="34"/>
      <c r="H1188" s="34"/>
      <c r="I1188" s="34"/>
      <c r="J1188" s="34"/>
      <c r="K1188" s="34"/>
      <c r="L1188" s="34"/>
      <c r="M1188" s="34"/>
      <c r="N1188" s="34"/>
      <c r="O1188" s="34"/>
      <c r="AA1188" s="35"/>
      <c r="AB1188" s="35"/>
      <c r="AC1188" s="34"/>
      <c r="AD1188" s="34"/>
      <c r="AE1188" s="34"/>
    </row>
    <row r="1189" spans="1:31" ht="15" thickBot="1" x14ac:dyDescent="0.4">
      <c r="A1189" s="45"/>
      <c r="B1189" s="45"/>
      <c r="C1189" s="46"/>
      <c r="D1189" s="47"/>
      <c r="E1189" s="47"/>
      <c r="F1189" s="47"/>
      <c r="G1189" s="47"/>
      <c r="H1189" s="47"/>
      <c r="I1189" s="47"/>
      <c r="J1189" s="47"/>
      <c r="K1189" s="47"/>
      <c r="L1189" s="47"/>
      <c r="M1189" s="47"/>
      <c r="N1189" s="47"/>
      <c r="O1189" s="47"/>
      <c r="P1189" s="47"/>
      <c r="Q1189" s="47"/>
      <c r="R1189" s="47"/>
      <c r="S1189" s="47"/>
      <c r="T1189" s="45"/>
      <c r="U1189" s="45"/>
      <c r="V1189" s="45"/>
      <c r="W1189" s="45"/>
      <c r="X1189" s="47"/>
      <c r="Y1189" s="45"/>
      <c r="Z1189" s="45"/>
      <c r="AA1189" s="48"/>
      <c r="AB1189" s="48"/>
      <c r="AC1189" s="47"/>
      <c r="AD1189" s="47"/>
      <c r="AE1189" s="47"/>
    </row>
    <row r="1190" spans="1:31" x14ac:dyDescent="0.35">
      <c r="A1190" s="41"/>
      <c r="B1190" s="41"/>
      <c r="C1190" s="42"/>
      <c r="D1190" s="43"/>
      <c r="E1190" s="43"/>
      <c r="F1190" s="43"/>
      <c r="G1190" s="43"/>
      <c r="H1190" s="43"/>
      <c r="I1190" s="43"/>
      <c r="J1190" s="43"/>
      <c r="K1190" s="43"/>
      <c r="L1190" s="43"/>
      <c r="M1190" s="43"/>
      <c r="N1190" s="43"/>
      <c r="O1190" s="43"/>
      <c r="P1190" s="43"/>
      <c r="Q1190" s="43"/>
      <c r="R1190" s="43"/>
      <c r="S1190" s="43"/>
      <c r="T1190" s="43"/>
      <c r="U1190" s="43"/>
      <c r="V1190" s="41"/>
      <c r="W1190" s="41"/>
      <c r="X1190" s="41"/>
      <c r="Y1190" s="41"/>
      <c r="Z1190" s="41"/>
      <c r="AA1190" s="44"/>
      <c r="AB1190" s="44"/>
      <c r="AC1190" s="43"/>
      <c r="AD1190" s="43"/>
      <c r="AE1190" s="43"/>
    </row>
    <row r="1191" spans="1:31" x14ac:dyDescent="0.35">
      <c r="C1191" s="33"/>
      <c r="D1191" s="34"/>
      <c r="E1191" s="34"/>
      <c r="F1191" s="34"/>
      <c r="G1191" s="34"/>
      <c r="H1191" s="34"/>
      <c r="I1191" s="34"/>
      <c r="J1191" s="34"/>
      <c r="K1191" s="34"/>
      <c r="L1191" s="34"/>
      <c r="M1191" s="34"/>
      <c r="N1191" s="34"/>
      <c r="O1191" s="34"/>
      <c r="AA1191" s="35"/>
      <c r="AB1191" s="35"/>
      <c r="AC1191" s="34"/>
      <c r="AD1191" s="34"/>
      <c r="AE1191" s="34"/>
    </row>
    <row r="1192" spans="1:31" ht="15" thickBot="1" x14ac:dyDescent="0.4">
      <c r="A1192" s="45"/>
      <c r="B1192" s="45"/>
      <c r="C1192" s="46"/>
      <c r="D1192" s="47"/>
      <c r="E1192" s="47"/>
      <c r="F1192" s="47"/>
      <c r="G1192" s="47"/>
      <c r="H1192" s="47"/>
      <c r="I1192" s="47"/>
      <c r="J1192" s="47"/>
      <c r="K1192" s="47"/>
      <c r="L1192" s="47"/>
      <c r="M1192" s="47"/>
      <c r="N1192" s="47"/>
      <c r="O1192" s="47"/>
      <c r="P1192" s="47"/>
      <c r="Q1192" s="47"/>
      <c r="R1192" s="47"/>
      <c r="S1192" s="47"/>
      <c r="T1192" s="45"/>
      <c r="U1192" s="45"/>
      <c r="V1192" s="45"/>
      <c r="W1192" s="45"/>
      <c r="X1192" s="47"/>
      <c r="Y1192" s="45"/>
      <c r="Z1192" s="45"/>
      <c r="AA1192" s="48"/>
      <c r="AB1192" s="48"/>
      <c r="AC1192" s="47"/>
      <c r="AD1192" s="47"/>
      <c r="AE1192" s="47"/>
    </row>
    <row r="1193" spans="1:31" x14ac:dyDescent="0.35">
      <c r="A1193" s="41"/>
      <c r="B1193" s="41"/>
      <c r="C1193" s="42"/>
      <c r="D1193" s="43"/>
      <c r="E1193" s="43"/>
      <c r="F1193" s="43"/>
      <c r="G1193" s="43"/>
      <c r="H1193" s="43"/>
      <c r="I1193" s="43"/>
      <c r="J1193" s="43"/>
      <c r="K1193" s="43"/>
      <c r="L1193" s="43"/>
      <c r="M1193" s="43"/>
      <c r="N1193" s="43"/>
      <c r="O1193" s="43"/>
      <c r="P1193" s="43"/>
      <c r="Q1193" s="43"/>
      <c r="R1193" s="43"/>
      <c r="S1193" s="43"/>
      <c r="T1193" s="43"/>
      <c r="U1193" s="43"/>
      <c r="V1193" s="41"/>
      <c r="W1193" s="41"/>
      <c r="X1193" s="41"/>
      <c r="Y1193" s="41"/>
      <c r="Z1193" s="41"/>
      <c r="AA1193" s="44"/>
      <c r="AB1193" s="44"/>
      <c r="AC1193" s="43"/>
      <c r="AD1193" s="43"/>
      <c r="AE1193" s="43"/>
    </row>
    <row r="1194" spans="1:31" x14ac:dyDescent="0.35">
      <c r="C1194" s="33"/>
      <c r="D1194" s="34"/>
      <c r="E1194" s="34"/>
      <c r="F1194" s="34"/>
      <c r="G1194" s="34"/>
      <c r="H1194" s="34"/>
      <c r="I1194" s="34"/>
      <c r="J1194" s="34"/>
      <c r="K1194" s="34"/>
      <c r="L1194" s="34"/>
      <c r="M1194" s="34"/>
      <c r="N1194" s="34"/>
      <c r="O1194" s="34"/>
      <c r="AA1194" s="35"/>
      <c r="AB1194" s="35"/>
      <c r="AC1194" s="34"/>
      <c r="AD1194" s="34"/>
      <c r="AE1194" s="34"/>
    </row>
    <row r="1195" spans="1:31" ht="15" thickBot="1" x14ac:dyDescent="0.4">
      <c r="A1195" s="45"/>
      <c r="B1195" s="45"/>
      <c r="C1195" s="46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  <c r="S1195" s="47"/>
      <c r="T1195" s="45"/>
      <c r="U1195" s="45"/>
      <c r="V1195" s="45"/>
      <c r="W1195" s="45"/>
      <c r="X1195" s="47"/>
      <c r="Y1195" s="45"/>
      <c r="Z1195" s="45"/>
      <c r="AA1195" s="48"/>
      <c r="AB1195" s="48"/>
      <c r="AC1195" s="47"/>
      <c r="AD1195" s="47"/>
      <c r="AE1195" s="47"/>
    </row>
    <row r="1196" spans="1:31" x14ac:dyDescent="0.35">
      <c r="A1196" s="41"/>
      <c r="B1196" s="41"/>
      <c r="C1196" s="42"/>
      <c r="D1196" s="43"/>
      <c r="E1196" s="43"/>
      <c r="F1196" s="43"/>
      <c r="G1196" s="43"/>
      <c r="H1196" s="43"/>
      <c r="I1196" s="43"/>
      <c r="J1196" s="43"/>
      <c r="K1196" s="43"/>
      <c r="L1196" s="43"/>
      <c r="M1196" s="43"/>
      <c r="N1196" s="43"/>
      <c r="O1196" s="43"/>
      <c r="P1196" s="43"/>
      <c r="Q1196" s="43"/>
      <c r="R1196" s="43"/>
      <c r="S1196" s="43"/>
      <c r="T1196" s="43"/>
      <c r="U1196" s="43"/>
      <c r="V1196" s="41"/>
      <c r="W1196" s="41"/>
      <c r="X1196" s="41"/>
      <c r="Y1196" s="41"/>
      <c r="Z1196" s="41"/>
      <c r="AA1196" s="44"/>
      <c r="AB1196" s="44"/>
      <c r="AC1196" s="43"/>
      <c r="AD1196" s="43"/>
      <c r="AE1196" s="43"/>
    </row>
    <row r="1197" spans="1:31" x14ac:dyDescent="0.35">
      <c r="C1197" s="33"/>
      <c r="D1197" s="34"/>
      <c r="E1197" s="34"/>
      <c r="F1197" s="34"/>
      <c r="G1197" s="34"/>
      <c r="H1197" s="34"/>
      <c r="I1197" s="34"/>
      <c r="J1197" s="34"/>
      <c r="K1197" s="34"/>
      <c r="L1197" s="34"/>
      <c r="M1197" s="34"/>
      <c r="N1197" s="34"/>
      <c r="O1197" s="34"/>
      <c r="AA1197" s="35"/>
      <c r="AB1197" s="35"/>
      <c r="AC1197" s="34"/>
      <c r="AD1197" s="34"/>
      <c r="AE1197" s="34"/>
    </row>
    <row r="1198" spans="1:31" ht="15" thickBot="1" x14ac:dyDescent="0.4">
      <c r="A1198" s="45"/>
      <c r="B1198" s="45"/>
      <c r="C1198" s="46"/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  <c r="S1198" s="47"/>
      <c r="T1198" s="45"/>
      <c r="U1198" s="45"/>
      <c r="V1198" s="45"/>
      <c r="W1198" s="45"/>
      <c r="X1198" s="47"/>
      <c r="Y1198" s="45"/>
      <c r="Z1198" s="45"/>
      <c r="AA1198" s="48"/>
      <c r="AB1198" s="48"/>
      <c r="AC1198" s="47"/>
      <c r="AD1198" s="47"/>
      <c r="AE1198" s="47"/>
    </row>
    <row r="1199" spans="1:31" x14ac:dyDescent="0.35">
      <c r="A1199" s="41"/>
      <c r="B1199" s="41"/>
      <c r="C1199" s="42"/>
      <c r="D1199" s="43"/>
      <c r="E1199" s="43"/>
      <c r="F1199" s="43"/>
      <c r="G1199" s="43"/>
      <c r="H1199" s="43"/>
      <c r="I1199" s="43"/>
      <c r="J1199" s="43"/>
      <c r="K1199" s="43"/>
      <c r="L1199" s="43"/>
      <c r="M1199" s="43"/>
      <c r="N1199" s="43"/>
      <c r="O1199" s="43"/>
      <c r="P1199" s="43"/>
      <c r="Q1199" s="43"/>
      <c r="R1199" s="43"/>
      <c r="S1199" s="43"/>
      <c r="T1199" s="43"/>
      <c r="U1199" s="43"/>
      <c r="V1199" s="41"/>
      <c r="W1199" s="41"/>
      <c r="X1199" s="41"/>
      <c r="Y1199" s="41"/>
      <c r="Z1199" s="41"/>
      <c r="AA1199" s="44"/>
      <c r="AB1199" s="44"/>
      <c r="AC1199" s="43"/>
      <c r="AD1199" s="43"/>
      <c r="AE1199" s="43"/>
    </row>
    <row r="1200" spans="1:31" x14ac:dyDescent="0.35">
      <c r="C1200" s="33"/>
      <c r="D1200" s="34"/>
      <c r="E1200" s="34"/>
      <c r="F1200" s="34"/>
      <c r="G1200" s="34"/>
      <c r="H1200" s="34"/>
      <c r="I1200" s="34"/>
      <c r="J1200" s="34"/>
      <c r="K1200" s="34"/>
      <c r="L1200" s="34"/>
      <c r="M1200" s="34"/>
      <c r="N1200" s="34"/>
      <c r="O1200" s="34"/>
      <c r="AA1200" s="35"/>
      <c r="AB1200" s="35"/>
      <c r="AC1200" s="34"/>
      <c r="AD1200" s="34"/>
      <c r="AE1200" s="34"/>
    </row>
    <row r="1201" spans="1:31" ht="15" thickBot="1" x14ac:dyDescent="0.4">
      <c r="A1201" s="45"/>
      <c r="B1201" s="45"/>
      <c r="C1201" s="46"/>
      <c r="D1201" s="47"/>
      <c r="E1201" s="47"/>
      <c r="F1201" s="47"/>
      <c r="G1201" s="47"/>
      <c r="H1201" s="47"/>
      <c r="I1201" s="47"/>
      <c r="J1201" s="47"/>
      <c r="K1201" s="47"/>
      <c r="L1201" s="47"/>
      <c r="M1201" s="47"/>
      <c r="N1201" s="47"/>
      <c r="O1201" s="47"/>
      <c r="P1201" s="47"/>
      <c r="Q1201" s="47"/>
      <c r="R1201" s="47"/>
      <c r="S1201" s="47"/>
      <c r="T1201" s="45"/>
      <c r="U1201" s="45"/>
      <c r="V1201" s="45"/>
      <c r="W1201" s="45"/>
      <c r="X1201" s="47"/>
      <c r="Y1201" s="45"/>
      <c r="Z1201" s="45"/>
      <c r="AA1201" s="48"/>
      <c r="AB1201" s="48"/>
      <c r="AC1201" s="47"/>
      <c r="AD1201" s="47"/>
      <c r="AE1201" s="47"/>
    </row>
    <row r="1202" spans="1:31" x14ac:dyDescent="0.35">
      <c r="A1202" s="41"/>
      <c r="B1202" s="41"/>
      <c r="C1202" s="42"/>
      <c r="D1202" s="43"/>
      <c r="E1202" s="43"/>
      <c r="F1202" s="43"/>
      <c r="G1202" s="43"/>
      <c r="H1202" s="43"/>
      <c r="I1202" s="43"/>
      <c r="J1202" s="43"/>
      <c r="K1202" s="43"/>
      <c r="L1202" s="43"/>
      <c r="M1202" s="43"/>
      <c r="N1202" s="43"/>
      <c r="O1202" s="43"/>
      <c r="P1202" s="43"/>
      <c r="Q1202" s="43"/>
      <c r="R1202" s="43"/>
      <c r="S1202" s="43"/>
      <c r="T1202" s="43"/>
      <c r="U1202" s="43"/>
      <c r="V1202" s="41"/>
      <c r="W1202" s="41"/>
      <c r="X1202" s="41"/>
      <c r="Y1202" s="41"/>
      <c r="Z1202" s="41"/>
      <c r="AA1202" s="44"/>
      <c r="AB1202" s="44"/>
      <c r="AC1202" s="43"/>
      <c r="AD1202" s="43"/>
      <c r="AE1202" s="43"/>
    </row>
    <row r="1203" spans="1:31" x14ac:dyDescent="0.35">
      <c r="C1203" s="33"/>
      <c r="D1203" s="34"/>
      <c r="E1203" s="34"/>
      <c r="F1203" s="34"/>
      <c r="G1203" s="34"/>
      <c r="H1203" s="34"/>
      <c r="I1203" s="34"/>
      <c r="J1203" s="34"/>
      <c r="K1203" s="34"/>
      <c r="L1203" s="34"/>
      <c r="M1203" s="34"/>
      <c r="N1203" s="34"/>
      <c r="O1203" s="34"/>
      <c r="AA1203" s="35"/>
      <c r="AB1203" s="35"/>
      <c r="AC1203" s="34"/>
      <c r="AD1203" s="34"/>
      <c r="AE1203" s="34"/>
    </row>
    <row r="1204" spans="1:31" ht="15" thickBot="1" x14ac:dyDescent="0.4">
      <c r="A1204" s="45"/>
      <c r="B1204" s="45"/>
      <c r="C1204" s="46"/>
      <c r="D1204" s="47"/>
      <c r="E1204" s="47"/>
      <c r="F1204" s="47"/>
      <c r="G1204" s="47"/>
      <c r="H1204" s="47"/>
      <c r="I1204" s="47"/>
      <c r="J1204" s="47"/>
      <c r="K1204" s="47"/>
      <c r="L1204" s="47"/>
      <c r="M1204" s="47"/>
      <c r="N1204" s="47"/>
      <c r="O1204" s="47"/>
      <c r="P1204" s="47"/>
      <c r="Q1204" s="47"/>
      <c r="R1204" s="47"/>
      <c r="S1204" s="47"/>
      <c r="T1204" s="45"/>
      <c r="U1204" s="45"/>
      <c r="V1204" s="45"/>
      <c r="W1204" s="45"/>
      <c r="X1204" s="47"/>
      <c r="Y1204" s="45"/>
      <c r="Z1204" s="45"/>
      <c r="AA1204" s="48"/>
      <c r="AB1204" s="48"/>
      <c r="AC1204" s="47"/>
      <c r="AD1204" s="47"/>
      <c r="AE1204" s="47"/>
    </row>
    <row r="1205" spans="1:31" x14ac:dyDescent="0.35">
      <c r="A1205" s="41"/>
      <c r="B1205" s="41"/>
      <c r="C1205" s="42"/>
      <c r="D1205" s="43"/>
      <c r="E1205" s="43"/>
      <c r="F1205" s="43"/>
      <c r="G1205" s="43"/>
      <c r="H1205" s="43"/>
      <c r="I1205" s="43"/>
      <c r="J1205" s="43"/>
      <c r="K1205" s="43"/>
      <c r="L1205" s="43"/>
      <c r="M1205" s="43"/>
      <c r="N1205" s="43"/>
      <c r="O1205" s="43"/>
      <c r="P1205" s="43"/>
      <c r="Q1205" s="43"/>
      <c r="R1205" s="43"/>
      <c r="S1205" s="43"/>
      <c r="T1205" s="43"/>
      <c r="U1205" s="43"/>
      <c r="V1205" s="41"/>
      <c r="W1205" s="41"/>
      <c r="X1205" s="41"/>
      <c r="Y1205" s="41"/>
      <c r="Z1205" s="41"/>
      <c r="AA1205" s="44"/>
      <c r="AB1205" s="44"/>
      <c r="AC1205" s="43"/>
      <c r="AD1205" s="43"/>
      <c r="AE1205" s="43"/>
    </row>
    <row r="1206" spans="1:31" x14ac:dyDescent="0.35">
      <c r="C1206" s="33"/>
      <c r="D1206" s="34"/>
      <c r="E1206" s="34"/>
      <c r="F1206" s="34"/>
      <c r="G1206" s="34"/>
      <c r="H1206" s="34"/>
      <c r="I1206" s="34"/>
      <c r="J1206" s="34"/>
      <c r="K1206" s="34"/>
      <c r="L1206" s="34"/>
      <c r="M1206" s="34"/>
      <c r="N1206" s="34"/>
      <c r="O1206" s="34"/>
      <c r="AA1206" s="35"/>
      <c r="AB1206" s="35"/>
      <c r="AC1206" s="34"/>
      <c r="AD1206" s="34"/>
      <c r="AE1206" s="34"/>
    </row>
    <row r="1207" spans="1:31" ht="15" thickBot="1" x14ac:dyDescent="0.4">
      <c r="A1207" s="45"/>
      <c r="B1207" s="45"/>
      <c r="C1207" s="46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  <c r="S1207" s="47"/>
      <c r="T1207" s="45"/>
      <c r="U1207" s="45"/>
      <c r="V1207" s="45"/>
      <c r="W1207" s="45"/>
      <c r="X1207" s="47"/>
      <c r="Y1207" s="45"/>
      <c r="Z1207" s="45"/>
      <c r="AA1207" s="48"/>
      <c r="AB1207" s="48"/>
      <c r="AC1207" s="47"/>
      <c r="AD1207" s="47"/>
      <c r="AE1207" s="47"/>
    </row>
    <row r="1208" spans="1:31" x14ac:dyDescent="0.35">
      <c r="A1208" s="41"/>
      <c r="B1208" s="41"/>
      <c r="C1208" s="42"/>
      <c r="D1208" s="43"/>
      <c r="E1208" s="43"/>
      <c r="F1208" s="43"/>
      <c r="G1208" s="43"/>
      <c r="H1208" s="43"/>
      <c r="I1208" s="43"/>
      <c r="J1208" s="43"/>
      <c r="K1208" s="43"/>
      <c r="L1208" s="43"/>
      <c r="M1208" s="43"/>
      <c r="N1208" s="43"/>
      <c r="O1208" s="43"/>
      <c r="P1208" s="43"/>
      <c r="Q1208" s="43"/>
      <c r="R1208" s="43"/>
      <c r="S1208" s="43"/>
      <c r="T1208" s="43"/>
      <c r="U1208" s="43"/>
      <c r="V1208" s="41"/>
      <c r="W1208" s="41"/>
      <c r="X1208" s="41"/>
      <c r="Y1208" s="41"/>
      <c r="Z1208" s="41"/>
      <c r="AA1208" s="44"/>
      <c r="AB1208" s="44"/>
      <c r="AC1208" s="43"/>
      <c r="AD1208" s="43"/>
      <c r="AE1208" s="43"/>
    </row>
    <row r="1209" spans="1:31" x14ac:dyDescent="0.35">
      <c r="C1209" s="33"/>
      <c r="D1209" s="34"/>
      <c r="E1209" s="34"/>
      <c r="F1209" s="34"/>
      <c r="G1209" s="34"/>
      <c r="H1209" s="34"/>
      <c r="I1209" s="34"/>
      <c r="J1209" s="34"/>
      <c r="K1209" s="34"/>
      <c r="L1209" s="34"/>
      <c r="M1209" s="34"/>
      <c r="N1209" s="34"/>
      <c r="O1209" s="34"/>
      <c r="AA1209" s="35"/>
      <c r="AB1209" s="35"/>
      <c r="AC1209" s="34"/>
      <c r="AD1209" s="34"/>
      <c r="AE1209" s="34"/>
    </row>
    <row r="1210" spans="1:31" ht="15" thickBot="1" x14ac:dyDescent="0.4">
      <c r="A1210" s="45"/>
      <c r="B1210" s="45"/>
      <c r="C1210" s="46"/>
      <c r="D1210" s="47"/>
      <c r="E1210" s="47"/>
      <c r="F1210" s="47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  <c r="S1210" s="47"/>
      <c r="T1210" s="45"/>
      <c r="U1210" s="45"/>
      <c r="V1210" s="45"/>
      <c r="W1210" s="45"/>
      <c r="X1210" s="47"/>
      <c r="Y1210" s="45"/>
      <c r="Z1210" s="45"/>
      <c r="AA1210" s="48"/>
      <c r="AB1210" s="48"/>
      <c r="AC1210" s="47"/>
      <c r="AD1210" s="47"/>
      <c r="AE1210" s="47"/>
    </row>
    <row r="1211" spans="1:31" x14ac:dyDescent="0.35">
      <c r="A1211" s="41"/>
      <c r="B1211" s="41"/>
      <c r="C1211" s="42"/>
      <c r="D1211" s="43"/>
      <c r="E1211" s="43"/>
      <c r="F1211" s="43"/>
      <c r="G1211" s="43"/>
      <c r="H1211" s="43"/>
      <c r="I1211" s="43"/>
      <c r="J1211" s="43"/>
      <c r="K1211" s="43"/>
      <c r="L1211" s="43"/>
      <c r="M1211" s="43"/>
      <c r="N1211" s="43"/>
      <c r="O1211" s="43"/>
      <c r="P1211" s="43"/>
      <c r="Q1211" s="43"/>
      <c r="R1211" s="43"/>
      <c r="S1211" s="43"/>
      <c r="T1211" s="43"/>
      <c r="U1211" s="43"/>
      <c r="V1211" s="41"/>
      <c r="W1211" s="41"/>
      <c r="X1211" s="41"/>
      <c r="Y1211" s="41"/>
      <c r="Z1211" s="41"/>
      <c r="AA1211" s="44"/>
      <c r="AB1211" s="44"/>
      <c r="AC1211" s="43"/>
      <c r="AD1211" s="43"/>
      <c r="AE1211" s="43"/>
    </row>
    <row r="1212" spans="1:31" x14ac:dyDescent="0.35">
      <c r="C1212" s="33"/>
      <c r="D1212" s="34"/>
      <c r="E1212" s="34"/>
      <c r="F1212" s="34"/>
      <c r="G1212" s="34"/>
      <c r="H1212" s="34"/>
      <c r="I1212" s="34"/>
      <c r="J1212" s="34"/>
      <c r="K1212" s="34"/>
      <c r="L1212" s="34"/>
      <c r="M1212" s="34"/>
      <c r="N1212" s="34"/>
      <c r="O1212" s="34"/>
      <c r="AA1212" s="35"/>
      <c r="AB1212" s="35"/>
      <c r="AC1212" s="34"/>
      <c r="AD1212" s="34"/>
      <c r="AE1212" s="34"/>
    </row>
    <row r="1213" spans="1:31" ht="15" thickBot="1" x14ac:dyDescent="0.4">
      <c r="A1213" s="45"/>
      <c r="B1213" s="45"/>
      <c r="C1213" s="46"/>
      <c r="D1213" s="47"/>
      <c r="E1213" s="47"/>
      <c r="F1213" s="47"/>
      <c r="G1213" s="47"/>
      <c r="H1213" s="47"/>
      <c r="I1213" s="47"/>
      <c r="J1213" s="47"/>
      <c r="K1213" s="47"/>
      <c r="L1213" s="47"/>
      <c r="M1213" s="47"/>
      <c r="N1213" s="47"/>
      <c r="O1213" s="47"/>
      <c r="P1213" s="47"/>
      <c r="Q1213" s="47"/>
      <c r="R1213" s="47"/>
      <c r="S1213" s="47"/>
      <c r="T1213" s="45"/>
      <c r="U1213" s="45"/>
      <c r="V1213" s="45"/>
      <c r="W1213" s="45"/>
      <c r="X1213" s="47"/>
      <c r="Y1213" s="45"/>
      <c r="Z1213" s="45"/>
      <c r="AA1213" s="48"/>
      <c r="AB1213" s="48"/>
      <c r="AC1213" s="47"/>
      <c r="AD1213" s="47"/>
      <c r="AE1213" s="47"/>
    </row>
    <row r="1214" spans="1:31" x14ac:dyDescent="0.35">
      <c r="A1214" s="41"/>
      <c r="B1214" s="41"/>
      <c r="C1214" s="42"/>
      <c r="D1214" s="43"/>
      <c r="E1214" s="43"/>
      <c r="F1214" s="43"/>
      <c r="G1214" s="43"/>
      <c r="H1214" s="43"/>
      <c r="I1214" s="43"/>
      <c r="J1214" s="43"/>
      <c r="K1214" s="43"/>
      <c r="L1214" s="43"/>
      <c r="M1214" s="43"/>
      <c r="N1214" s="43"/>
      <c r="O1214" s="43"/>
      <c r="P1214" s="43"/>
      <c r="Q1214" s="43"/>
      <c r="R1214" s="43"/>
      <c r="S1214" s="43"/>
      <c r="T1214" s="43"/>
      <c r="U1214" s="43"/>
      <c r="V1214" s="41"/>
      <c r="W1214" s="41"/>
      <c r="X1214" s="41"/>
      <c r="Y1214" s="41"/>
      <c r="Z1214" s="41"/>
      <c r="AA1214" s="44"/>
      <c r="AB1214" s="44"/>
      <c r="AC1214" s="43"/>
      <c r="AD1214" s="43"/>
      <c r="AE1214" s="43"/>
    </row>
    <row r="1215" spans="1:31" x14ac:dyDescent="0.35">
      <c r="C1215" s="33"/>
      <c r="D1215" s="34"/>
      <c r="E1215" s="34"/>
      <c r="F1215" s="34"/>
      <c r="G1215" s="34"/>
      <c r="H1215" s="34"/>
      <c r="I1215" s="34"/>
      <c r="J1215" s="34"/>
      <c r="K1215" s="34"/>
      <c r="L1215" s="34"/>
      <c r="M1215" s="34"/>
      <c r="N1215" s="34"/>
      <c r="O1215" s="34"/>
      <c r="AA1215" s="35"/>
      <c r="AB1215" s="35"/>
      <c r="AC1215" s="34"/>
      <c r="AD1215" s="34"/>
      <c r="AE1215" s="34"/>
    </row>
    <row r="1216" spans="1:31" ht="15" thickBot="1" x14ac:dyDescent="0.4">
      <c r="A1216" s="45"/>
      <c r="B1216" s="45"/>
      <c r="C1216" s="46"/>
      <c r="D1216" s="47"/>
      <c r="E1216" s="47"/>
      <c r="F1216" s="47"/>
      <c r="G1216" s="47"/>
      <c r="H1216" s="47"/>
      <c r="I1216" s="47"/>
      <c r="J1216" s="47"/>
      <c r="K1216" s="47"/>
      <c r="L1216" s="47"/>
      <c r="M1216" s="47"/>
      <c r="N1216" s="47"/>
      <c r="O1216" s="47"/>
      <c r="P1216" s="47"/>
      <c r="Q1216" s="47"/>
      <c r="R1216" s="47"/>
      <c r="S1216" s="47"/>
      <c r="T1216" s="45"/>
      <c r="U1216" s="45"/>
      <c r="V1216" s="45"/>
      <c r="W1216" s="45"/>
      <c r="X1216" s="47"/>
      <c r="Y1216" s="45"/>
      <c r="Z1216" s="45"/>
      <c r="AA1216" s="48"/>
      <c r="AB1216" s="48"/>
      <c r="AC1216" s="47"/>
      <c r="AD1216" s="47"/>
      <c r="AE1216" s="47"/>
    </row>
    <row r="1217" spans="1:31" x14ac:dyDescent="0.35">
      <c r="A1217" s="41"/>
      <c r="B1217" s="41"/>
      <c r="C1217" s="42"/>
      <c r="D1217" s="43"/>
      <c r="E1217" s="43"/>
      <c r="F1217" s="43"/>
      <c r="G1217" s="43"/>
      <c r="H1217" s="43"/>
      <c r="I1217" s="43"/>
      <c r="J1217" s="43"/>
      <c r="K1217" s="43"/>
      <c r="L1217" s="43"/>
      <c r="M1217" s="43"/>
      <c r="N1217" s="43"/>
      <c r="O1217" s="43"/>
      <c r="P1217" s="43"/>
      <c r="Q1217" s="43"/>
      <c r="R1217" s="43"/>
      <c r="S1217" s="43"/>
      <c r="T1217" s="43"/>
      <c r="U1217" s="43"/>
      <c r="V1217" s="41"/>
      <c r="W1217" s="41"/>
      <c r="X1217" s="41"/>
      <c r="Y1217" s="41"/>
      <c r="Z1217" s="41"/>
      <c r="AA1217" s="44"/>
      <c r="AB1217" s="44"/>
      <c r="AC1217" s="43"/>
      <c r="AD1217" s="43"/>
      <c r="AE1217" s="43"/>
    </row>
    <row r="1218" spans="1:31" x14ac:dyDescent="0.35">
      <c r="C1218" s="33"/>
      <c r="D1218" s="34"/>
      <c r="E1218" s="34"/>
      <c r="F1218" s="34"/>
      <c r="G1218" s="34"/>
      <c r="H1218" s="34"/>
      <c r="I1218" s="34"/>
      <c r="J1218" s="34"/>
      <c r="K1218" s="34"/>
      <c r="L1218" s="34"/>
      <c r="M1218" s="34"/>
      <c r="N1218" s="34"/>
      <c r="O1218" s="34"/>
      <c r="AA1218" s="35"/>
      <c r="AB1218" s="35"/>
      <c r="AC1218" s="34"/>
      <c r="AD1218" s="34"/>
      <c r="AE1218" s="34"/>
    </row>
    <row r="1219" spans="1:31" ht="15" thickBot="1" x14ac:dyDescent="0.4">
      <c r="A1219" s="45"/>
      <c r="B1219" s="45"/>
      <c r="C1219" s="46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  <c r="S1219" s="47"/>
      <c r="T1219" s="45"/>
      <c r="U1219" s="45"/>
      <c r="V1219" s="45"/>
      <c r="W1219" s="45"/>
      <c r="X1219" s="47"/>
      <c r="Y1219" s="45"/>
      <c r="Z1219" s="45"/>
      <c r="AA1219" s="48"/>
      <c r="AB1219" s="48"/>
      <c r="AC1219" s="47"/>
      <c r="AD1219" s="47"/>
      <c r="AE1219" s="47"/>
    </row>
    <row r="1220" spans="1:31" x14ac:dyDescent="0.35">
      <c r="A1220" s="41"/>
      <c r="B1220" s="41"/>
      <c r="C1220" s="42"/>
      <c r="D1220" s="43"/>
      <c r="E1220" s="43"/>
      <c r="F1220" s="43"/>
      <c r="G1220" s="43"/>
      <c r="H1220" s="43"/>
      <c r="I1220" s="43"/>
      <c r="J1220" s="43"/>
      <c r="K1220" s="43"/>
      <c r="L1220" s="43"/>
      <c r="M1220" s="43"/>
      <c r="N1220" s="43"/>
      <c r="O1220" s="43"/>
      <c r="P1220" s="43"/>
      <c r="Q1220" s="43"/>
      <c r="R1220" s="43"/>
      <c r="S1220" s="43"/>
      <c r="T1220" s="43"/>
      <c r="U1220" s="43"/>
      <c r="V1220" s="41"/>
      <c r="W1220" s="41"/>
      <c r="X1220" s="41"/>
      <c r="Y1220" s="41"/>
      <c r="Z1220" s="41"/>
      <c r="AA1220" s="44"/>
      <c r="AB1220" s="44"/>
      <c r="AC1220" s="43"/>
      <c r="AD1220" s="43"/>
      <c r="AE1220" s="43"/>
    </row>
    <row r="1221" spans="1:31" x14ac:dyDescent="0.35">
      <c r="C1221" s="33"/>
      <c r="D1221" s="34"/>
      <c r="E1221" s="34"/>
      <c r="F1221" s="34"/>
      <c r="G1221" s="34"/>
      <c r="H1221" s="34"/>
      <c r="I1221" s="34"/>
      <c r="J1221" s="34"/>
      <c r="K1221" s="34"/>
      <c r="L1221" s="34"/>
      <c r="M1221" s="34"/>
      <c r="N1221" s="34"/>
      <c r="O1221" s="34"/>
      <c r="AA1221" s="35"/>
      <c r="AB1221" s="35"/>
      <c r="AC1221" s="34"/>
      <c r="AD1221" s="34"/>
      <c r="AE1221" s="34"/>
    </row>
    <row r="1222" spans="1:31" ht="15" thickBot="1" x14ac:dyDescent="0.4">
      <c r="A1222" s="45"/>
      <c r="B1222" s="45"/>
      <c r="C1222" s="46"/>
      <c r="D1222" s="47"/>
      <c r="E1222" s="47"/>
      <c r="F1222" s="47"/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  <c r="S1222" s="47"/>
      <c r="T1222" s="45"/>
      <c r="U1222" s="45"/>
      <c r="V1222" s="45"/>
      <c r="W1222" s="45"/>
      <c r="X1222" s="47"/>
      <c r="Y1222" s="45"/>
      <c r="Z1222" s="45"/>
      <c r="AA1222" s="48"/>
      <c r="AB1222" s="48"/>
      <c r="AC1222" s="47"/>
      <c r="AD1222" s="47"/>
      <c r="AE1222" s="47"/>
    </row>
    <row r="1223" spans="1:31" x14ac:dyDescent="0.35">
      <c r="A1223" s="41"/>
      <c r="B1223" s="41"/>
      <c r="C1223" s="42"/>
      <c r="D1223" s="43"/>
      <c r="E1223" s="43"/>
      <c r="F1223" s="43"/>
      <c r="G1223" s="43"/>
      <c r="H1223" s="43"/>
      <c r="I1223" s="43"/>
      <c r="J1223" s="43"/>
      <c r="K1223" s="43"/>
      <c r="L1223" s="43"/>
      <c r="M1223" s="43"/>
      <c r="N1223" s="43"/>
      <c r="O1223" s="43"/>
      <c r="P1223" s="43"/>
      <c r="Q1223" s="43"/>
      <c r="R1223" s="43"/>
      <c r="S1223" s="43"/>
      <c r="T1223" s="43"/>
      <c r="U1223" s="43"/>
      <c r="V1223" s="41"/>
      <c r="W1223" s="41"/>
      <c r="X1223" s="41"/>
      <c r="Y1223" s="41"/>
      <c r="Z1223" s="41"/>
      <c r="AA1223" s="44"/>
      <c r="AB1223" s="44"/>
      <c r="AC1223" s="43"/>
      <c r="AD1223" s="43"/>
      <c r="AE1223" s="43"/>
    </row>
    <row r="1224" spans="1:31" x14ac:dyDescent="0.35">
      <c r="C1224" s="33"/>
      <c r="D1224" s="34"/>
      <c r="E1224" s="34"/>
      <c r="F1224" s="34"/>
      <c r="G1224" s="34"/>
      <c r="H1224" s="34"/>
      <c r="I1224" s="34"/>
      <c r="J1224" s="34"/>
      <c r="K1224" s="34"/>
      <c r="L1224" s="34"/>
      <c r="M1224" s="34"/>
      <c r="N1224" s="34"/>
      <c r="O1224" s="34"/>
      <c r="AA1224" s="35"/>
      <c r="AB1224" s="35"/>
      <c r="AC1224" s="34"/>
      <c r="AD1224" s="34"/>
      <c r="AE1224" s="34"/>
    </row>
    <row r="1225" spans="1:31" ht="15" thickBot="1" x14ac:dyDescent="0.4">
      <c r="A1225" s="45"/>
      <c r="B1225" s="45"/>
      <c r="C1225" s="46"/>
      <c r="D1225" s="47"/>
      <c r="E1225" s="47"/>
      <c r="F1225" s="47"/>
      <c r="G1225" s="47"/>
      <c r="H1225" s="47"/>
      <c r="I1225" s="47"/>
      <c r="J1225" s="47"/>
      <c r="K1225" s="47"/>
      <c r="L1225" s="47"/>
      <c r="M1225" s="47"/>
      <c r="N1225" s="47"/>
      <c r="O1225" s="47"/>
      <c r="P1225" s="47"/>
      <c r="Q1225" s="47"/>
      <c r="R1225" s="47"/>
      <c r="S1225" s="47"/>
      <c r="T1225" s="45"/>
      <c r="U1225" s="45"/>
      <c r="V1225" s="45"/>
      <c r="W1225" s="45"/>
      <c r="X1225" s="47"/>
      <c r="Y1225" s="45"/>
      <c r="Z1225" s="45"/>
      <c r="AA1225" s="48"/>
      <c r="AB1225" s="48"/>
      <c r="AC1225" s="47"/>
      <c r="AD1225" s="47"/>
      <c r="AE1225" s="47"/>
    </row>
    <row r="1226" spans="1:31" x14ac:dyDescent="0.35">
      <c r="A1226" s="41"/>
      <c r="B1226" s="41"/>
      <c r="C1226" s="42"/>
      <c r="D1226" s="43"/>
      <c r="E1226" s="43"/>
      <c r="F1226" s="43"/>
      <c r="G1226" s="43"/>
      <c r="H1226" s="43"/>
      <c r="I1226" s="43"/>
      <c r="J1226" s="43"/>
      <c r="K1226" s="43"/>
      <c r="L1226" s="43"/>
      <c r="M1226" s="43"/>
      <c r="N1226" s="43"/>
      <c r="O1226" s="43"/>
      <c r="P1226" s="43"/>
      <c r="Q1226" s="43"/>
      <c r="R1226" s="43"/>
      <c r="S1226" s="43"/>
      <c r="T1226" s="43"/>
      <c r="U1226" s="43"/>
      <c r="V1226" s="41"/>
      <c r="W1226" s="41"/>
      <c r="X1226" s="41"/>
      <c r="Y1226" s="41"/>
      <c r="Z1226" s="41"/>
      <c r="AA1226" s="44"/>
      <c r="AB1226" s="44"/>
      <c r="AC1226" s="43"/>
      <c r="AD1226" s="43"/>
      <c r="AE1226" s="43"/>
    </row>
    <row r="1227" spans="1:31" x14ac:dyDescent="0.35">
      <c r="C1227" s="33"/>
      <c r="D1227" s="34"/>
      <c r="E1227" s="34"/>
      <c r="F1227" s="34"/>
      <c r="G1227" s="34"/>
      <c r="H1227" s="34"/>
      <c r="I1227" s="34"/>
      <c r="J1227" s="34"/>
      <c r="K1227" s="34"/>
      <c r="L1227" s="34"/>
      <c r="M1227" s="34"/>
      <c r="N1227" s="34"/>
      <c r="O1227" s="34"/>
      <c r="AA1227" s="35"/>
      <c r="AB1227" s="35"/>
      <c r="AC1227" s="34"/>
      <c r="AD1227" s="34"/>
      <c r="AE1227" s="34"/>
    </row>
    <row r="1228" spans="1:31" ht="15" thickBot="1" x14ac:dyDescent="0.4">
      <c r="A1228" s="45"/>
      <c r="B1228" s="45"/>
      <c r="C1228" s="46"/>
      <c r="D1228" s="47"/>
      <c r="E1228" s="47"/>
      <c r="F1228" s="47"/>
      <c r="G1228" s="47"/>
      <c r="H1228" s="47"/>
      <c r="I1228" s="47"/>
      <c r="J1228" s="47"/>
      <c r="K1228" s="47"/>
      <c r="L1228" s="47"/>
      <c r="M1228" s="47"/>
      <c r="N1228" s="47"/>
      <c r="O1228" s="47"/>
      <c r="P1228" s="47"/>
      <c r="Q1228" s="47"/>
      <c r="R1228" s="47"/>
      <c r="S1228" s="47"/>
      <c r="T1228" s="45"/>
      <c r="U1228" s="45"/>
      <c r="V1228" s="45"/>
      <c r="W1228" s="45"/>
      <c r="X1228" s="47"/>
      <c r="Y1228" s="45"/>
      <c r="Z1228" s="45"/>
      <c r="AA1228" s="48"/>
      <c r="AB1228" s="48"/>
      <c r="AC1228" s="47"/>
      <c r="AD1228" s="47"/>
      <c r="AE1228" s="47"/>
    </row>
    <row r="1229" spans="1:31" x14ac:dyDescent="0.35">
      <c r="A1229" s="41"/>
      <c r="B1229" s="41"/>
      <c r="C1229" s="42"/>
      <c r="D1229" s="43"/>
      <c r="E1229" s="43"/>
      <c r="F1229" s="43"/>
      <c r="G1229" s="43"/>
      <c r="H1229" s="43"/>
      <c r="I1229" s="43"/>
      <c r="J1229" s="43"/>
      <c r="K1229" s="43"/>
      <c r="L1229" s="43"/>
      <c r="M1229" s="43"/>
      <c r="N1229" s="43"/>
      <c r="O1229" s="43"/>
      <c r="P1229" s="43"/>
      <c r="Q1229" s="43"/>
      <c r="R1229" s="43"/>
      <c r="S1229" s="43"/>
      <c r="T1229" s="43"/>
      <c r="U1229" s="43"/>
      <c r="V1229" s="41"/>
      <c r="W1229" s="41"/>
      <c r="X1229" s="41"/>
      <c r="Y1229" s="41"/>
      <c r="Z1229" s="41"/>
      <c r="AA1229" s="44"/>
      <c r="AB1229" s="44"/>
      <c r="AC1229" s="43"/>
      <c r="AD1229" s="43"/>
      <c r="AE1229" s="43"/>
    </row>
    <row r="1230" spans="1:31" x14ac:dyDescent="0.35">
      <c r="C1230" s="33"/>
      <c r="D1230" s="34"/>
      <c r="E1230" s="34"/>
      <c r="F1230" s="34"/>
      <c r="G1230" s="34"/>
      <c r="H1230" s="34"/>
      <c r="I1230" s="34"/>
      <c r="J1230" s="34"/>
      <c r="K1230" s="34"/>
      <c r="L1230" s="34"/>
      <c r="M1230" s="34"/>
      <c r="N1230" s="34"/>
      <c r="O1230" s="34"/>
      <c r="AA1230" s="35"/>
      <c r="AB1230" s="35"/>
      <c r="AC1230" s="34"/>
      <c r="AD1230" s="34"/>
      <c r="AE1230" s="34"/>
    </row>
    <row r="1231" spans="1:31" ht="15" thickBot="1" x14ac:dyDescent="0.4">
      <c r="A1231" s="45"/>
      <c r="B1231" s="45"/>
      <c r="C1231" s="46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  <c r="S1231" s="47"/>
      <c r="T1231" s="45"/>
      <c r="U1231" s="45"/>
      <c r="V1231" s="45"/>
      <c r="W1231" s="45"/>
      <c r="X1231" s="47"/>
      <c r="Y1231" s="45"/>
      <c r="Z1231" s="45"/>
      <c r="AA1231" s="48"/>
      <c r="AB1231" s="48"/>
      <c r="AC1231" s="47"/>
      <c r="AD1231" s="47"/>
      <c r="AE1231" s="47"/>
    </row>
    <row r="1232" spans="1:31" x14ac:dyDescent="0.35">
      <c r="A1232" s="41"/>
      <c r="B1232" s="41"/>
      <c r="C1232" s="42"/>
      <c r="D1232" s="43"/>
      <c r="E1232" s="43"/>
      <c r="F1232" s="43"/>
      <c r="G1232" s="43"/>
      <c r="H1232" s="43"/>
      <c r="I1232" s="43"/>
      <c r="J1232" s="43"/>
      <c r="K1232" s="43"/>
      <c r="L1232" s="43"/>
      <c r="M1232" s="43"/>
      <c r="N1232" s="43"/>
      <c r="O1232" s="43"/>
      <c r="P1232" s="43"/>
      <c r="Q1232" s="43"/>
      <c r="R1232" s="43"/>
      <c r="S1232" s="43"/>
      <c r="T1232" s="43"/>
      <c r="U1232" s="43"/>
      <c r="V1232" s="41"/>
      <c r="W1232" s="41"/>
      <c r="X1232" s="41"/>
      <c r="Y1232" s="41"/>
      <c r="Z1232" s="41"/>
      <c r="AA1232" s="44"/>
      <c r="AB1232" s="44"/>
      <c r="AC1232" s="43"/>
      <c r="AD1232" s="43"/>
      <c r="AE1232" s="43"/>
    </row>
    <row r="1233" spans="1:31" x14ac:dyDescent="0.35">
      <c r="C1233" s="33"/>
      <c r="D1233" s="34"/>
      <c r="E1233" s="34"/>
      <c r="F1233" s="34"/>
      <c r="G1233" s="34"/>
      <c r="H1233" s="34"/>
      <c r="I1233" s="34"/>
      <c r="J1233" s="34"/>
      <c r="K1233" s="34"/>
      <c r="L1233" s="34"/>
      <c r="M1233" s="34"/>
      <c r="N1233" s="34"/>
      <c r="O1233" s="34"/>
      <c r="AA1233" s="35"/>
      <c r="AB1233" s="35"/>
      <c r="AC1233" s="34"/>
      <c r="AD1233" s="34"/>
      <c r="AE1233" s="34"/>
    </row>
    <row r="1234" spans="1:31" ht="15" thickBot="1" x14ac:dyDescent="0.4">
      <c r="A1234" s="45"/>
      <c r="B1234" s="45"/>
      <c r="C1234" s="46"/>
      <c r="D1234" s="47"/>
      <c r="E1234" s="47"/>
      <c r="F1234" s="47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  <c r="S1234" s="47"/>
      <c r="T1234" s="45"/>
      <c r="U1234" s="45"/>
      <c r="V1234" s="45"/>
      <c r="W1234" s="45"/>
      <c r="X1234" s="47"/>
      <c r="Y1234" s="45"/>
      <c r="Z1234" s="45"/>
      <c r="AA1234" s="48"/>
      <c r="AB1234" s="48"/>
      <c r="AC1234" s="47"/>
      <c r="AD1234" s="47"/>
      <c r="AE1234" s="47"/>
    </row>
    <row r="1235" spans="1:31" x14ac:dyDescent="0.35">
      <c r="A1235" s="41"/>
      <c r="B1235" s="41"/>
      <c r="C1235" s="42"/>
      <c r="D1235" s="43"/>
      <c r="E1235" s="43"/>
      <c r="F1235" s="43"/>
      <c r="G1235" s="43"/>
      <c r="H1235" s="43"/>
      <c r="I1235" s="43"/>
      <c r="J1235" s="43"/>
      <c r="K1235" s="43"/>
      <c r="L1235" s="43"/>
      <c r="M1235" s="43"/>
      <c r="N1235" s="43"/>
      <c r="O1235" s="43"/>
      <c r="P1235" s="43"/>
      <c r="Q1235" s="43"/>
      <c r="R1235" s="43"/>
      <c r="S1235" s="43"/>
      <c r="T1235" s="43"/>
      <c r="U1235" s="43"/>
      <c r="V1235" s="41"/>
      <c r="W1235" s="41"/>
      <c r="X1235" s="41"/>
      <c r="Y1235" s="41"/>
      <c r="Z1235" s="41"/>
      <c r="AA1235" s="44"/>
      <c r="AB1235" s="44"/>
      <c r="AC1235" s="43"/>
      <c r="AD1235" s="43"/>
      <c r="AE1235" s="43"/>
    </row>
    <row r="1236" spans="1:31" x14ac:dyDescent="0.35">
      <c r="C1236" s="33"/>
      <c r="D1236" s="34"/>
      <c r="E1236" s="34"/>
      <c r="F1236" s="34"/>
      <c r="G1236" s="34"/>
      <c r="H1236" s="34"/>
      <c r="I1236" s="34"/>
      <c r="J1236" s="34"/>
      <c r="K1236" s="34"/>
      <c r="L1236" s="34"/>
      <c r="M1236" s="34"/>
      <c r="N1236" s="34"/>
      <c r="O1236" s="34"/>
      <c r="AA1236" s="35"/>
      <c r="AB1236" s="35"/>
      <c r="AC1236" s="34"/>
      <c r="AD1236" s="34"/>
      <c r="AE1236" s="34"/>
    </row>
    <row r="1237" spans="1:31" ht="15" thickBot="1" x14ac:dyDescent="0.4">
      <c r="A1237" s="45"/>
      <c r="B1237" s="45"/>
      <c r="C1237" s="46"/>
      <c r="D1237" s="47"/>
      <c r="E1237" s="47"/>
      <c r="F1237" s="47"/>
      <c r="G1237" s="47"/>
      <c r="H1237" s="47"/>
      <c r="I1237" s="47"/>
      <c r="J1237" s="47"/>
      <c r="K1237" s="47"/>
      <c r="L1237" s="47"/>
      <c r="M1237" s="47"/>
      <c r="N1237" s="47"/>
      <c r="O1237" s="47"/>
      <c r="P1237" s="47"/>
      <c r="Q1237" s="47"/>
      <c r="R1237" s="47"/>
      <c r="S1237" s="47"/>
      <c r="T1237" s="45"/>
      <c r="U1237" s="45"/>
      <c r="V1237" s="45"/>
      <c r="W1237" s="45"/>
      <c r="X1237" s="47"/>
      <c r="Y1237" s="45"/>
      <c r="Z1237" s="45"/>
      <c r="AA1237" s="48"/>
      <c r="AB1237" s="48"/>
      <c r="AC1237" s="47"/>
      <c r="AD1237" s="47"/>
      <c r="AE1237" s="47"/>
    </row>
    <row r="1238" spans="1:31" x14ac:dyDescent="0.35">
      <c r="A1238" s="41"/>
      <c r="B1238" s="41"/>
      <c r="C1238" s="42"/>
      <c r="D1238" s="43"/>
      <c r="E1238" s="43"/>
      <c r="F1238" s="43"/>
      <c r="G1238" s="43"/>
      <c r="H1238" s="43"/>
      <c r="I1238" s="43"/>
      <c r="J1238" s="43"/>
      <c r="K1238" s="43"/>
      <c r="L1238" s="43"/>
      <c r="M1238" s="43"/>
      <c r="N1238" s="43"/>
      <c r="O1238" s="43"/>
      <c r="P1238" s="43"/>
      <c r="Q1238" s="43"/>
      <c r="R1238" s="43"/>
      <c r="S1238" s="43"/>
      <c r="T1238" s="43"/>
      <c r="U1238" s="43"/>
      <c r="V1238" s="41"/>
      <c r="W1238" s="41"/>
      <c r="X1238" s="41"/>
      <c r="Y1238" s="41"/>
      <c r="Z1238" s="41"/>
      <c r="AA1238" s="44"/>
      <c r="AB1238" s="44"/>
      <c r="AC1238" s="43"/>
      <c r="AD1238" s="43"/>
      <c r="AE1238" s="43"/>
    </row>
    <row r="1239" spans="1:31" x14ac:dyDescent="0.35">
      <c r="C1239" s="33"/>
      <c r="D1239" s="34"/>
      <c r="E1239" s="34"/>
      <c r="F1239" s="34"/>
      <c r="G1239" s="34"/>
      <c r="H1239" s="34"/>
      <c r="I1239" s="34"/>
      <c r="J1239" s="34"/>
      <c r="K1239" s="34"/>
      <c r="L1239" s="34"/>
      <c r="M1239" s="34"/>
      <c r="N1239" s="34"/>
      <c r="O1239" s="34"/>
      <c r="AA1239" s="35"/>
      <c r="AB1239" s="35"/>
      <c r="AC1239" s="34"/>
      <c r="AD1239" s="34"/>
      <c r="AE1239" s="34"/>
    </row>
    <row r="1240" spans="1:31" ht="15" thickBot="1" x14ac:dyDescent="0.4">
      <c r="A1240" s="45"/>
      <c r="B1240" s="45"/>
      <c r="C1240" s="46"/>
      <c r="D1240" s="47"/>
      <c r="E1240" s="47"/>
      <c r="F1240" s="47"/>
      <c r="G1240" s="47"/>
      <c r="H1240" s="47"/>
      <c r="I1240" s="47"/>
      <c r="J1240" s="47"/>
      <c r="K1240" s="47"/>
      <c r="L1240" s="47"/>
      <c r="M1240" s="47"/>
      <c r="N1240" s="47"/>
      <c r="O1240" s="47"/>
      <c r="P1240" s="47"/>
      <c r="Q1240" s="47"/>
      <c r="R1240" s="47"/>
      <c r="S1240" s="47"/>
      <c r="T1240" s="45"/>
      <c r="U1240" s="45"/>
      <c r="V1240" s="45"/>
      <c r="W1240" s="45"/>
      <c r="X1240" s="47"/>
      <c r="Y1240" s="45"/>
      <c r="Z1240" s="45"/>
      <c r="AA1240" s="48"/>
      <c r="AB1240" s="48"/>
      <c r="AC1240" s="47"/>
      <c r="AD1240" s="47"/>
      <c r="AE1240" s="47"/>
    </row>
    <row r="1241" spans="1:31" x14ac:dyDescent="0.35">
      <c r="A1241" s="41"/>
      <c r="B1241" s="41"/>
      <c r="C1241" s="42"/>
      <c r="D1241" s="43"/>
      <c r="E1241" s="43"/>
      <c r="F1241" s="43"/>
      <c r="G1241" s="43"/>
      <c r="H1241" s="43"/>
      <c r="I1241" s="43"/>
      <c r="J1241" s="43"/>
      <c r="K1241" s="43"/>
      <c r="L1241" s="43"/>
      <c r="M1241" s="43"/>
      <c r="N1241" s="43"/>
      <c r="O1241" s="43"/>
      <c r="P1241" s="43"/>
      <c r="Q1241" s="43"/>
      <c r="R1241" s="43"/>
      <c r="S1241" s="43"/>
      <c r="T1241" s="43"/>
      <c r="U1241" s="43"/>
      <c r="V1241" s="41"/>
      <c r="W1241" s="41"/>
      <c r="X1241" s="41"/>
      <c r="Y1241" s="41"/>
      <c r="Z1241" s="41"/>
      <c r="AA1241" s="44"/>
      <c r="AB1241" s="44"/>
      <c r="AC1241" s="43"/>
      <c r="AD1241" s="43"/>
      <c r="AE1241" s="43"/>
    </row>
    <row r="1242" spans="1:31" x14ac:dyDescent="0.35">
      <c r="C1242" s="33"/>
      <c r="D1242" s="34"/>
      <c r="E1242" s="34"/>
      <c r="F1242" s="34"/>
      <c r="G1242" s="34"/>
      <c r="H1242" s="34"/>
      <c r="I1242" s="34"/>
      <c r="J1242" s="34"/>
      <c r="K1242" s="34"/>
      <c r="L1242" s="34"/>
      <c r="M1242" s="34"/>
      <c r="N1242" s="34"/>
      <c r="O1242" s="34"/>
      <c r="AA1242" s="35"/>
      <c r="AB1242" s="35"/>
      <c r="AC1242" s="34"/>
      <c r="AD1242" s="34"/>
      <c r="AE1242" s="34"/>
    </row>
    <row r="1243" spans="1:31" ht="15" thickBot="1" x14ac:dyDescent="0.4">
      <c r="A1243" s="45"/>
      <c r="B1243" s="45"/>
      <c r="C1243" s="46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  <c r="S1243" s="47"/>
      <c r="T1243" s="45"/>
      <c r="U1243" s="45"/>
      <c r="V1243" s="45"/>
      <c r="W1243" s="45"/>
      <c r="X1243" s="47"/>
      <c r="Y1243" s="45"/>
      <c r="Z1243" s="45"/>
      <c r="AA1243" s="48"/>
      <c r="AB1243" s="48"/>
      <c r="AC1243" s="47"/>
      <c r="AD1243" s="47"/>
      <c r="AE1243" s="47"/>
    </row>
    <row r="1244" spans="1:31" x14ac:dyDescent="0.35">
      <c r="A1244" s="41"/>
      <c r="B1244" s="41"/>
      <c r="C1244" s="42"/>
      <c r="D1244" s="43"/>
      <c r="E1244" s="43"/>
      <c r="F1244" s="43"/>
      <c r="G1244" s="43"/>
      <c r="H1244" s="43"/>
      <c r="I1244" s="43"/>
      <c r="J1244" s="43"/>
      <c r="K1244" s="43"/>
      <c r="L1244" s="43"/>
      <c r="M1244" s="43"/>
      <c r="N1244" s="43"/>
      <c r="O1244" s="43"/>
      <c r="P1244" s="43"/>
      <c r="Q1244" s="43"/>
      <c r="R1244" s="43"/>
      <c r="S1244" s="43"/>
      <c r="T1244" s="43"/>
      <c r="U1244" s="43"/>
      <c r="V1244" s="41"/>
      <c r="W1244" s="41"/>
      <c r="X1244" s="41"/>
      <c r="Y1244" s="41"/>
      <c r="Z1244" s="41"/>
      <c r="AA1244" s="44"/>
      <c r="AB1244" s="44"/>
      <c r="AC1244" s="43"/>
      <c r="AD1244" s="43"/>
      <c r="AE1244" s="43"/>
    </row>
    <row r="1245" spans="1:31" x14ac:dyDescent="0.35">
      <c r="C1245" s="33"/>
      <c r="D1245" s="34"/>
      <c r="E1245" s="34"/>
      <c r="F1245" s="34"/>
      <c r="G1245" s="34"/>
      <c r="H1245" s="34"/>
      <c r="I1245" s="34"/>
      <c r="J1245" s="34"/>
      <c r="K1245" s="34"/>
      <c r="L1245" s="34"/>
      <c r="M1245" s="34"/>
      <c r="N1245" s="34"/>
      <c r="O1245" s="34"/>
      <c r="AA1245" s="35"/>
      <c r="AB1245" s="35"/>
      <c r="AC1245" s="34"/>
      <c r="AD1245" s="34"/>
      <c r="AE1245" s="34"/>
    </row>
    <row r="1246" spans="1:31" ht="15" thickBot="1" x14ac:dyDescent="0.4">
      <c r="A1246" s="45"/>
      <c r="B1246" s="45"/>
      <c r="C1246" s="46"/>
      <c r="D1246" s="47"/>
      <c r="E1246" s="47"/>
      <c r="F1246" s="47"/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  <c r="S1246" s="47"/>
      <c r="T1246" s="45"/>
      <c r="U1246" s="45"/>
      <c r="V1246" s="45"/>
      <c r="W1246" s="45"/>
      <c r="X1246" s="47"/>
      <c r="Y1246" s="45"/>
      <c r="Z1246" s="45"/>
      <c r="AA1246" s="48"/>
      <c r="AB1246" s="48"/>
      <c r="AC1246" s="47"/>
      <c r="AD1246" s="47"/>
      <c r="AE1246" s="47"/>
    </row>
    <row r="1247" spans="1:31" x14ac:dyDescent="0.35">
      <c r="A1247" s="41"/>
      <c r="B1247" s="41"/>
      <c r="C1247" s="42"/>
      <c r="D1247" s="43"/>
      <c r="E1247" s="43"/>
      <c r="F1247" s="43"/>
      <c r="G1247" s="43"/>
      <c r="H1247" s="43"/>
      <c r="I1247" s="43"/>
      <c r="J1247" s="43"/>
      <c r="K1247" s="43"/>
      <c r="L1247" s="43"/>
      <c r="M1247" s="43"/>
      <c r="N1247" s="43"/>
      <c r="O1247" s="43"/>
      <c r="P1247" s="43"/>
      <c r="Q1247" s="43"/>
      <c r="R1247" s="43"/>
      <c r="S1247" s="43"/>
      <c r="T1247" s="43"/>
      <c r="U1247" s="43"/>
      <c r="V1247" s="41"/>
      <c r="W1247" s="41"/>
      <c r="X1247" s="41"/>
      <c r="Y1247" s="41"/>
      <c r="Z1247" s="41"/>
      <c r="AA1247" s="44"/>
      <c r="AB1247" s="44"/>
      <c r="AC1247" s="43"/>
      <c r="AD1247" s="43"/>
      <c r="AE1247" s="43"/>
    </row>
    <row r="1248" spans="1:31" x14ac:dyDescent="0.35">
      <c r="C1248" s="33"/>
      <c r="D1248" s="34"/>
      <c r="E1248" s="34"/>
      <c r="F1248" s="34"/>
      <c r="G1248" s="34"/>
      <c r="H1248" s="34"/>
      <c r="I1248" s="34"/>
      <c r="J1248" s="34"/>
      <c r="K1248" s="34"/>
      <c r="L1248" s="34"/>
      <c r="M1248" s="34"/>
      <c r="N1248" s="34"/>
      <c r="O1248" s="34"/>
      <c r="AA1248" s="35"/>
      <c r="AB1248" s="35"/>
      <c r="AC1248" s="34"/>
      <c r="AD1248" s="34"/>
      <c r="AE1248" s="34"/>
    </row>
    <row r="1249" spans="1:31" ht="15" thickBot="1" x14ac:dyDescent="0.4">
      <c r="A1249" s="45"/>
      <c r="B1249" s="45"/>
      <c r="C1249" s="46"/>
      <c r="D1249" s="47"/>
      <c r="E1249" s="47"/>
      <c r="F1249" s="47"/>
      <c r="G1249" s="47"/>
      <c r="H1249" s="47"/>
      <c r="I1249" s="47"/>
      <c r="J1249" s="47"/>
      <c r="K1249" s="47"/>
      <c r="L1249" s="47"/>
      <c r="M1249" s="47"/>
      <c r="N1249" s="47"/>
      <c r="O1249" s="47"/>
      <c r="P1249" s="47"/>
      <c r="Q1249" s="47"/>
      <c r="R1249" s="47"/>
      <c r="S1249" s="47"/>
      <c r="T1249" s="45"/>
      <c r="U1249" s="45"/>
      <c r="V1249" s="45"/>
      <c r="W1249" s="45"/>
      <c r="X1249" s="47"/>
      <c r="Y1249" s="45"/>
      <c r="Z1249" s="45"/>
      <c r="AA1249" s="48"/>
      <c r="AB1249" s="48"/>
      <c r="AC1249" s="47"/>
      <c r="AD1249" s="47"/>
      <c r="AE1249" s="47"/>
    </row>
    <row r="1250" spans="1:31" x14ac:dyDescent="0.35">
      <c r="A1250" s="41"/>
      <c r="B1250" s="41"/>
      <c r="C1250" s="42"/>
      <c r="D1250" s="43"/>
      <c r="E1250" s="43"/>
      <c r="F1250" s="43"/>
      <c r="G1250" s="43"/>
      <c r="H1250" s="43"/>
      <c r="I1250" s="43"/>
      <c r="J1250" s="43"/>
      <c r="K1250" s="43"/>
      <c r="L1250" s="43"/>
      <c r="M1250" s="43"/>
      <c r="N1250" s="43"/>
      <c r="O1250" s="43"/>
      <c r="P1250" s="43"/>
      <c r="Q1250" s="43"/>
      <c r="R1250" s="43"/>
      <c r="S1250" s="43"/>
      <c r="T1250" s="43"/>
      <c r="U1250" s="43"/>
      <c r="V1250" s="41"/>
      <c r="W1250" s="41"/>
      <c r="X1250" s="41"/>
      <c r="Y1250" s="41"/>
      <c r="Z1250" s="41"/>
      <c r="AA1250" s="44"/>
      <c r="AB1250" s="44"/>
      <c r="AC1250" s="43"/>
      <c r="AD1250" s="43"/>
      <c r="AE1250" s="43"/>
    </row>
    <row r="1251" spans="1:31" x14ac:dyDescent="0.35">
      <c r="C1251" s="33"/>
      <c r="D1251" s="34"/>
      <c r="E1251" s="34"/>
      <c r="F1251" s="34"/>
      <c r="G1251" s="34"/>
      <c r="H1251" s="34"/>
      <c r="I1251" s="34"/>
      <c r="J1251" s="34"/>
      <c r="K1251" s="34"/>
      <c r="L1251" s="34"/>
      <c r="M1251" s="34"/>
      <c r="N1251" s="34"/>
      <c r="O1251" s="34"/>
      <c r="AA1251" s="35"/>
      <c r="AB1251" s="35"/>
      <c r="AC1251" s="34"/>
      <c r="AD1251" s="34"/>
      <c r="AE1251" s="34"/>
    </row>
    <row r="1252" spans="1:31" ht="15" thickBot="1" x14ac:dyDescent="0.4">
      <c r="A1252" s="45"/>
      <c r="B1252" s="45"/>
      <c r="C1252" s="46"/>
      <c r="D1252" s="47"/>
      <c r="E1252" s="47"/>
      <c r="F1252" s="47"/>
      <c r="G1252" s="47"/>
      <c r="H1252" s="47"/>
      <c r="I1252" s="47"/>
      <c r="J1252" s="47"/>
      <c r="K1252" s="47"/>
      <c r="L1252" s="47"/>
      <c r="M1252" s="47"/>
      <c r="N1252" s="47"/>
      <c r="O1252" s="47"/>
      <c r="P1252" s="47"/>
      <c r="Q1252" s="47"/>
      <c r="R1252" s="47"/>
      <c r="S1252" s="47"/>
      <c r="T1252" s="45"/>
      <c r="U1252" s="45"/>
      <c r="V1252" s="45"/>
      <c r="W1252" s="45"/>
      <c r="X1252" s="47"/>
      <c r="Y1252" s="45"/>
      <c r="Z1252" s="45"/>
      <c r="AA1252" s="48"/>
      <c r="AB1252" s="48"/>
      <c r="AC1252" s="47"/>
      <c r="AD1252" s="47"/>
      <c r="AE1252" s="47"/>
    </row>
    <row r="1253" spans="1:31" x14ac:dyDescent="0.35">
      <c r="A1253" s="41"/>
      <c r="B1253" s="41"/>
      <c r="C1253" s="42"/>
      <c r="D1253" s="43"/>
      <c r="E1253" s="43"/>
      <c r="F1253" s="43"/>
      <c r="G1253" s="43"/>
      <c r="H1253" s="43"/>
      <c r="I1253" s="43"/>
      <c r="J1253" s="43"/>
      <c r="K1253" s="43"/>
      <c r="L1253" s="43"/>
      <c r="M1253" s="43"/>
      <c r="N1253" s="43"/>
      <c r="O1253" s="43"/>
      <c r="P1253" s="43"/>
      <c r="Q1253" s="43"/>
      <c r="R1253" s="43"/>
      <c r="S1253" s="43"/>
      <c r="T1253" s="43"/>
      <c r="U1253" s="43"/>
      <c r="V1253" s="41"/>
      <c r="W1253" s="41"/>
      <c r="X1253" s="41"/>
      <c r="Y1253" s="41"/>
      <c r="Z1253" s="41"/>
      <c r="AA1253" s="44"/>
      <c r="AB1253" s="44"/>
      <c r="AC1253" s="43"/>
      <c r="AD1253" s="43"/>
      <c r="AE1253" s="43"/>
    </row>
    <row r="1254" spans="1:31" x14ac:dyDescent="0.35">
      <c r="C1254" s="33"/>
      <c r="D1254" s="34"/>
      <c r="E1254" s="34"/>
      <c r="F1254" s="34"/>
      <c r="G1254" s="34"/>
      <c r="H1254" s="34"/>
      <c r="I1254" s="34"/>
      <c r="J1254" s="34"/>
      <c r="K1254" s="34"/>
      <c r="L1254" s="34"/>
      <c r="M1254" s="34"/>
      <c r="N1254" s="34"/>
      <c r="O1254" s="34"/>
      <c r="AA1254" s="35"/>
      <c r="AB1254" s="35"/>
      <c r="AC1254" s="34"/>
      <c r="AD1254" s="34"/>
      <c r="AE1254" s="34"/>
    </row>
    <row r="1255" spans="1:31" ht="15" thickBot="1" x14ac:dyDescent="0.4">
      <c r="A1255" s="45"/>
      <c r="B1255" s="45"/>
      <c r="C1255" s="46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  <c r="S1255" s="47"/>
      <c r="T1255" s="45"/>
      <c r="U1255" s="45"/>
      <c r="V1255" s="45"/>
      <c r="W1255" s="45"/>
      <c r="X1255" s="47"/>
      <c r="Y1255" s="45"/>
      <c r="Z1255" s="45"/>
      <c r="AA1255" s="48"/>
      <c r="AB1255" s="48"/>
      <c r="AC1255" s="47"/>
      <c r="AD1255" s="47"/>
      <c r="AE1255" s="47"/>
    </row>
    <row r="1256" spans="1:31" x14ac:dyDescent="0.35">
      <c r="A1256" s="41"/>
      <c r="B1256" s="41"/>
      <c r="C1256" s="42"/>
      <c r="D1256" s="43"/>
      <c r="E1256" s="43"/>
      <c r="F1256" s="43"/>
      <c r="G1256" s="43"/>
      <c r="H1256" s="43"/>
      <c r="I1256" s="43"/>
      <c r="J1256" s="43"/>
      <c r="K1256" s="43"/>
      <c r="L1256" s="43"/>
      <c r="M1256" s="43"/>
      <c r="N1256" s="43"/>
      <c r="O1256" s="43"/>
      <c r="P1256" s="43"/>
      <c r="Q1256" s="43"/>
      <c r="R1256" s="43"/>
      <c r="S1256" s="43"/>
      <c r="T1256" s="43"/>
      <c r="U1256" s="43"/>
      <c r="V1256" s="41"/>
      <c r="W1256" s="41"/>
      <c r="X1256" s="41"/>
      <c r="Y1256" s="41"/>
      <c r="Z1256" s="41"/>
      <c r="AA1256" s="44"/>
      <c r="AB1256" s="44"/>
      <c r="AC1256" s="43"/>
      <c r="AD1256" s="43"/>
      <c r="AE1256" s="43"/>
    </row>
    <row r="1257" spans="1:31" x14ac:dyDescent="0.35">
      <c r="C1257" s="33"/>
      <c r="D1257" s="34"/>
      <c r="E1257" s="34"/>
      <c r="F1257" s="34"/>
      <c r="G1257" s="34"/>
      <c r="H1257" s="34"/>
      <c r="I1257" s="34"/>
      <c r="J1257" s="34"/>
      <c r="K1257" s="34"/>
      <c r="L1257" s="34"/>
      <c r="M1257" s="34"/>
      <c r="N1257" s="34"/>
      <c r="O1257" s="34"/>
      <c r="AA1257" s="35"/>
      <c r="AB1257" s="35"/>
      <c r="AC1257" s="34"/>
      <c r="AD1257" s="34"/>
      <c r="AE1257" s="34"/>
    </row>
    <row r="1258" spans="1:31" ht="15" thickBot="1" x14ac:dyDescent="0.4">
      <c r="A1258" s="45"/>
      <c r="B1258" s="45"/>
      <c r="C1258" s="46"/>
      <c r="D1258" s="47"/>
      <c r="E1258" s="47"/>
      <c r="F1258" s="47"/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  <c r="S1258" s="47"/>
      <c r="T1258" s="45"/>
      <c r="U1258" s="45"/>
      <c r="V1258" s="45"/>
      <c r="W1258" s="45"/>
      <c r="X1258" s="47"/>
      <c r="Y1258" s="45"/>
      <c r="Z1258" s="45"/>
      <c r="AA1258" s="48"/>
      <c r="AB1258" s="48"/>
      <c r="AC1258" s="47"/>
      <c r="AD1258" s="47"/>
      <c r="AE1258" s="47"/>
    </row>
    <row r="1259" spans="1:31" x14ac:dyDescent="0.35">
      <c r="A1259" s="41"/>
      <c r="B1259" s="41"/>
      <c r="C1259" s="42"/>
      <c r="D1259" s="43"/>
      <c r="E1259" s="43"/>
      <c r="F1259" s="43"/>
      <c r="G1259" s="43"/>
      <c r="H1259" s="43"/>
      <c r="I1259" s="43"/>
      <c r="J1259" s="43"/>
      <c r="K1259" s="43"/>
      <c r="L1259" s="43"/>
      <c r="M1259" s="43"/>
      <c r="N1259" s="43"/>
      <c r="O1259" s="43"/>
      <c r="P1259" s="43"/>
      <c r="Q1259" s="43"/>
      <c r="R1259" s="43"/>
      <c r="S1259" s="43"/>
      <c r="T1259" s="43"/>
      <c r="U1259" s="43"/>
      <c r="V1259" s="41"/>
      <c r="W1259" s="41"/>
      <c r="X1259" s="41"/>
      <c r="Y1259" s="41"/>
      <c r="Z1259" s="41"/>
      <c r="AA1259" s="44"/>
      <c r="AB1259" s="44"/>
      <c r="AC1259" s="43"/>
      <c r="AD1259" s="43"/>
      <c r="AE1259" s="43"/>
    </row>
    <row r="1260" spans="1:31" x14ac:dyDescent="0.35">
      <c r="C1260" s="33"/>
      <c r="D1260" s="34"/>
      <c r="E1260" s="34"/>
      <c r="F1260" s="34"/>
      <c r="G1260" s="34"/>
      <c r="H1260" s="34"/>
      <c r="I1260" s="34"/>
      <c r="J1260" s="34"/>
      <c r="K1260" s="34"/>
      <c r="L1260" s="34"/>
      <c r="M1260" s="34"/>
      <c r="N1260" s="34"/>
      <c r="O1260" s="34"/>
      <c r="AA1260" s="35"/>
      <c r="AB1260" s="35"/>
      <c r="AC1260" s="34"/>
      <c r="AD1260" s="34"/>
      <c r="AE1260" s="34"/>
    </row>
    <row r="1261" spans="1:31" ht="15" thickBot="1" x14ac:dyDescent="0.4">
      <c r="A1261" s="45"/>
      <c r="B1261" s="45"/>
      <c r="C1261" s="46"/>
      <c r="D1261" s="47"/>
      <c r="E1261" s="47"/>
      <c r="F1261" s="47"/>
      <c r="G1261" s="47"/>
      <c r="H1261" s="47"/>
      <c r="I1261" s="47"/>
      <c r="J1261" s="47"/>
      <c r="K1261" s="47"/>
      <c r="L1261" s="47"/>
      <c r="M1261" s="47"/>
      <c r="N1261" s="47"/>
      <c r="O1261" s="47"/>
      <c r="P1261" s="47"/>
      <c r="Q1261" s="47"/>
      <c r="R1261" s="47"/>
      <c r="S1261" s="47"/>
      <c r="T1261" s="45"/>
      <c r="U1261" s="45"/>
      <c r="V1261" s="45"/>
      <c r="W1261" s="45"/>
      <c r="X1261" s="47"/>
      <c r="Y1261" s="45"/>
      <c r="Z1261" s="45"/>
      <c r="AA1261" s="48"/>
      <c r="AB1261" s="48"/>
      <c r="AC1261" s="47"/>
      <c r="AD1261" s="47"/>
      <c r="AE1261" s="47"/>
    </row>
    <row r="1262" spans="1:31" x14ac:dyDescent="0.35">
      <c r="A1262" s="41"/>
      <c r="B1262" s="41"/>
      <c r="C1262" s="42"/>
      <c r="D1262" s="43"/>
      <c r="E1262" s="43"/>
      <c r="F1262" s="43"/>
      <c r="G1262" s="43"/>
      <c r="H1262" s="43"/>
      <c r="I1262" s="43"/>
      <c r="J1262" s="43"/>
      <c r="K1262" s="43"/>
      <c r="L1262" s="43"/>
      <c r="M1262" s="43"/>
      <c r="N1262" s="43"/>
      <c r="O1262" s="43"/>
      <c r="P1262" s="43"/>
      <c r="Q1262" s="43"/>
      <c r="R1262" s="43"/>
      <c r="S1262" s="43"/>
      <c r="T1262" s="43"/>
      <c r="U1262" s="43"/>
      <c r="V1262" s="41"/>
      <c r="W1262" s="41"/>
      <c r="X1262" s="41"/>
      <c r="Y1262" s="41"/>
      <c r="Z1262" s="41"/>
      <c r="AA1262" s="44"/>
      <c r="AB1262" s="44"/>
      <c r="AC1262" s="43"/>
      <c r="AD1262" s="43"/>
      <c r="AE1262" s="43"/>
    </row>
    <row r="1263" spans="1:31" x14ac:dyDescent="0.35">
      <c r="C1263" s="33"/>
      <c r="D1263" s="34"/>
      <c r="E1263" s="34"/>
      <c r="F1263" s="34"/>
      <c r="G1263" s="34"/>
      <c r="H1263" s="34"/>
      <c r="I1263" s="34"/>
      <c r="J1263" s="34"/>
      <c r="K1263" s="34"/>
      <c r="L1263" s="34"/>
      <c r="M1263" s="34"/>
      <c r="N1263" s="34"/>
      <c r="O1263" s="34"/>
      <c r="AA1263" s="35"/>
      <c r="AB1263" s="35"/>
      <c r="AC1263" s="34"/>
      <c r="AD1263" s="34"/>
      <c r="AE1263" s="34"/>
    </row>
    <row r="1264" spans="1:31" ht="15" thickBot="1" x14ac:dyDescent="0.4">
      <c r="A1264" s="45"/>
      <c r="B1264" s="45"/>
      <c r="C1264" s="46"/>
      <c r="D1264" s="47"/>
      <c r="E1264" s="47"/>
      <c r="F1264" s="47"/>
      <c r="G1264" s="47"/>
      <c r="H1264" s="47"/>
      <c r="I1264" s="47"/>
      <c r="J1264" s="47"/>
      <c r="K1264" s="47"/>
      <c r="L1264" s="47"/>
      <c r="M1264" s="47"/>
      <c r="N1264" s="47"/>
      <c r="O1264" s="47"/>
      <c r="P1264" s="47"/>
      <c r="Q1264" s="47"/>
      <c r="R1264" s="47"/>
      <c r="S1264" s="47"/>
      <c r="T1264" s="45"/>
      <c r="U1264" s="45"/>
      <c r="V1264" s="45"/>
      <c r="W1264" s="45"/>
      <c r="X1264" s="47"/>
      <c r="Y1264" s="45"/>
      <c r="Z1264" s="45"/>
      <c r="AA1264" s="48"/>
      <c r="AB1264" s="48"/>
      <c r="AC1264" s="47"/>
      <c r="AD1264" s="47"/>
      <c r="AE1264" s="47"/>
    </row>
    <row r="1265" spans="1:31" x14ac:dyDescent="0.35">
      <c r="A1265" s="41"/>
      <c r="B1265" s="41"/>
      <c r="C1265" s="42"/>
      <c r="D1265" s="43"/>
      <c r="E1265" s="43"/>
      <c r="F1265" s="43"/>
      <c r="G1265" s="43"/>
      <c r="H1265" s="43"/>
      <c r="I1265" s="43"/>
      <c r="J1265" s="43"/>
      <c r="K1265" s="43"/>
      <c r="L1265" s="43"/>
      <c r="M1265" s="43"/>
      <c r="N1265" s="43"/>
      <c r="O1265" s="43"/>
      <c r="P1265" s="43"/>
      <c r="Q1265" s="43"/>
      <c r="R1265" s="43"/>
      <c r="S1265" s="43"/>
      <c r="T1265" s="43"/>
      <c r="U1265" s="43"/>
      <c r="V1265" s="41"/>
      <c r="W1265" s="41"/>
      <c r="X1265" s="41"/>
      <c r="Y1265" s="41"/>
      <c r="Z1265" s="41"/>
      <c r="AA1265" s="44"/>
      <c r="AB1265" s="44"/>
      <c r="AC1265" s="43"/>
      <c r="AD1265" s="43"/>
      <c r="AE1265" s="43"/>
    </row>
    <row r="1266" spans="1:31" x14ac:dyDescent="0.35">
      <c r="C1266" s="33"/>
      <c r="D1266" s="34"/>
      <c r="E1266" s="34"/>
      <c r="F1266" s="34"/>
      <c r="G1266" s="34"/>
      <c r="H1266" s="34"/>
      <c r="I1266" s="34"/>
      <c r="J1266" s="34"/>
      <c r="K1266" s="34"/>
      <c r="L1266" s="34"/>
      <c r="M1266" s="34"/>
      <c r="N1266" s="34"/>
      <c r="O1266" s="34"/>
      <c r="AA1266" s="35"/>
      <c r="AB1266" s="35"/>
      <c r="AC1266" s="34"/>
      <c r="AD1266" s="34"/>
      <c r="AE1266" s="34"/>
    </row>
    <row r="1267" spans="1:31" ht="15" thickBot="1" x14ac:dyDescent="0.4">
      <c r="A1267" s="45"/>
      <c r="B1267" s="45"/>
      <c r="C1267" s="46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  <c r="S1267" s="47"/>
      <c r="T1267" s="45"/>
      <c r="U1267" s="45"/>
      <c r="V1267" s="45"/>
      <c r="W1267" s="45"/>
      <c r="X1267" s="47"/>
      <c r="Y1267" s="45"/>
      <c r="Z1267" s="45"/>
      <c r="AA1267" s="48"/>
      <c r="AB1267" s="48"/>
      <c r="AC1267" s="47"/>
      <c r="AD1267" s="47"/>
      <c r="AE1267" s="47"/>
    </row>
    <row r="1268" spans="1:31" x14ac:dyDescent="0.35">
      <c r="A1268" s="41"/>
      <c r="B1268" s="41"/>
      <c r="C1268" s="42"/>
      <c r="D1268" s="43"/>
      <c r="E1268" s="43"/>
      <c r="F1268" s="43"/>
      <c r="G1268" s="43"/>
      <c r="H1268" s="43"/>
      <c r="I1268" s="43"/>
      <c r="J1268" s="43"/>
      <c r="K1268" s="43"/>
      <c r="L1268" s="43"/>
      <c r="M1268" s="43"/>
      <c r="N1268" s="43"/>
      <c r="O1268" s="43"/>
      <c r="P1268" s="43"/>
      <c r="Q1268" s="43"/>
      <c r="R1268" s="43"/>
      <c r="S1268" s="43"/>
      <c r="T1268" s="43"/>
      <c r="U1268" s="43"/>
      <c r="V1268" s="41"/>
      <c r="W1268" s="41"/>
      <c r="X1268" s="41"/>
      <c r="Y1268" s="41"/>
      <c r="Z1268" s="41"/>
      <c r="AA1268" s="44"/>
      <c r="AB1268" s="44"/>
      <c r="AC1268" s="43"/>
      <c r="AD1268" s="43"/>
      <c r="AE1268" s="43"/>
    </row>
    <row r="1269" spans="1:31" x14ac:dyDescent="0.35">
      <c r="C1269" s="33"/>
      <c r="D1269" s="34"/>
      <c r="E1269" s="34"/>
      <c r="F1269" s="34"/>
      <c r="G1269" s="34"/>
      <c r="H1269" s="34"/>
      <c r="I1269" s="34"/>
      <c r="J1269" s="34"/>
      <c r="K1269" s="34"/>
      <c r="L1269" s="34"/>
      <c r="M1269" s="34"/>
      <c r="N1269" s="34"/>
      <c r="O1269" s="34"/>
      <c r="AA1269" s="35"/>
      <c r="AB1269" s="35"/>
      <c r="AC1269" s="34"/>
      <c r="AD1269" s="34"/>
      <c r="AE1269" s="34"/>
    </row>
    <row r="1270" spans="1:31" ht="15" thickBot="1" x14ac:dyDescent="0.4">
      <c r="A1270" s="45"/>
      <c r="B1270" s="45"/>
      <c r="C1270" s="46"/>
      <c r="D1270" s="47"/>
      <c r="E1270" s="47"/>
      <c r="F1270" s="47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  <c r="S1270" s="47"/>
      <c r="T1270" s="45"/>
      <c r="U1270" s="45"/>
      <c r="V1270" s="45"/>
      <c r="W1270" s="45"/>
      <c r="X1270" s="47"/>
      <c r="Y1270" s="45"/>
      <c r="Z1270" s="45"/>
      <c r="AA1270" s="48"/>
      <c r="AB1270" s="48"/>
      <c r="AC1270" s="47"/>
      <c r="AD1270" s="47"/>
      <c r="AE1270" s="47"/>
    </row>
    <row r="1271" spans="1:31" x14ac:dyDescent="0.35">
      <c r="A1271" s="41"/>
      <c r="B1271" s="41"/>
      <c r="C1271" s="42"/>
      <c r="D1271" s="43"/>
      <c r="E1271" s="43"/>
      <c r="F1271" s="43"/>
      <c r="G1271" s="43"/>
      <c r="H1271" s="43"/>
      <c r="I1271" s="43"/>
      <c r="J1271" s="43"/>
      <c r="K1271" s="43"/>
      <c r="L1271" s="43"/>
      <c r="M1271" s="43"/>
      <c r="N1271" s="43"/>
      <c r="O1271" s="43"/>
      <c r="P1271" s="43"/>
      <c r="Q1271" s="43"/>
      <c r="R1271" s="43"/>
      <c r="S1271" s="43"/>
      <c r="T1271" s="43"/>
      <c r="U1271" s="43"/>
      <c r="V1271" s="41"/>
      <c r="W1271" s="41"/>
      <c r="X1271" s="41"/>
      <c r="Y1271" s="41"/>
      <c r="Z1271" s="41"/>
      <c r="AA1271" s="44"/>
      <c r="AB1271" s="44"/>
      <c r="AC1271" s="43"/>
      <c r="AD1271" s="43"/>
      <c r="AE1271" s="43"/>
    </row>
    <row r="1272" spans="1:31" x14ac:dyDescent="0.35">
      <c r="C1272" s="33"/>
      <c r="D1272" s="34"/>
      <c r="E1272" s="34"/>
      <c r="F1272" s="34"/>
      <c r="G1272" s="34"/>
      <c r="H1272" s="34"/>
      <c r="I1272" s="34"/>
      <c r="J1272" s="34"/>
      <c r="K1272" s="34"/>
      <c r="L1272" s="34"/>
      <c r="M1272" s="34"/>
      <c r="N1272" s="34"/>
      <c r="O1272" s="34"/>
      <c r="AA1272" s="35"/>
      <c r="AB1272" s="35"/>
      <c r="AC1272" s="34"/>
      <c r="AD1272" s="34"/>
      <c r="AE1272" s="34"/>
    </row>
    <row r="1273" spans="1:31" ht="15" thickBot="1" x14ac:dyDescent="0.4">
      <c r="A1273" s="45"/>
      <c r="B1273" s="45"/>
      <c r="C1273" s="46"/>
      <c r="D1273" s="47"/>
      <c r="E1273" s="47"/>
      <c r="F1273" s="47"/>
      <c r="G1273" s="47"/>
      <c r="H1273" s="47"/>
      <c r="I1273" s="47"/>
      <c r="J1273" s="47"/>
      <c r="K1273" s="47"/>
      <c r="L1273" s="47"/>
      <c r="M1273" s="47"/>
      <c r="N1273" s="47"/>
      <c r="O1273" s="47"/>
      <c r="P1273" s="47"/>
      <c r="Q1273" s="47"/>
      <c r="R1273" s="47"/>
      <c r="S1273" s="47"/>
      <c r="T1273" s="45"/>
      <c r="U1273" s="45"/>
      <c r="V1273" s="45"/>
      <c r="W1273" s="45"/>
      <c r="X1273" s="47"/>
      <c r="Y1273" s="45"/>
      <c r="Z1273" s="45"/>
      <c r="AA1273" s="48"/>
      <c r="AB1273" s="48"/>
      <c r="AC1273" s="47"/>
      <c r="AD1273" s="47"/>
      <c r="AE1273" s="47"/>
    </row>
    <row r="1274" spans="1:31" x14ac:dyDescent="0.35">
      <c r="A1274" s="41"/>
      <c r="B1274" s="41"/>
      <c r="C1274" s="42"/>
      <c r="D1274" s="43"/>
      <c r="E1274" s="43"/>
      <c r="F1274" s="43"/>
      <c r="G1274" s="43"/>
      <c r="H1274" s="43"/>
      <c r="I1274" s="43"/>
      <c r="J1274" s="43"/>
      <c r="K1274" s="43"/>
      <c r="L1274" s="43"/>
      <c r="M1274" s="43"/>
      <c r="N1274" s="43"/>
      <c r="O1274" s="43"/>
      <c r="P1274" s="43"/>
      <c r="Q1274" s="43"/>
      <c r="R1274" s="43"/>
      <c r="S1274" s="43"/>
      <c r="T1274" s="43"/>
      <c r="U1274" s="43"/>
      <c r="V1274" s="41"/>
      <c r="W1274" s="41"/>
      <c r="X1274" s="41"/>
      <c r="Y1274" s="41"/>
      <c r="Z1274" s="41"/>
      <c r="AA1274" s="44"/>
      <c r="AB1274" s="44"/>
      <c r="AC1274" s="43"/>
      <c r="AD1274" s="43"/>
      <c r="AE1274" s="43"/>
    </row>
    <row r="1275" spans="1:31" x14ac:dyDescent="0.35">
      <c r="C1275" s="33"/>
      <c r="D1275" s="34"/>
      <c r="E1275" s="34"/>
      <c r="F1275" s="34"/>
      <c r="G1275" s="34"/>
      <c r="H1275" s="34"/>
      <c r="I1275" s="34"/>
      <c r="J1275" s="34"/>
      <c r="K1275" s="34"/>
      <c r="L1275" s="34"/>
      <c r="M1275" s="34"/>
      <c r="N1275" s="34"/>
      <c r="O1275" s="34"/>
      <c r="AA1275" s="35"/>
      <c r="AB1275" s="35"/>
      <c r="AC1275" s="34"/>
      <c r="AD1275" s="34"/>
      <c r="AE1275" s="34"/>
    </row>
    <row r="1276" spans="1:31" ht="15" thickBot="1" x14ac:dyDescent="0.4">
      <c r="A1276" s="45"/>
      <c r="B1276" s="45"/>
      <c r="C1276" s="46"/>
      <c r="D1276" s="47"/>
      <c r="E1276" s="47"/>
      <c r="F1276" s="47"/>
      <c r="G1276" s="47"/>
      <c r="H1276" s="47"/>
      <c r="I1276" s="47"/>
      <c r="J1276" s="47"/>
      <c r="K1276" s="47"/>
      <c r="L1276" s="47"/>
      <c r="M1276" s="47"/>
      <c r="N1276" s="47"/>
      <c r="O1276" s="47"/>
      <c r="P1276" s="47"/>
      <c r="Q1276" s="47"/>
      <c r="R1276" s="47"/>
      <c r="S1276" s="47"/>
      <c r="T1276" s="45"/>
      <c r="U1276" s="45"/>
      <c r="V1276" s="45"/>
      <c r="W1276" s="45"/>
      <c r="X1276" s="47"/>
      <c r="Y1276" s="45"/>
      <c r="Z1276" s="45"/>
      <c r="AA1276" s="48"/>
      <c r="AB1276" s="48"/>
      <c r="AC1276" s="47"/>
      <c r="AD1276" s="47"/>
      <c r="AE1276" s="47"/>
    </row>
    <row r="1277" spans="1:31" x14ac:dyDescent="0.35">
      <c r="A1277" s="41"/>
      <c r="B1277" s="41"/>
      <c r="C1277" s="42"/>
      <c r="D1277" s="43"/>
      <c r="E1277" s="43"/>
      <c r="F1277" s="43"/>
      <c r="G1277" s="43"/>
      <c r="H1277" s="43"/>
      <c r="I1277" s="43"/>
      <c r="J1277" s="43"/>
      <c r="K1277" s="43"/>
      <c r="L1277" s="43"/>
      <c r="M1277" s="43"/>
      <c r="N1277" s="43"/>
      <c r="O1277" s="43"/>
      <c r="P1277" s="43"/>
      <c r="Q1277" s="43"/>
      <c r="R1277" s="43"/>
      <c r="S1277" s="43"/>
      <c r="T1277" s="43"/>
      <c r="U1277" s="43"/>
      <c r="V1277" s="41"/>
      <c r="W1277" s="41"/>
      <c r="X1277" s="41"/>
      <c r="Y1277" s="41"/>
      <c r="Z1277" s="41"/>
      <c r="AA1277" s="44"/>
      <c r="AB1277" s="44"/>
      <c r="AC1277" s="43"/>
      <c r="AD1277" s="43"/>
      <c r="AE1277" s="43"/>
    </row>
    <row r="1278" spans="1:31" x14ac:dyDescent="0.35">
      <c r="C1278" s="33"/>
      <c r="D1278" s="34"/>
      <c r="E1278" s="34"/>
      <c r="F1278" s="34"/>
      <c r="G1278" s="34"/>
      <c r="H1278" s="34"/>
      <c r="I1278" s="34"/>
      <c r="J1278" s="34"/>
      <c r="K1278" s="34"/>
      <c r="L1278" s="34"/>
      <c r="M1278" s="34"/>
      <c r="N1278" s="34"/>
      <c r="O1278" s="34"/>
      <c r="AA1278" s="35"/>
      <c r="AB1278" s="35"/>
      <c r="AC1278" s="34"/>
      <c r="AD1278" s="34"/>
      <c r="AE1278" s="34"/>
    </row>
    <row r="1279" spans="1:31" ht="15" thickBot="1" x14ac:dyDescent="0.4">
      <c r="A1279" s="45"/>
      <c r="B1279" s="45"/>
      <c r="C1279" s="46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  <c r="S1279" s="47"/>
      <c r="T1279" s="45"/>
      <c r="U1279" s="45"/>
      <c r="V1279" s="45"/>
      <c r="W1279" s="45"/>
      <c r="X1279" s="47"/>
      <c r="Y1279" s="45"/>
      <c r="Z1279" s="45"/>
      <c r="AA1279" s="48"/>
      <c r="AB1279" s="48"/>
      <c r="AC1279" s="47"/>
      <c r="AD1279" s="47"/>
      <c r="AE1279" s="47"/>
    </row>
    <row r="1280" spans="1:31" x14ac:dyDescent="0.35">
      <c r="A1280" s="41"/>
      <c r="B1280" s="41"/>
      <c r="C1280" s="42"/>
      <c r="D1280" s="43"/>
      <c r="E1280" s="43"/>
      <c r="F1280" s="43"/>
      <c r="G1280" s="43"/>
      <c r="H1280" s="43"/>
      <c r="I1280" s="43"/>
      <c r="J1280" s="43"/>
      <c r="K1280" s="43"/>
      <c r="L1280" s="43"/>
      <c r="M1280" s="43"/>
      <c r="N1280" s="43"/>
      <c r="O1280" s="43"/>
      <c r="P1280" s="43"/>
      <c r="Q1280" s="43"/>
      <c r="R1280" s="43"/>
      <c r="S1280" s="43"/>
      <c r="T1280" s="43"/>
      <c r="U1280" s="43"/>
      <c r="V1280" s="41"/>
      <c r="W1280" s="41"/>
      <c r="X1280" s="41"/>
      <c r="Y1280" s="41"/>
      <c r="Z1280" s="41"/>
      <c r="AA1280" s="44"/>
      <c r="AB1280" s="44"/>
      <c r="AC1280" s="43"/>
      <c r="AD1280" s="43"/>
      <c r="AE1280" s="43"/>
    </row>
    <row r="1281" spans="1:31" x14ac:dyDescent="0.35">
      <c r="C1281" s="33"/>
      <c r="D1281" s="34"/>
      <c r="E1281" s="34"/>
      <c r="F1281" s="34"/>
      <c r="G1281" s="34"/>
      <c r="H1281" s="34"/>
      <c r="I1281" s="34"/>
      <c r="J1281" s="34"/>
      <c r="K1281" s="34"/>
      <c r="L1281" s="34"/>
      <c r="M1281" s="34"/>
      <c r="N1281" s="34"/>
      <c r="O1281" s="34"/>
      <c r="AA1281" s="35"/>
      <c r="AB1281" s="35"/>
      <c r="AC1281" s="34"/>
      <c r="AD1281" s="34"/>
      <c r="AE1281" s="34"/>
    </row>
    <row r="1282" spans="1:31" ht="15" thickBot="1" x14ac:dyDescent="0.4">
      <c r="A1282" s="45"/>
      <c r="B1282" s="45"/>
      <c r="C1282" s="46"/>
      <c r="D1282" s="47"/>
      <c r="E1282" s="47"/>
      <c r="F1282" s="47"/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  <c r="S1282" s="47"/>
      <c r="T1282" s="45"/>
      <c r="U1282" s="45"/>
      <c r="V1282" s="45"/>
      <c r="W1282" s="45"/>
      <c r="X1282" s="47"/>
      <c r="Y1282" s="45"/>
      <c r="Z1282" s="45"/>
      <c r="AA1282" s="48"/>
      <c r="AB1282" s="48"/>
      <c r="AC1282" s="47"/>
      <c r="AD1282" s="47"/>
      <c r="AE1282" s="47"/>
    </row>
    <row r="1283" spans="1:31" x14ac:dyDescent="0.35">
      <c r="A1283" s="41"/>
      <c r="B1283" s="41"/>
      <c r="C1283" s="42"/>
      <c r="D1283" s="43"/>
      <c r="E1283" s="43"/>
      <c r="F1283" s="43"/>
      <c r="G1283" s="43"/>
      <c r="H1283" s="43"/>
      <c r="I1283" s="43"/>
      <c r="J1283" s="43"/>
      <c r="K1283" s="43"/>
      <c r="L1283" s="43"/>
      <c r="M1283" s="43"/>
      <c r="N1283" s="43"/>
      <c r="O1283" s="43"/>
      <c r="P1283" s="43"/>
      <c r="Q1283" s="43"/>
      <c r="R1283" s="43"/>
      <c r="S1283" s="43"/>
      <c r="T1283" s="43"/>
      <c r="U1283" s="43"/>
      <c r="V1283" s="41"/>
      <c r="W1283" s="41"/>
      <c r="X1283" s="41"/>
      <c r="Y1283" s="41"/>
      <c r="Z1283" s="41"/>
      <c r="AA1283" s="44"/>
      <c r="AB1283" s="44"/>
      <c r="AC1283" s="43"/>
      <c r="AD1283" s="43"/>
      <c r="AE1283" s="43"/>
    </row>
    <row r="1284" spans="1:31" x14ac:dyDescent="0.35">
      <c r="C1284" s="33"/>
      <c r="D1284" s="34"/>
      <c r="E1284" s="34"/>
      <c r="F1284" s="34"/>
      <c r="G1284" s="34"/>
      <c r="H1284" s="34"/>
      <c r="I1284" s="34"/>
      <c r="J1284" s="34"/>
      <c r="K1284" s="34"/>
      <c r="L1284" s="34"/>
      <c r="M1284" s="34"/>
      <c r="N1284" s="34"/>
      <c r="O1284" s="34"/>
      <c r="AA1284" s="35"/>
      <c r="AB1284" s="35"/>
      <c r="AC1284" s="34"/>
      <c r="AD1284" s="34"/>
      <c r="AE1284" s="34"/>
    </row>
    <row r="1285" spans="1:31" ht="15" thickBot="1" x14ac:dyDescent="0.4">
      <c r="A1285" s="45"/>
      <c r="B1285" s="45"/>
      <c r="C1285" s="46"/>
      <c r="D1285" s="47"/>
      <c r="E1285" s="47"/>
      <c r="F1285" s="47"/>
      <c r="G1285" s="47"/>
      <c r="H1285" s="47"/>
      <c r="I1285" s="47"/>
      <c r="J1285" s="47"/>
      <c r="K1285" s="47"/>
      <c r="L1285" s="47"/>
      <c r="M1285" s="47"/>
      <c r="N1285" s="47"/>
      <c r="O1285" s="47"/>
      <c r="P1285" s="47"/>
      <c r="Q1285" s="47"/>
      <c r="R1285" s="47"/>
      <c r="S1285" s="47"/>
      <c r="T1285" s="45"/>
      <c r="U1285" s="45"/>
      <c r="V1285" s="45"/>
      <c r="W1285" s="45"/>
      <c r="X1285" s="47"/>
      <c r="Y1285" s="45"/>
      <c r="Z1285" s="45"/>
      <c r="AA1285" s="48"/>
      <c r="AB1285" s="48"/>
      <c r="AC1285" s="47"/>
      <c r="AD1285" s="47"/>
      <c r="AE1285" s="47"/>
    </row>
    <row r="1286" spans="1:31" x14ac:dyDescent="0.35">
      <c r="A1286" s="41"/>
      <c r="B1286" s="41"/>
      <c r="C1286" s="42"/>
      <c r="D1286" s="43"/>
      <c r="E1286" s="43"/>
      <c r="F1286" s="43"/>
      <c r="G1286" s="43"/>
      <c r="H1286" s="43"/>
      <c r="I1286" s="43"/>
      <c r="J1286" s="43"/>
      <c r="K1286" s="43"/>
      <c r="L1286" s="43"/>
      <c r="M1286" s="43"/>
      <c r="N1286" s="43"/>
      <c r="O1286" s="43"/>
      <c r="P1286" s="43"/>
      <c r="Q1286" s="43"/>
      <c r="R1286" s="43"/>
      <c r="S1286" s="43"/>
      <c r="T1286" s="43"/>
      <c r="U1286" s="43"/>
      <c r="V1286" s="41"/>
      <c r="W1286" s="41"/>
      <c r="X1286" s="41"/>
      <c r="Y1286" s="41"/>
      <c r="Z1286" s="41"/>
      <c r="AA1286" s="44"/>
      <c r="AB1286" s="44"/>
      <c r="AC1286" s="43"/>
      <c r="AD1286" s="43"/>
      <c r="AE1286" s="43"/>
    </row>
    <row r="1287" spans="1:31" x14ac:dyDescent="0.35">
      <c r="C1287" s="33"/>
      <c r="D1287" s="34"/>
      <c r="E1287" s="34"/>
      <c r="F1287" s="34"/>
      <c r="G1287" s="34"/>
      <c r="H1287" s="34"/>
      <c r="I1287" s="34"/>
      <c r="J1287" s="34"/>
      <c r="K1287" s="34"/>
      <c r="L1287" s="34"/>
      <c r="M1287" s="34"/>
      <c r="N1287" s="34"/>
      <c r="O1287" s="34"/>
      <c r="AA1287" s="35"/>
      <c r="AB1287" s="35"/>
      <c r="AC1287" s="34"/>
      <c r="AD1287" s="34"/>
      <c r="AE1287" s="34"/>
    </row>
    <row r="1288" spans="1:31" ht="15" thickBot="1" x14ac:dyDescent="0.4">
      <c r="A1288" s="45"/>
      <c r="B1288" s="45"/>
      <c r="C1288" s="46"/>
      <c r="D1288" s="47"/>
      <c r="E1288" s="47"/>
      <c r="F1288" s="47"/>
      <c r="G1288" s="47"/>
      <c r="H1288" s="47"/>
      <c r="I1288" s="47"/>
      <c r="J1288" s="47"/>
      <c r="K1288" s="47"/>
      <c r="L1288" s="47"/>
      <c r="M1288" s="47"/>
      <c r="N1288" s="47"/>
      <c r="O1288" s="47"/>
      <c r="P1288" s="47"/>
      <c r="Q1288" s="47"/>
      <c r="R1288" s="47"/>
      <c r="S1288" s="47"/>
      <c r="T1288" s="45"/>
      <c r="U1288" s="45"/>
      <c r="V1288" s="45"/>
      <c r="W1288" s="45"/>
      <c r="X1288" s="47"/>
      <c r="Y1288" s="45"/>
      <c r="Z1288" s="45"/>
      <c r="AA1288" s="48"/>
      <c r="AB1288" s="48"/>
      <c r="AC1288" s="47"/>
      <c r="AD1288" s="47"/>
      <c r="AE1288" s="47"/>
    </row>
    <row r="1289" spans="1:31" x14ac:dyDescent="0.35">
      <c r="A1289" s="41"/>
      <c r="B1289" s="41"/>
      <c r="C1289" s="42"/>
      <c r="D1289" s="43"/>
      <c r="E1289" s="43"/>
      <c r="F1289" s="43"/>
      <c r="G1289" s="43"/>
      <c r="H1289" s="43"/>
      <c r="I1289" s="43"/>
      <c r="J1289" s="43"/>
      <c r="K1289" s="43"/>
      <c r="L1289" s="43"/>
      <c r="M1289" s="43"/>
      <c r="N1289" s="43"/>
      <c r="O1289" s="43"/>
      <c r="P1289" s="43"/>
      <c r="Q1289" s="43"/>
      <c r="R1289" s="43"/>
      <c r="S1289" s="43"/>
      <c r="T1289" s="43"/>
      <c r="U1289" s="43"/>
      <c r="V1289" s="41"/>
      <c r="W1289" s="41"/>
      <c r="X1289" s="41"/>
      <c r="Y1289" s="41"/>
      <c r="Z1289" s="41"/>
      <c r="AA1289" s="44"/>
      <c r="AB1289" s="44"/>
      <c r="AC1289" s="43"/>
      <c r="AD1289" s="43"/>
      <c r="AE1289" s="43"/>
    </row>
    <row r="1290" spans="1:31" x14ac:dyDescent="0.35">
      <c r="C1290" s="33"/>
      <c r="D1290" s="34"/>
      <c r="E1290" s="34"/>
      <c r="F1290" s="34"/>
      <c r="G1290" s="34"/>
      <c r="H1290" s="34"/>
      <c r="I1290" s="34"/>
      <c r="J1290" s="34"/>
      <c r="K1290" s="34"/>
      <c r="L1290" s="34"/>
      <c r="M1290" s="34"/>
      <c r="N1290" s="34"/>
      <c r="O1290" s="34"/>
      <c r="AA1290" s="35"/>
      <c r="AB1290" s="35"/>
      <c r="AC1290" s="34"/>
      <c r="AD1290" s="34"/>
      <c r="AE1290" s="34"/>
    </row>
    <row r="1291" spans="1:31" ht="15" thickBot="1" x14ac:dyDescent="0.4">
      <c r="A1291" s="45"/>
      <c r="B1291" s="45"/>
      <c r="C1291" s="46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  <c r="S1291" s="47"/>
      <c r="T1291" s="45"/>
      <c r="U1291" s="45"/>
      <c r="V1291" s="45"/>
      <c r="W1291" s="45"/>
      <c r="X1291" s="47"/>
      <c r="Y1291" s="45"/>
      <c r="Z1291" s="45"/>
      <c r="AA1291" s="48"/>
      <c r="AB1291" s="48"/>
      <c r="AC1291" s="47"/>
      <c r="AD1291" s="47"/>
      <c r="AE1291" s="47"/>
    </row>
    <row r="1292" spans="1:31" x14ac:dyDescent="0.35">
      <c r="A1292" s="41"/>
      <c r="B1292" s="41"/>
      <c r="C1292" s="42"/>
      <c r="D1292" s="43"/>
      <c r="E1292" s="43"/>
      <c r="F1292" s="43"/>
      <c r="G1292" s="43"/>
      <c r="H1292" s="43"/>
      <c r="I1292" s="43"/>
      <c r="J1292" s="43"/>
      <c r="K1292" s="43"/>
      <c r="L1292" s="43"/>
      <c r="M1292" s="43"/>
      <c r="N1292" s="43"/>
      <c r="O1292" s="43"/>
      <c r="P1292" s="43"/>
      <c r="Q1292" s="43"/>
      <c r="R1292" s="43"/>
      <c r="S1292" s="43"/>
      <c r="T1292" s="43"/>
      <c r="U1292" s="43"/>
      <c r="V1292" s="41"/>
      <c r="W1292" s="41"/>
      <c r="X1292" s="41"/>
      <c r="Y1292" s="41"/>
      <c r="Z1292" s="41"/>
      <c r="AA1292" s="44"/>
      <c r="AB1292" s="44"/>
      <c r="AC1292" s="43"/>
      <c r="AD1292" s="43"/>
      <c r="AE1292" s="43"/>
    </row>
    <row r="1293" spans="1:31" x14ac:dyDescent="0.35">
      <c r="C1293" s="33"/>
      <c r="D1293" s="34"/>
      <c r="E1293" s="34"/>
      <c r="F1293" s="34"/>
      <c r="G1293" s="34"/>
      <c r="H1293" s="34"/>
      <c r="I1293" s="34"/>
      <c r="J1293" s="34"/>
      <c r="K1293" s="34"/>
      <c r="L1293" s="34"/>
      <c r="M1293" s="34"/>
      <c r="N1293" s="34"/>
      <c r="O1293" s="34"/>
      <c r="AA1293" s="35"/>
      <c r="AB1293" s="35"/>
      <c r="AC1293" s="34"/>
      <c r="AD1293" s="34"/>
      <c r="AE1293" s="34"/>
    </row>
    <row r="1294" spans="1:31" ht="15" thickBot="1" x14ac:dyDescent="0.4">
      <c r="A1294" s="45"/>
      <c r="B1294" s="45"/>
      <c r="C1294" s="46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  <c r="S1294" s="47"/>
      <c r="T1294" s="45"/>
      <c r="U1294" s="45"/>
      <c r="V1294" s="45"/>
      <c r="W1294" s="45"/>
      <c r="X1294" s="47"/>
      <c r="Y1294" s="45"/>
      <c r="Z1294" s="45"/>
      <c r="AA1294" s="48"/>
      <c r="AB1294" s="48"/>
      <c r="AC1294" s="47"/>
      <c r="AD1294" s="47"/>
      <c r="AE1294" s="47"/>
    </row>
    <row r="1295" spans="1:31" x14ac:dyDescent="0.35">
      <c r="A1295" s="41"/>
      <c r="B1295" s="41"/>
      <c r="C1295" s="42"/>
      <c r="D1295" s="43"/>
      <c r="E1295" s="43"/>
      <c r="F1295" s="43"/>
      <c r="G1295" s="43"/>
      <c r="H1295" s="43"/>
      <c r="I1295" s="43"/>
      <c r="J1295" s="43"/>
      <c r="K1295" s="43"/>
      <c r="L1295" s="43"/>
      <c r="M1295" s="43"/>
      <c r="N1295" s="43"/>
      <c r="O1295" s="43"/>
      <c r="P1295" s="43"/>
      <c r="Q1295" s="43"/>
      <c r="R1295" s="43"/>
      <c r="S1295" s="43"/>
      <c r="T1295" s="43"/>
      <c r="U1295" s="43"/>
      <c r="V1295" s="41"/>
      <c r="W1295" s="41"/>
      <c r="X1295" s="41"/>
      <c r="Y1295" s="41"/>
      <c r="Z1295" s="41"/>
      <c r="AA1295" s="44"/>
      <c r="AB1295" s="44"/>
      <c r="AC1295" s="43"/>
      <c r="AD1295" s="43"/>
      <c r="AE1295" s="43"/>
    </row>
    <row r="1296" spans="1:31" x14ac:dyDescent="0.35">
      <c r="C1296" s="33"/>
      <c r="D1296" s="34"/>
      <c r="E1296" s="34"/>
      <c r="F1296" s="34"/>
      <c r="G1296" s="34"/>
      <c r="H1296" s="34"/>
      <c r="I1296" s="34"/>
      <c r="J1296" s="34"/>
      <c r="K1296" s="34"/>
      <c r="L1296" s="34"/>
      <c r="M1296" s="34"/>
      <c r="N1296" s="34"/>
      <c r="O1296" s="34"/>
      <c r="AA1296" s="35"/>
      <c r="AB1296" s="35"/>
      <c r="AC1296" s="34"/>
      <c r="AD1296" s="34"/>
      <c r="AE1296" s="34"/>
    </row>
    <row r="1297" spans="1:31" ht="15" thickBot="1" x14ac:dyDescent="0.4">
      <c r="A1297" s="45"/>
      <c r="B1297" s="45"/>
      <c r="C1297" s="46"/>
      <c r="D1297" s="47"/>
      <c r="E1297" s="47"/>
      <c r="F1297" s="47"/>
      <c r="G1297" s="47"/>
      <c r="H1297" s="47"/>
      <c r="I1297" s="47"/>
      <c r="J1297" s="47"/>
      <c r="K1297" s="47"/>
      <c r="L1297" s="47"/>
      <c r="M1297" s="47"/>
      <c r="N1297" s="47"/>
      <c r="O1297" s="47"/>
      <c r="P1297" s="47"/>
      <c r="Q1297" s="47"/>
      <c r="R1297" s="47"/>
      <c r="S1297" s="47"/>
      <c r="T1297" s="45"/>
      <c r="U1297" s="45"/>
      <c r="V1297" s="45"/>
      <c r="W1297" s="45"/>
      <c r="X1297" s="47"/>
      <c r="Y1297" s="45"/>
      <c r="Z1297" s="45"/>
      <c r="AA1297" s="48"/>
      <c r="AB1297" s="48"/>
      <c r="AC1297" s="47"/>
      <c r="AD1297" s="47"/>
      <c r="AE1297" s="47"/>
    </row>
    <row r="1298" spans="1:31" x14ac:dyDescent="0.35">
      <c r="A1298" s="41"/>
      <c r="B1298" s="41"/>
      <c r="C1298" s="42"/>
      <c r="D1298" s="43"/>
      <c r="E1298" s="43"/>
      <c r="F1298" s="43"/>
      <c r="G1298" s="43"/>
      <c r="H1298" s="43"/>
      <c r="I1298" s="43"/>
      <c r="J1298" s="43"/>
      <c r="K1298" s="43"/>
      <c r="L1298" s="43"/>
      <c r="M1298" s="43"/>
      <c r="N1298" s="43"/>
      <c r="O1298" s="43"/>
      <c r="P1298" s="43"/>
      <c r="Q1298" s="43"/>
      <c r="R1298" s="43"/>
      <c r="S1298" s="43"/>
      <c r="T1298" s="43"/>
      <c r="U1298" s="43"/>
      <c r="V1298" s="41"/>
      <c r="W1298" s="41"/>
      <c r="X1298" s="41"/>
      <c r="Y1298" s="41"/>
      <c r="Z1298" s="41"/>
      <c r="AA1298" s="44"/>
      <c r="AB1298" s="44"/>
      <c r="AC1298" s="43"/>
      <c r="AD1298" s="43"/>
      <c r="AE1298" s="43"/>
    </row>
    <row r="1299" spans="1:31" x14ac:dyDescent="0.35">
      <c r="C1299" s="33"/>
      <c r="D1299" s="34"/>
      <c r="E1299" s="34"/>
      <c r="F1299" s="34"/>
      <c r="G1299" s="34"/>
      <c r="H1299" s="34"/>
      <c r="I1299" s="34"/>
      <c r="J1299" s="34"/>
      <c r="K1299" s="34"/>
      <c r="L1299" s="34"/>
      <c r="M1299" s="34"/>
      <c r="N1299" s="34"/>
      <c r="O1299" s="34"/>
      <c r="AA1299" s="35"/>
      <c r="AB1299" s="35"/>
      <c r="AC1299" s="34"/>
      <c r="AD1299" s="34"/>
      <c r="AE1299" s="34"/>
    </row>
    <row r="1300" spans="1:31" ht="15" thickBot="1" x14ac:dyDescent="0.4">
      <c r="A1300" s="45"/>
      <c r="B1300" s="45"/>
      <c r="C1300" s="46"/>
      <c r="D1300" s="47"/>
      <c r="E1300" s="47"/>
      <c r="F1300" s="47"/>
      <c r="G1300" s="47"/>
      <c r="H1300" s="47"/>
      <c r="I1300" s="47"/>
      <c r="J1300" s="47"/>
      <c r="K1300" s="47"/>
      <c r="L1300" s="47"/>
      <c r="M1300" s="47"/>
      <c r="N1300" s="47"/>
      <c r="O1300" s="47"/>
      <c r="P1300" s="47"/>
      <c r="Q1300" s="47"/>
      <c r="R1300" s="47"/>
      <c r="S1300" s="47"/>
      <c r="T1300" s="45"/>
      <c r="U1300" s="45"/>
      <c r="V1300" s="45"/>
      <c r="W1300" s="45"/>
      <c r="X1300" s="47"/>
      <c r="Y1300" s="45"/>
      <c r="Z1300" s="45"/>
      <c r="AA1300" s="48"/>
      <c r="AB1300" s="48"/>
      <c r="AC1300" s="47"/>
      <c r="AD1300" s="47"/>
      <c r="AE1300" s="47"/>
    </row>
    <row r="1301" spans="1:31" x14ac:dyDescent="0.35">
      <c r="A1301" s="41"/>
      <c r="B1301" s="41"/>
      <c r="C1301" s="42"/>
      <c r="D1301" s="43"/>
      <c r="E1301" s="43"/>
      <c r="F1301" s="43"/>
      <c r="G1301" s="43"/>
      <c r="H1301" s="43"/>
      <c r="I1301" s="43"/>
      <c r="J1301" s="43"/>
      <c r="K1301" s="43"/>
      <c r="L1301" s="43"/>
      <c r="M1301" s="43"/>
      <c r="N1301" s="43"/>
      <c r="O1301" s="43"/>
      <c r="P1301" s="43"/>
      <c r="Q1301" s="43"/>
      <c r="R1301" s="43"/>
      <c r="S1301" s="43"/>
      <c r="T1301" s="43"/>
      <c r="U1301" s="43"/>
      <c r="V1301" s="41"/>
      <c r="W1301" s="41"/>
      <c r="X1301" s="41"/>
      <c r="Y1301" s="41"/>
      <c r="Z1301" s="41"/>
      <c r="AA1301" s="44"/>
      <c r="AB1301" s="44"/>
      <c r="AC1301" s="43"/>
      <c r="AD1301" s="43"/>
      <c r="AE1301" s="43"/>
    </row>
    <row r="1302" spans="1:31" x14ac:dyDescent="0.35">
      <c r="C1302" s="33"/>
      <c r="D1302" s="34"/>
      <c r="E1302" s="34"/>
      <c r="F1302" s="34"/>
      <c r="G1302" s="34"/>
      <c r="H1302" s="34"/>
      <c r="I1302" s="34"/>
      <c r="J1302" s="34"/>
      <c r="K1302" s="34"/>
      <c r="L1302" s="34"/>
      <c r="M1302" s="34"/>
      <c r="N1302" s="34"/>
      <c r="O1302" s="34"/>
      <c r="AA1302" s="35"/>
      <c r="AB1302" s="35"/>
      <c r="AC1302" s="34"/>
      <c r="AD1302" s="34"/>
      <c r="AE1302" s="34"/>
    </row>
    <row r="1303" spans="1:31" ht="15" thickBot="1" x14ac:dyDescent="0.4">
      <c r="A1303" s="45"/>
      <c r="B1303" s="45"/>
      <c r="C1303" s="46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  <c r="S1303" s="47"/>
      <c r="T1303" s="45"/>
      <c r="U1303" s="45"/>
      <c r="V1303" s="45"/>
      <c r="W1303" s="45"/>
      <c r="X1303" s="47"/>
      <c r="Y1303" s="45"/>
      <c r="Z1303" s="45"/>
      <c r="AA1303" s="48"/>
      <c r="AB1303" s="48"/>
      <c r="AC1303" s="47"/>
      <c r="AD1303" s="47"/>
      <c r="AE1303" s="47"/>
    </row>
    <row r="1304" spans="1:31" x14ac:dyDescent="0.35">
      <c r="A1304" s="41"/>
      <c r="B1304" s="41"/>
      <c r="C1304" s="42"/>
      <c r="D1304" s="43"/>
      <c r="E1304" s="43"/>
      <c r="F1304" s="43"/>
      <c r="G1304" s="43"/>
      <c r="H1304" s="43"/>
      <c r="I1304" s="43"/>
      <c r="J1304" s="43"/>
      <c r="K1304" s="43"/>
      <c r="L1304" s="43"/>
      <c r="M1304" s="43"/>
      <c r="N1304" s="43"/>
      <c r="O1304" s="43"/>
      <c r="P1304" s="43"/>
      <c r="Q1304" s="43"/>
      <c r="R1304" s="43"/>
      <c r="S1304" s="43"/>
      <c r="T1304" s="43"/>
      <c r="U1304" s="43"/>
      <c r="V1304" s="41"/>
      <c r="W1304" s="41"/>
      <c r="X1304" s="41"/>
      <c r="Y1304" s="41"/>
      <c r="Z1304" s="41"/>
      <c r="AA1304" s="44"/>
      <c r="AB1304" s="44"/>
      <c r="AC1304" s="43"/>
      <c r="AD1304" s="43"/>
      <c r="AE1304" s="43"/>
    </row>
    <row r="1305" spans="1:31" x14ac:dyDescent="0.35">
      <c r="C1305" s="33"/>
      <c r="D1305" s="34"/>
      <c r="E1305" s="34"/>
      <c r="F1305" s="34"/>
      <c r="G1305" s="34"/>
      <c r="H1305" s="34"/>
      <c r="I1305" s="34"/>
      <c r="J1305" s="34"/>
      <c r="K1305" s="34"/>
      <c r="L1305" s="34"/>
      <c r="M1305" s="34"/>
      <c r="N1305" s="34"/>
      <c r="O1305" s="34"/>
      <c r="AA1305" s="35"/>
      <c r="AB1305" s="35"/>
      <c r="AC1305" s="34"/>
      <c r="AD1305" s="34"/>
      <c r="AE1305" s="34"/>
    </row>
    <row r="1306" spans="1:31" ht="15" thickBot="1" x14ac:dyDescent="0.4">
      <c r="A1306" s="45"/>
      <c r="B1306" s="45"/>
      <c r="C1306" s="46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  <c r="S1306" s="47"/>
      <c r="T1306" s="45"/>
      <c r="U1306" s="45"/>
      <c r="V1306" s="45"/>
      <c r="W1306" s="45"/>
      <c r="X1306" s="47"/>
      <c r="Y1306" s="45"/>
      <c r="Z1306" s="45"/>
      <c r="AA1306" s="48"/>
      <c r="AB1306" s="48"/>
      <c r="AC1306" s="47"/>
      <c r="AD1306" s="47"/>
      <c r="AE1306" s="47"/>
    </row>
    <row r="1307" spans="1:31" x14ac:dyDescent="0.35">
      <c r="A1307" s="41"/>
      <c r="B1307" s="41"/>
      <c r="C1307" s="42"/>
      <c r="D1307" s="43"/>
      <c r="E1307" s="43"/>
      <c r="F1307" s="43"/>
      <c r="G1307" s="43"/>
      <c r="H1307" s="43"/>
      <c r="I1307" s="43"/>
      <c r="J1307" s="43"/>
      <c r="K1307" s="43"/>
      <c r="L1307" s="43"/>
      <c r="M1307" s="43"/>
      <c r="N1307" s="43"/>
      <c r="O1307" s="43"/>
      <c r="P1307" s="43"/>
      <c r="Q1307" s="43"/>
      <c r="R1307" s="43"/>
      <c r="S1307" s="43"/>
      <c r="T1307" s="43"/>
      <c r="U1307" s="43"/>
      <c r="V1307" s="41"/>
      <c r="W1307" s="41"/>
      <c r="X1307" s="41"/>
      <c r="Y1307" s="41"/>
      <c r="Z1307" s="41"/>
      <c r="AA1307" s="44"/>
      <c r="AB1307" s="44"/>
      <c r="AC1307" s="43"/>
      <c r="AD1307" s="43"/>
      <c r="AE1307" s="43"/>
    </row>
    <row r="1308" spans="1:31" x14ac:dyDescent="0.35">
      <c r="C1308" s="33"/>
      <c r="D1308" s="34"/>
      <c r="E1308" s="34"/>
      <c r="F1308" s="34"/>
      <c r="G1308" s="34"/>
      <c r="H1308" s="34"/>
      <c r="I1308" s="34"/>
      <c r="J1308" s="34"/>
      <c r="K1308" s="34"/>
      <c r="L1308" s="34"/>
      <c r="M1308" s="34"/>
      <c r="N1308" s="34"/>
      <c r="O1308" s="34"/>
      <c r="AA1308" s="35"/>
      <c r="AB1308" s="35"/>
      <c r="AC1308" s="34"/>
      <c r="AD1308" s="34"/>
      <c r="AE1308" s="34"/>
    </row>
    <row r="1309" spans="1:31" ht="15" thickBot="1" x14ac:dyDescent="0.4">
      <c r="A1309" s="45"/>
      <c r="B1309" s="45"/>
      <c r="C1309" s="46"/>
      <c r="D1309" s="47"/>
      <c r="E1309" s="47"/>
      <c r="F1309" s="47"/>
      <c r="G1309" s="47"/>
      <c r="H1309" s="47"/>
      <c r="I1309" s="47"/>
      <c r="J1309" s="47"/>
      <c r="K1309" s="47"/>
      <c r="L1309" s="47"/>
      <c r="M1309" s="47"/>
      <c r="N1309" s="47"/>
      <c r="O1309" s="47"/>
      <c r="P1309" s="47"/>
      <c r="Q1309" s="47"/>
      <c r="R1309" s="47"/>
      <c r="S1309" s="47"/>
      <c r="T1309" s="45"/>
      <c r="U1309" s="45"/>
      <c r="V1309" s="45"/>
      <c r="W1309" s="45"/>
      <c r="X1309" s="47"/>
      <c r="Y1309" s="45"/>
      <c r="Z1309" s="45"/>
      <c r="AA1309" s="48"/>
      <c r="AB1309" s="48"/>
      <c r="AC1309" s="47"/>
      <c r="AD1309" s="47"/>
      <c r="AE1309" s="47"/>
    </row>
    <row r="1310" spans="1:31" x14ac:dyDescent="0.35">
      <c r="A1310" s="41"/>
      <c r="B1310" s="41"/>
      <c r="C1310" s="42"/>
      <c r="D1310" s="43"/>
      <c r="E1310" s="43"/>
      <c r="F1310" s="43"/>
      <c r="G1310" s="43"/>
      <c r="H1310" s="43"/>
      <c r="I1310" s="43"/>
      <c r="J1310" s="43"/>
      <c r="K1310" s="43"/>
      <c r="L1310" s="43"/>
      <c r="M1310" s="43"/>
      <c r="N1310" s="43"/>
      <c r="O1310" s="43"/>
      <c r="P1310" s="43"/>
      <c r="Q1310" s="43"/>
      <c r="R1310" s="43"/>
      <c r="S1310" s="43"/>
      <c r="T1310" s="43"/>
      <c r="U1310" s="43"/>
      <c r="V1310" s="41"/>
      <c r="W1310" s="41"/>
      <c r="X1310" s="41"/>
      <c r="Y1310" s="41"/>
      <c r="Z1310" s="41"/>
      <c r="AA1310" s="44"/>
      <c r="AB1310" s="44"/>
      <c r="AC1310" s="43"/>
      <c r="AD1310" s="43"/>
      <c r="AE1310" s="43"/>
    </row>
    <row r="1311" spans="1:31" x14ac:dyDescent="0.35">
      <c r="C1311" s="33"/>
      <c r="D1311" s="34"/>
      <c r="E1311" s="34"/>
      <c r="F1311" s="34"/>
      <c r="G1311" s="34"/>
      <c r="H1311" s="34"/>
      <c r="I1311" s="34"/>
      <c r="J1311" s="34"/>
      <c r="K1311" s="34"/>
      <c r="L1311" s="34"/>
      <c r="M1311" s="34"/>
      <c r="N1311" s="34"/>
      <c r="O1311" s="34"/>
      <c r="AA1311" s="35"/>
      <c r="AB1311" s="35"/>
      <c r="AC1311" s="34"/>
      <c r="AD1311" s="34"/>
      <c r="AE1311" s="34"/>
    </row>
    <row r="1312" spans="1:31" ht="15" thickBot="1" x14ac:dyDescent="0.4">
      <c r="A1312" s="45"/>
      <c r="B1312" s="45"/>
      <c r="C1312" s="46"/>
      <c r="D1312" s="47"/>
      <c r="E1312" s="47"/>
      <c r="F1312" s="47"/>
      <c r="G1312" s="47"/>
      <c r="H1312" s="47"/>
      <c r="I1312" s="47"/>
      <c r="J1312" s="47"/>
      <c r="K1312" s="47"/>
      <c r="L1312" s="47"/>
      <c r="M1312" s="47"/>
      <c r="N1312" s="47"/>
      <c r="O1312" s="47"/>
      <c r="P1312" s="47"/>
      <c r="Q1312" s="47"/>
      <c r="R1312" s="47"/>
      <c r="S1312" s="47"/>
      <c r="T1312" s="45"/>
      <c r="U1312" s="45"/>
      <c r="V1312" s="45"/>
      <c r="W1312" s="45"/>
      <c r="X1312" s="47"/>
      <c r="Y1312" s="45"/>
      <c r="Z1312" s="45"/>
      <c r="AA1312" s="48"/>
      <c r="AB1312" s="48"/>
      <c r="AC1312" s="47"/>
      <c r="AD1312" s="47"/>
      <c r="AE1312" s="47"/>
    </row>
    <row r="1313" spans="1:31" x14ac:dyDescent="0.35">
      <c r="A1313" s="41"/>
      <c r="B1313" s="41"/>
      <c r="C1313" s="42"/>
      <c r="D1313" s="43"/>
      <c r="E1313" s="43"/>
      <c r="F1313" s="43"/>
      <c r="G1313" s="43"/>
      <c r="H1313" s="43"/>
      <c r="I1313" s="43"/>
      <c r="J1313" s="43"/>
      <c r="K1313" s="43"/>
      <c r="L1313" s="43"/>
      <c r="M1313" s="43"/>
      <c r="N1313" s="43"/>
      <c r="O1313" s="43"/>
      <c r="P1313" s="43"/>
      <c r="Q1313" s="43"/>
      <c r="R1313" s="43"/>
      <c r="S1313" s="43"/>
      <c r="T1313" s="43"/>
      <c r="U1313" s="43"/>
      <c r="V1313" s="41"/>
      <c r="W1313" s="41"/>
      <c r="X1313" s="41"/>
      <c r="Y1313" s="41"/>
      <c r="Z1313" s="41"/>
      <c r="AA1313" s="44"/>
      <c r="AB1313" s="44"/>
      <c r="AC1313" s="43"/>
      <c r="AD1313" s="43"/>
      <c r="AE1313" s="43"/>
    </row>
    <row r="1314" spans="1:31" x14ac:dyDescent="0.35">
      <c r="C1314" s="33"/>
      <c r="D1314" s="34"/>
      <c r="E1314" s="34"/>
      <c r="F1314" s="34"/>
      <c r="G1314" s="34"/>
      <c r="H1314" s="34"/>
      <c r="I1314" s="34"/>
      <c r="J1314" s="34"/>
      <c r="K1314" s="34"/>
      <c r="L1314" s="34"/>
      <c r="M1314" s="34"/>
      <c r="N1314" s="34"/>
      <c r="O1314" s="34"/>
      <c r="AA1314" s="35"/>
      <c r="AB1314" s="35"/>
      <c r="AC1314" s="34"/>
      <c r="AD1314" s="34"/>
      <c r="AE1314" s="34"/>
    </row>
    <row r="1315" spans="1:31" ht="15" thickBot="1" x14ac:dyDescent="0.4">
      <c r="A1315" s="45"/>
      <c r="B1315" s="45"/>
      <c r="C1315" s="46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  <c r="S1315" s="47"/>
      <c r="T1315" s="45"/>
      <c r="U1315" s="45"/>
      <c r="V1315" s="45"/>
      <c r="W1315" s="45"/>
      <c r="X1315" s="47"/>
      <c r="Y1315" s="45"/>
      <c r="Z1315" s="45"/>
      <c r="AA1315" s="48"/>
      <c r="AB1315" s="48"/>
      <c r="AC1315" s="47"/>
      <c r="AD1315" s="47"/>
      <c r="AE1315" s="47"/>
    </row>
    <row r="1316" spans="1:31" x14ac:dyDescent="0.35">
      <c r="A1316" s="41"/>
      <c r="B1316" s="41"/>
      <c r="C1316" s="42"/>
      <c r="D1316" s="43"/>
      <c r="E1316" s="43"/>
      <c r="F1316" s="43"/>
      <c r="G1316" s="43"/>
      <c r="H1316" s="43"/>
      <c r="I1316" s="43"/>
      <c r="J1316" s="43"/>
      <c r="K1316" s="43"/>
      <c r="L1316" s="43"/>
      <c r="M1316" s="43"/>
      <c r="N1316" s="43"/>
      <c r="O1316" s="43"/>
      <c r="P1316" s="43"/>
      <c r="Q1316" s="43"/>
      <c r="R1316" s="43"/>
      <c r="S1316" s="43"/>
      <c r="T1316" s="43"/>
      <c r="U1316" s="43"/>
      <c r="V1316" s="41"/>
      <c r="W1316" s="41"/>
      <c r="X1316" s="41"/>
      <c r="Y1316" s="41"/>
      <c r="Z1316" s="41"/>
      <c r="AA1316" s="44"/>
      <c r="AB1316" s="44"/>
      <c r="AC1316" s="43"/>
      <c r="AD1316" s="43"/>
      <c r="AE1316" s="43"/>
    </row>
    <row r="1317" spans="1:31" x14ac:dyDescent="0.35">
      <c r="C1317" s="33"/>
      <c r="D1317" s="34"/>
      <c r="E1317" s="34"/>
      <c r="F1317" s="34"/>
      <c r="G1317" s="34"/>
      <c r="H1317" s="34"/>
      <c r="I1317" s="34"/>
      <c r="J1317" s="34"/>
      <c r="K1317" s="34"/>
      <c r="L1317" s="34"/>
      <c r="M1317" s="34"/>
      <c r="N1317" s="34"/>
      <c r="O1317" s="34"/>
      <c r="AA1317" s="35"/>
      <c r="AB1317" s="35"/>
      <c r="AC1317" s="34"/>
      <c r="AD1317" s="34"/>
      <c r="AE1317" s="34"/>
    </row>
    <row r="1318" spans="1:31" ht="15" thickBot="1" x14ac:dyDescent="0.4">
      <c r="A1318" s="45"/>
      <c r="B1318" s="45"/>
      <c r="C1318" s="46"/>
      <c r="D1318" s="47"/>
      <c r="E1318" s="47"/>
      <c r="F1318" s="47"/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  <c r="S1318" s="47"/>
      <c r="T1318" s="45"/>
      <c r="U1318" s="45"/>
      <c r="V1318" s="45"/>
      <c r="W1318" s="45"/>
      <c r="X1318" s="47"/>
      <c r="Y1318" s="45"/>
      <c r="Z1318" s="45"/>
      <c r="AA1318" s="48"/>
      <c r="AB1318" s="48"/>
      <c r="AC1318" s="47"/>
      <c r="AD1318" s="47"/>
      <c r="AE1318" s="47"/>
    </row>
    <row r="1319" spans="1:31" x14ac:dyDescent="0.35">
      <c r="A1319" s="41"/>
      <c r="B1319" s="41"/>
      <c r="C1319" s="42"/>
      <c r="D1319" s="43"/>
      <c r="E1319" s="43"/>
      <c r="F1319" s="43"/>
      <c r="G1319" s="43"/>
      <c r="H1319" s="43"/>
      <c r="I1319" s="43"/>
      <c r="J1319" s="43"/>
      <c r="K1319" s="43"/>
      <c r="L1319" s="43"/>
      <c r="M1319" s="43"/>
      <c r="N1319" s="43"/>
      <c r="O1319" s="43"/>
      <c r="P1319" s="43"/>
      <c r="Q1319" s="43"/>
      <c r="R1319" s="43"/>
      <c r="S1319" s="43"/>
      <c r="T1319" s="43"/>
      <c r="U1319" s="43"/>
      <c r="V1319" s="41"/>
      <c r="W1319" s="41"/>
      <c r="X1319" s="41"/>
      <c r="Y1319" s="41"/>
      <c r="Z1319" s="41"/>
      <c r="AA1319" s="44"/>
      <c r="AB1319" s="44"/>
      <c r="AC1319" s="43"/>
      <c r="AD1319" s="43"/>
      <c r="AE1319" s="43"/>
    </row>
    <row r="1320" spans="1:31" x14ac:dyDescent="0.35">
      <c r="C1320" s="33"/>
      <c r="D1320" s="34"/>
      <c r="E1320" s="34"/>
      <c r="F1320" s="34"/>
      <c r="G1320" s="34"/>
      <c r="H1320" s="34"/>
      <c r="I1320" s="34"/>
      <c r="J1320" s="34"/>
      <c r="K1320" s="34"/>
      <c r="L1320" s="34"/>
      <c r="M1320" s="34"/>
      <c r="N1320" s="34"/>
      <c r="O1320" s="34"/>
      <c r="AA1320" s="35"/>
      <c r="AB1320" s="35"/>
      <c r="AC1320" s="34"/>
      <c r="AD1320" s="34"/>
      <c r="AE1320" s="34"/>
    </row>
    <row r="1321" spans="1:31" ht="15" thickBot="1" x14ac:dyDescent="0.4">
      <c r="A1321" s="45"/>
      <c r="B1321" s="45"/>
      <c r="C1321" s="46"/>
      <c r="D1321" s="47"/>
      <c r="E1321" s="47"/>
      <c r="F1321" s="47"/>
      <c r="G1321" s="47"/>
      <c r="H1321" s="47"/>
      <c r="I1321" s="47"/>
      <c r="J1321" s="47"/>
      <c r="K1321" s="47"/>
      <c r="L1321" s="47"/>
      <c r="M1321" s="47"/>
      <c r="N1321" s="47"/>
      <c r="O1321" s="47"/>
      <c r="P1321" s="47"/>
      <c r="Q1321" s="47"/>
      <c r="R1321" s="47"/>
      <c r="S1321" s="47"/>
      <c r="T1321" s="45"/>
      <c r="U1321" s="45"/>
      <c r="V1321" s="45"/>
      <c r="W1321" s="45"/>
      <c r="X1321" s="47"/>
      <c r="Y1321" s="45"/>
      <c r="Z1321" s="45"/>
      <c r="AA1321" s="48"/>
      <c r="AB1321" s="48"/>
      <c r="AC1321" s="47"/>
      <c r="AD1321" s="47"/>
      <c r="AE1321" s="47"/>
    </row>
    <row r="1322" spans="1:31" x14ac:dyDescent="0.35">
      <c r="A1322" s="41"/>
      <c r="B1322" s="41"/>
      <c r="C1322" s="42"/>
      <c r="D1322" s="43"/>
      <c r="E1322" s="43"/>
      <c r="F1322" s="43"/>
      <c r="G1322" s="43"/>
      <c r="H1322" s="43"/>
      <c r="I1322" s="43"/>
      <c r="J1322" s="43"/>
      <c r="K1322" s="43"/>
      <c r="L1322" s="43"/>
      <c r="M1322" s="43"/>
      <c r="N1322" s="43"/>
      <c r="O1322" s="43"/>
      <c r="P1322" s="43"/>
      <c r="Q1322" s="43"/>
      <c r="R1322" s="43"/>
      <c r="S1322" s="43"/>
      <c r="T1322" s="43"/>
      <c r="U1322" s="43"/>
      <c r="V1322" s="41"/>
      <c r="W1322" s="41"/>
      <c r="X1322" s="41"/>
      <c r="Y1322" s="41"/>
      <c r="Z1322" s="41"/>
      <c r="AA1322" s="44"/>
      <c r="AB1322" s="44"/>
      <c r="AC1322" s="43"/>
      <c r="AD1322" s="43"/>
      <c r="AE1322" s="43"/>
    </row>
    <row r="1323" spans="1:31" x14ac:dyDescent="0.35">
      <c r="C1323" s="33"/>
      <c r="D1323" s="34"/>
      <c r="E1323" s="34"/>
      <c r="F1323" s="34"/>
      <c r="G1323" s="34"/>
      <c r="H1323" s="34"/>
      <c r="I1323" s="34"/>
      <c r="J1323" s="34"/>
      <c r="K1323" s="34"/>
      <c r="L1323" s="34"/>
      <c r="M1323" s="34"/>
      <c r="N1323" s="34"/>
      <c r="O1323" s="34"/>
      <c r="AA1323" s="35"/>
      <c r="AB1323" s="35"/>
      <c r="AC1323" s="34"/>
      <c r="AD1323" s="34"/>
      <c r="AE1323" s="34"/>
    </row>
    <row r="1324" spans="1:31" ht="15" thickBot="1" x14ac:dyDescent="0.4">
      <c r="A1324" s="45"/>
      <c r="B1324" s="45"/>
      <c r="C1324" s="46"/>
      <c r="D1324" s="47"/>
      <c r="E1324" s="47"/>
      <c r="F1324" s="47"/>
      <c r="G1324" s="47"/>
      <c r="H1324" s="47"/>
      <c r="I1324" s="47"/>
      <c r="J1324" s="47"/>
      <c r="K1324" s="47"/>
      <c r="L1324" s="47"/>
      <c r="M1324" s="47"/>
      <c r="N1324" s="47"/>
      <c r="O1324" s="47"/>
      <c r="P1324" s="47"/>
      <c r="Q1324" s="47"/>
      <c r="R1324" s="47"/>
      <c r="S1324" s="47"/>
      <c r="T1324" s="45"/>
      <c r="U1324" s="45"/>
      <c r="V1324" s="45"/>
      <c r="W1324" s="45"/>
      <c r="X1324" s="47"/>
      <c r="Y1324" s="45"/>
      <c r="Z1324" s="45"/>
      <c r="AA1324" s="48"/>
      <c r="AB1324" s="48"/>
      <c r="AC1324" s="47"/>
      <c r="AD1324" s="47"/>
      <c r="AE1324" s="47"/>
    </row>
    <row r="1325" spans="1:31" x14ac:dyDescent="0.35">
      <c r="A1325" s="41"/>
      <c r="B1325" s="41"/>
      <c r="C1325" s="42"/>
      <c r="D1325" s="43"/>
      <c r="E1325" s="43"/>
      <c r="F1325" s="43"/>
      <c r="G1325" s="43"/>
      <c r="H1325" s="43"/>
      <c r="I1325" s="43"/>
      <c r="J1325" s="43"/>
      <c r="K1325" s="43"/>
      <c r="L1325" s="43"/>
      <c r="M1325" s="43"/>
      <c r="N1325" s="43"/>
      <c r="O1325" s="43"/>
      <c r="P1325" s="43"/>
      <c r="Q1325" s="43"/>
      <c r="R1325" s="43"/>
      <c r="S1325" s="43"/>
      <c r="T1325" s="43"/>
      <c r="U1325" s="43"/>
      <c r="V1325" s="41"/>
      <c r="W1325" s="41"/>
      <c r="X1325" s="41"/>
      <c r="Y1325" s="41"/>
      <c r="Z1325" s="41"/>
      <c r="AA1325" s="44"/>
      <c r="AB1325" s="44"/>
      <c r="AC1325" s="43"/>
      <c r="AD1325" s="43"/>
      <c r="AE1325" s="43"/>
    </row>
    <row r="1326" spans="1:31" x14ac:dyDescent="0.35">
      <c r="C1326" s="33"/>
      <c r="D1326" s="34"/>
      <c r="E1326" s="34"/>
      <c r="F1326" s="34"/>
      <c r="G1326" s="34"/>
      <c r="H1326" s="34"/>
      <c r="I1326" s="34"/>
      <c r="J1326" s="34"/>
      <c r="K1326" s="34"/>
      <c r="L1326" s="34"/>
      <c r="M1326" s="34"/>
      <c r="N1326" s="34"/>
      <c r="O1326" s="34"/>
      <c r="AA1326" s="35"/>
      <c r="AB1326" s="35"/>
      <c r="AC1326" s="34"/>
      <c r="AD1326" s="34"/>
      <c r="AE1326" s="34"/>
    </row>
    <row r="1327" spans="1:31" ht="15" thickBot="1" x14ac:dyDescent="0.4">
      <c r="A1327" s="45"/>
      <c r="B1327" s="45"/>
      <c r="C1327" s="46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  <c r="S1327" s="47"/>
      <c r="T1327" s="45"/>
      <c r="U1327" s="45"/>
      <c r="V1327" s="45"/>
      <c r="W1327" s="45"/>
      <c r="X1327" s="47"/>
      <c r="Y1327" s="45"/>
      <c r="Z1327" s="45"/>
      <c r="AA1327" s="48"/>
      <c r="AB1327" s="48"/>
      <c r="AC1327" s="47"/>
      <c r="AD1327" s="47"/>
      <c r="AE1327" s="47"/>
    </row>
    <row r="1328" spans="1:31" x14ac:dyDescent="0.35">
      <c r="A1328" s="41"/>
      <c r="B1328" s="41"/>
      <c r="C1328" s="42"/>
      <c r="D1328" s="43"/>
      <c r="E1328" s="43"/>
      <c r="F1328" s="43"/>
      <c r="G1328" s="43"/>
      <c r="H1328" s="43"/>
      <c r="I1328" s="43"/>
      <c r="J1328" s="43"/>
      <c r="K1328" s="43"/>
      <c r="L1328" s="43"/>
      <c r="M1328" s="43"/>
      <c r="N1328" s="43"/>
      <c r="O1328" s="43"/>
      <c r="P1328" s="43"/>
      <c r="Q1328" s="43"/>
      <c r="R1328" s="43"/>
      <c r="S1328" s="43"/>
      <c r="T1328" s="43"/>
      <c r="U1328" s="43"/>
      <c r="V1328" s="41"/>
      <c r="W1328" s="41"/>
      <c r="X1328" s="41"/>
      <c r="Y1328" s="41"/>
      <c r="Z1328" s="41"/>
      <c r="AA1328" s="44"/>
      <c r="AB1328" s="44"/>
      <c r="AC1328" s="43"/>
      <c r="AD1328" s="43"/>
      <c r="AE1328" s="43"/>
    </row>
    <row r="1329" spans="1:31" x14ac:dyDescent="0.35">
      <c r="C1329" s="33"/>
      <c r="D1329" s="34"/>
      <c r="E1329" s="34"/>
      <c r="F1329" s="34"/>
      <c r="G1329" s="34"/>
      <c r="H1329" s="34"/>
      <c r="I1329" s="34"/>
      <c r="J1329" s="34"/>
      <c r="K1329" s="34"/>
      <c r="L1329" s="34"/>
      <c r="M1329" s="34"/>
      <c r="N1329" s="34"/>
      <c r="O1329" s="34"/>
      <c r="AA1329" s="35"/>
      <c r="AB1329" s="35"/>
      <c r="AC1329" s="34"/>
      <c r="AD1329" s="34"/>
      <c r="AE1329" s="34"/>
    </row>
    <row r="1330" spans="1:31" ht="15" thickBot="1" x14ac:dyDescent="0.4">
      <c r="A1330" s="45"/>
      <c r="B1330" s="45"/>
      <c r="C1330" s="46"/>
      <c r="D1330" s="47"/>
      <c r="E1330" s="47"/>
      <c r="F1330" s="47"/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  <c r="S1330" s="47"/>
      <c r="T1330" s="45"/>
      <c r="U1330" s="45"/>
      <c r="V1330" s="45"/>
      <c r="W1330" s="45"/>
      <c r="X1330" s="47"/>
      <c r="Y1330" s="45"/>
      <c r="Z1330" s="45"/>
      <c r="AA1330" s="48"/>
      <c r="AB1330" s="48"/>
      <c r="AC1330" s="47"/>
      <c r="AD1330" s="47"/>
      <c r="AE1330" s="47"/>
    </row>
    <row r="1331" spans="1:31" x14ac:dyDescent="0.35">
      <c r="A1331" s="41"/>
      <c r="B1331" s="41"/>
      <c r="C1331" s="42"/>
      <c r="D1331" s="43"/>
      <c r="E1331" s="43"/>
      <c r="F1331" s="43"/>
      <c r="G1331" s="43"/>
      <c r="H1331" s="43"/>
      <c r="I1331" s="43"/>
      <c r="J1331" s="43"/>
      <c r="K1331" s="43"/>
      <c r="L1331" s="43"/>
      <c r="M1331" s="43"/>
      <c r="N1331" s="43"/>
      <c r="O1331" s="43"/>
      <c r="P1331" s="43"/>
      <c r="Q1331" s="43"/>
      <c r="R1331" s="43"/>
      <c r="S1331" s="43"/>
      <c r="T1331" s="43"/>
      <c r="U1331" s="43"/>
      <c r="V1331" s="41"/>
      <c r="W1331" s="41"/>
      <c r="X1331" s="41"/>
      <c r="Y1331" s="41"/>
      <c r="Z1331" s="41"/>
      <c r="AA1331" s="44"/>
      <c r="AB1331" s="44"/>
      <c r="AC1331" s="43"/>
      <c r="AD1331" s="43"/>
      <c r="AE1331" s="43"/>
    </row>
    <row r="1332" spans="1:31" x14ac:dyDescent="0.35">
      <c r="C1332" s="33"/>
      <c r="D1332" s="34"/>
      <c r="E1332" s="34"/>
      <c r="F1332" s="34"/>
      <c r="G1332" s="34"/>
      <c r="H1332" s="34"/>
      <c r="I1332" s="34"/>
      <c r="J1332" s="34"/>
      <c r="K1332" s="34"/>
      <c r="L1332" s="34"/>
      <c r="M1332" s="34"/>
      <c r="N1332" s="34"/>
      <c r="O1332" s="34"/>
      <c r="AA1332" s="35"/>
      <c r="AB1332" s="35"/>
      <c r="AC1332" s="34"/>
      <c r="AD1332" s="34"/>
      <c r="AE1332" s="34"/>
    </row>
    <row r="1333" spans="1:31" ht="15" thickBot="1" x14ac:dyDescent="0.4">
      <c r="A1333" s="45"/>
      <c r="B1333" s="45"/>
      <c r="C1333" s="46"/>
      <c r="D1333" s="47"/>
      <c r="E1333" s="47"/>
      <c r="F1333" s="47"/>
      <c r="G1333" s="47"/>
      <c r="H1333" s="47"/>
      <c r="I1333" s="47"/>
      <c r="J1333" s="47"/>
      <c r="K1333" s="47"/>
      <c r="L1333" s="47"/>
      <c r="M1333" s="47"/>
      <c r="N1333" s="47"/>
      <c r="O1333" s="47"/>
      <c r="P1333" s="47"/>
      <c r="Q1333" s="47"/>
      <c r="R1333" s="47"/>
      <c r="S1333" s="47"/>
      <c r="T1333" s="45"/>
      <c r="U1333" s="45"/>
      <c r="V1333" s="45"/>
      <c r="W1333" s="45"/>
      <c r="X1333" s="47"/>
      <c r="Y1333" s="45"/>
      <c r="Z1333" s="45"/>
      <c r="AA1333" s="48"/>
      <c r="AB1333" s="48"/>
      <c r="AC1333" s="47"/>
      <c r="AD1333" s="47"/>
      <c r="AE1333" s="47"/>
    </row>
    <row r="1334" spans="1:31" x14ac:dyDescent="0.35">
      <c r="A1334" s="41"/>
      <c r="B1334" s="41"/>
      <c r="C1334" s="42"/>
      <c r="D1334" s="43"/>
      <c r="E1334" s="43"/>
      <c r="F1334" s="43"/>
      <c r="G1334" s="43"/>
      <c r="H1334" s="43"/>
      <c r="I1334" s="43"/>
      <c r="J1334" s="43"/>
      <c r="K1334" s="43"/>
      <c r="L1334" s="43"/>
      <c r="M1334" s="43"/>
      <c r="N1334" s="43"/>
      <c r="O1334" s="43"/>
      <c r="P1334" s="43"/>
      <c r="Q1334" s="43"/>
      <c r="R1334" s="43"/>
      <c r="S1334" s="43"/>
      <c r="T1334" s="43"/>
      <c r="U1334" s="43"/>
      <c r="V1334" s="41"/>
      <c r="W1334" s="41"/>
      <c r="X1334" s="41"/>
      <c r="Y1334" s="41"/>
      <c r="Z1334" s="41"/>
      <c r="AA1334" s="44"/>
      <c r="AB1334" s="44"/>
      <c r="AC1334" s="43"/>
      <c r="AD1334" s="43"/>
      <c r="AE1334" s="43"/>
    </row>
    <row r="1335" spans="1:31" x14ac:dyDescent="0.35">
      <c r="C1335" s="33"/>
      <c r="D1335" s="34"/>
      <c r="E1335" s="34"/>
      <c r="F1335" s="34"/>
      <c r="G1335" s="34"/>
      <c r="H1335" s="34"/>
      <c r="I1335" s="34"/>
      <c r="J1335" s="34"/>
      <c r="K1335" s="34"/>
      <c r="L1335" s="34"/>
      <c r="M1335" s="34"/>
      <c r="N1335" s="34"/>
      <c r="O1335" s="34"/>
      <c r="AA1335" s="35"/>
      <c r="AB1335" s="35"/>
      <c r="AC1335" s="34"/>
      <c r="AD1335" s="34"/>
      <c r="AE1335" s="34"/>
    </row>
    <row r="1336" spans="1:31" ht="15" thickBot="1" x14ac:dyDescent="0.4">
      <c r="A1336" s="45"/>
      <c r="B1336" s="45"/>
      <c r="C1336" s="46"/>
      <c r="D1336" s="47"/>
      <c r="E1336" s="47"/>
      <c r="F1336" s="47"/>
      <c r="G1336" s="47"/>
      <c r="H1336" s="47"/>
      <c r="I1336" s="47"/>
      <c r="J1336" s="47"/>
      <c r="K1336" s="47"/>
      <c r="L1336" s="47"/>
      <c r="M1336" s="47"/>
      <c r="N1336" s="47"/>
      <c r="O1336" s="47"/>
      <c r="P1336" s="47"/>
      <c r="Q1336" s="47"/>
      <c r="R1336" s="47"/>
      <c r="S1336" s="47"/>
      <c r="T1336" s="45"/>
      <c r="U1336" s="45"/>
      <c r="V1336" s="45"/>
      <c r="W1336" s="45"/>
      <c r="X1336" s="47"/>
      <c r="Y1336" s="45"/>
      <c r="Z1336" s="45"/>
      <c r="AA1336" s="48"/>
      <c r="AB1336" s="48"/>
      <c r="AC1336" s="47"/>
      <c r="AD1336" s="47"/>
      <c r="AE1336" s="47"/>
    </row>
    <row r="1337" spans="1:31" x14ac:dyDescent="0.35">
      <c r="A1337" s="41"/>
      <c r="B1337" s="41"/>
      <c r="C1337" s="42"/>
      <c r="D1337" s="43"/>
      <c r="E1337" s="43"/>
      <c r="F1337" s="43"/>
      <c r="G1337" s="43"/>
      <c r="H1337" s="43"/>
      <c r="I1337" s="43"/>
      <c r="J1337" s="43"/>
      <c r="K1337" s="43"/>
      <c r="L1337" s="43"/>
      <c r="M1337" s="43"/>
      <c r="N1337" s="43"/>
      <c r="O1337" s="43"/>
      <c r="P1337" s="43"/>
      <c r="Q1337" s="43"/>
      <c r="R1337" s="43"/>
      <c r="S1337" s="43"/>
      <c r="T1337" s="43"/>
      <c r="U1337" s="43"/>
      <c r="V1337" s="41"/>
      <c r="W1337" s="41"/>
      <c r="X1337" s="41"/>
      <c r="Y1337" s="41"/>
      <c r="Z1337" s="41"/>
      <c r="AA1337" s="44"/>
      <c r="AB1337" s="44"/>
      <c r="AC1337" s="43"/>
      <c r="AD1337" s="43"/>
      <c r="AE1337" s="43"/>
    </row>
    <row r="1338" spans="1:31" x14ac:dyDescent="0.35">
      <c r="C1338" s="33"/>
      <c r="D1338" s="34"/>
      <c r="E1338" s="34"/>
      <c r="F1338" s="34"/>
      <c r="G1338" s="34"/>
      <c r="H1338" s="34"/>
      <c r="I1338" s="34"/>
      <c r="J1338" s="34"/>
      <c r="K1338" s="34"/>
      <c r="L1338" s="34"/>
      <c r="M1338" s="34"/>
      <c r="N1338" s="34"/>
      <c r="O1338" s="34"/>
      <c r="AA1338" s="35"/>
      <c r="AB1338" s="35"/>
      <c r="AC1338" s="34"/>
      <c r="AD1338" s="34"/>
      <c r="AE1338" s="34"/>
    </row>
    <row r="1339" spans="1:31" ht="15" thickBot="1" x14ac:dyDescent="0.4">
      <c r="A1339" s="45"/>
      <c r="B1339" s="45"/>
      <c r="C1339" s="46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  <c r="S1339" s="47"/>
      <c r="T1339" s="45"/>
      <c r="U1339" s="45"/>
      <c r="V1339" s="45"/>
      <c r="W1339" s="45"/>
      <c r="X1339" s="47"/>
      <c r="Y1339" s="45"/>
      <c r="Z1339" s="45"/>
      <c r="AA1339" s="48"/>
      <c r="AB1339" s="48"/>
      <c r="AC1339" s="47"/>
      <c r="AD1339" s="47"/>
      <c r="AE1339" s="47"/>
    </row>
    <row r="1340" spans="1:31" x14ac:dyDescent="0.35">
      <c r="A1340" s="41"/>
      <c r="B1340" s="41"/>
      <c r="C1340" s="42"/>
      <c r="D1340" s="43"/>
      <c r="E1340" s="43"/>
      <c r="F1340" s="43"/>
      <c r="G1340" s="43"/>
      <c r="H1340" s="43"/>
      <c r="I1340" s="43"/>
      <c r="J1340" s="43"/>
      <c r="K1340" s="43"/>
      <c r="L1340" s="43"/>
      <c r="M1340" s="43"/>
      <c r="N1340" s="43"/>
      <c r="O1340" s="43"/>
      <c r="P1340" s="43"/>
      <c r="Q1340" s="43"/>
      <c r="R1340" s="43"/>
      <c r="S1340" s="43"/>
      <c r="T1340" s="43"/>
      <c r="U1340" s="43"/>
      <c r="V1340" s="41"/>
      <c r="W1340" s="41"/>
      <c r="X1340" s="41"/>
      <c r="Y1340" s="41"/>
      <c r="Z1340" s="41"/>
      <c r="AA1340" s="44"/>
      <c r="AB1340" s="44"/>
      <c r="AC1340" s="43"/>
      <c r="AD1340" s="43"/>
      <c r="AE1340" s="43"/>
    </row>
    <row r="1341" spans="1:31" x14ac:dyDescent="0.35">
      <c r="C1341" s="33"/>
      <c r="D1341" s="34"/>
      <c r="E1341" s="34"/>
      <c r="F1341" s="34"/>
      <c r="G1341" s="34"/>
      <c r="H1341" s="34"/>
      <c r="I1341" s="34"/>
      <c r="J1341" s="34"/>
      <c r="K1341" s="34"/>
      <c r="L1341" s="34"/>
      <c r="M1341" s="34"/>
      <c r="N1341" s="34"/>
      <c r="O1341" s="34"/>
      <c r="AA1341" s="35"/>
      <c r="AB1341" s="35"/>
      <c r="AC1341" s="34"/>
      <c r="AD1341" s="34"/>
      <c r="AE1341" s="34"/>
    </row>
    <row r="1342" spans="1:31" ht="15" thickBot="1" x14ac:dyDescent="0.4">
      <c r="A1342" s="45"/>
      <c r="B1342" s="45"/>
      <c r="C1342" s="46"/>
      <c r="D1342" s="47"/>
      <c r="E1342" s="47"/>
      <c r="F1342" s="47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  <c r="S1342" s="47"/>
      <c r="T1342" s="45"/>
      <c r="U1342" s="45"/>
      <c r="V1342" s="45"/>
      <c r="W1342" s="45"/>
      <c r="X1342" s="47"/>
      <c r="Y1342" s="45"/>
      <c r="Z1342" s="45"/>
      <c r="AA1342" s="48"/>
      <c r="AB1342" s="48"/>
      <c r="AC1342" s="47"/>
      <c r="AD1342" s="47"/>
      <c r="AE1342" s="47"/>
    </row>
    <row r="1343" spans="1:31" x14ac:dyDescent="0.35">
      <c r="A1343" s="41"/>
      <c r="B1343" s="41"/>
      <c r="C1343" s="42"/>
      <c r="D1343" s="43"/>
      <c r="E1343" s="43"/>
      <c r="F1343" s="43"/>
      <c r="G1343" s="43"/>
      <c r="H1343" s="43"/>
      <c r="I1343" s="43"/>
      <c r="J1343" s="43"/>
      <c r="K1343" s="43"/>
      <c r="L1343" s="43"/>
      <c r="M1343" s="43"/>
      <c r="N1343" s="43"/>
      <c r="O1343" s="43"/>
      <c r="P1343" s="43"/>
      <c r="Q1343" s="43"/>
      <c r="R1343" s="43"/>
      <c r="S1343" s="43"/>
      <c r="T1343" s="43"/>
      <c r="U1343" s="43"/>
      <c r="V1343" s="41"/>
      <c r="W1343" s="41"/>
      <c r="X1343" s="41"/>
      <c r="Y1343" s="41"/>
      <c r="Z1343" s="41"/>
      <c r="AA1343" s="44"/>
      <c r="AB1343" s="44"/>
      <c r="AC1343" s="43"/>
      <c r="AD1343" s="43"/>
      <c r="AE1343" s="43"/>
    </row>
    <row r="1344" spans="1:31" x14ac:dyDescent="0.35">
      <c r="C1344" s="33"/>
      <c r="D1344" s="34"/>
      <c r="E1344" s="34"/>
      <c r="F1344" s="34"/>
      <c r="G1344" s="34"/>
      <c r="H1344" s="34"/>
      <c r="I1344" s="34"/>
      <c r="J1344" s="34"/>
      <c r="K1344" s="34"/>
      <c r="L1344" s="34"/>
      <c r="M1344" s="34"/>
      <c r="N1344" s="34"/>
      <c r="O1344" s="34"/>
      <c r="AA1344" s="35"/>
      <c r="AB1344" s="35"/>
      <c r="AC1344" s="34"/>
      <c r="AD1344" s="34"/>
      <c r="AE1344" s="34"/>
    </row>
    <row r="1345" spans="1:31" ht="15" thickBot="1" x14ac:dyDescent="0.4">
      <c r="A1345" s="45"/>
      <c r="B1345" s="45"/>
      <c r="C1345" s="46"/>
      <c r="D1345" s="47"/>
      <c r="E1345" s="47"/>
      <c r="F1345" s="47"/>
      <c r="G1345" s="47"/>
      <c r="H1345" s="47"/>
      <c r="I1345" s="47"/>
      <c r="J1345" s="47"/>
      <c r="K1345" s="47"/>
      <c r="L1345" s="47"/>
      <c r="M1345" s="47"/>
      <c r="N1345" s="47"/>
      <c r="O1345" s="47"/>
      <c r="P1345" s="47"/>
      <c r="Q1345" s="47"/>
      <c r="R1345" s="47"/>
      <c r="S1345" s="47"/>
      <c r="T1345" s="45"/>
      <c r="U1345" s="45"/>
      <c r="V1345" s="45"/>
      <c r="W1345" s="45"/>
      <c r="X1345" s="47"/>
      <c r="Y1345" s="45"/>
      <c r="Z1345" s="45"/>
      <c r="AA1345" s="48"/>
      <c r="AB1345" s="48"/>
      <c r="AC1345" s="47"/>
      <c r="AD1345" s="47"/>
      <c r="AE1345" s="47"/>
    </row>
    <row r="1346" spans="1:31" x14ac:dyDescent="0.35">
      <c r="A1346" s="41"/>
      <c r="B1346" s="41"/>
      <c r="C1346" s="42"/>
      <c r="D1346" s="43"/>
      <c r="E1346" s="43"/>
      <c r="F1346" s="43"/>
      <c r="G1346" s="43"/>
      <c r="H1346" s="43"/>
      <c r="I1346" s="43"/>
      <c r="J1346" s="43"/>
      <c r="K1346" s="43"/>
      <c r="L1346" s="43"/>
      <c r="M1346" s="43"/>
      <c r="N1346" s="43"/>
      <c r="O1346" s="43"/>
      <c r="P1346" s="43"/>
      <c r="Q1346" s="43"/>
      <c r="R1346" s="43"/>
      <c r="S1346" s="43"/>
      <c r="T1346" s="43"/>
      <c r="U1346" s="43"/>
      <c r="V1346" s="41"/>
      <c r="W1346" s="41"/>
      <c r="X1346" s="41"/>
      <c r="Y1346" s="41"/>
      <c r="Z1346" s="41"/>
      <c r="AA1346" s="44"/>
      <c r="AB1346" s="44"/>
      <c r="AC1346" s="43"/>
      <c r="AD1346" s="43"/>
      <c r="AE1346" s="43"/>
    </row>
    <row r="1347" spans="1:31" x14ac:dyDescent="0.35">
      <c r="C1347" s="33"/>
      <c r="D1347" s="34"/>
      <c r="E1347" s="34"/>
      <c r="F1347" s="34"/>
      <c r="G1347" s="34"/>
      <c r="H1347" s="34"/>
      <c r="I1347" s="34"/>
      <c r="J1347" s="34"/>
      <c r="K1347" s="34"/>
      <c r="L1347" s="34"/>
      <c r="M1347" s="34"/>
      <c r="N1347" s="34"/>
      <c r="O1347" s="34"/>
      <c r="AA1347" s="35"/>
      <c r="AB1347" s="35"/>
      <c r="AC1347" s="34"/>
      <c r="AD1347" s="34"/>
      <c r="AE1347" s="34"/>
    </row>
    <row r="1348" spans="1:31" ht="15" thickBot="1" x14ac:dyDescent="0.4">
      <c r="A1348" s="45"/>
      <c r="B1348" s="45"/>
      <c r="C1348" s="46"/>
      <c r="D1348" s="47"/>
      <c r="E1348" s="47"/>
      <c r="F1348" s="47"/>
      <c r="G1348" s="47"/>
      <c r="H1348" s="47"/>
      <c r="I1348" s="47"/>
      <c r="J1348" s="47"/>
      <c r="K1348" s="47"/>
      <c r="L1348" s="47"/>
      <c r="M1348" s="47"/>
      <c r="N1348" s="47"/>
      <c r="O1348" s="47"/>
      <c r="P1348" s="47"/>
      <c r="Q1348" s="47"/>
      <c r="R1348" s="47"/>
      <c r="S1348" s="47"/>
      <c r="T1348" s="45"/>
      <c r="U1348" s="45"/>
      <c r="V1348" s="45"/>
      <c r="W1348" s="45"/>
      <c r="X1348" s="47"/>
      <c r="Y1348" s="45"/>
      <c r="Z1348" s="45"/>
      <c r="AA1348" s="48"/>
      <c r="AB1348" s="48"/>
      <c r="AC1348" s="47"/>
      <c r="AD1348" s="47"/>
      <c r="AE1348" s="47"/>
    </row>
    <row r="1349" spans="1:31" x14ac:dyDescent="0.35">
      <c r="A1349" s="41"/>
      <c r="B1349" s="41"/>
      <c r="C1349" s="42"/>
      <c r="D1349" s="43"/>
      <c r="E1349" s="43"/>
      <c r="F1349" s="43"/>
      <c r="G1349" s="43"/>
      <c r="H1349" s="43"/>
      <c r="I1349" s="43"/>
      <c r="J1349" s="43"/>
      <c r="K1349" s="43"/>
      <c r="L1349" s="43"/>
      <c r="M1349" s="43"/>
      <c r="N1349" s="43"/>
      <c r="O1349" s="43"/>
      <c r="P1349" s="43"/>
      <c r="Q1349" s="43"/>
      <c r="R1349" s="43"/>
      <c r="S1349" s="43"/>
      <c r="T1349" s="43"/>
      <c r="U1349" s="43"/>
      <c r="V1349" s="41"/>
      <c r="W1349" s="41"/>
      <c r="X1349" s="41"/>
      <c r="Y1349" s="41"/>
      <c r="Z1349" s="41"/>
      <c r="AA1349" s="44"/>
      <c r="AB1349" s="44"/>
      <c r="AC1349" s="43"/>
      <c r="AD1349" s="43"/>
      <c r="AE1349" s="43"/>
    </row>
    <row r="1350" spans="1:31" x14ac:dyDescent="0.35">
      <c r="C1350" s="33"/>
      <c r="D1350" s="34"/>
      <c r="E1350" s="34"/>
      <c r="F1350" s="34"/>
      <c r="G1350" s="34"/>
      <c r="H1350" s="34"/>
      <c r="I1350" s="34"/>
      <c r="J1350" s="34"/>
      <c r="K1350" s="34"/>
      <c r="L1350" s="34"/>
      <c r="M1350" s="34"/>
      <c r="N1350" s="34"/>
      <c r="O1350" s="34"/>
      <c r="AA1350" s="35"/>
      <c r="AB1350" s="35"/>
      <c r="AC1350" s="34"/>
      <c r="AD1350" s="34"/>
      <c r="AE1350" s="34"/>
    </row>
    <row r="1351" spans="1:31" ht="15" thickBot="1" x14ac:dyDescent="0.4">
      <c r="A1351" s="45"/>
      <c r="B1351" s="45"/>
      <c r="C1351" s="46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  <c r="S1351" s="47"/>
      <c r="T1351" s="45"/>
      <c r="U1351" s="45"/>
      <c r="V1351" s="45"/>
      <c r="W1351" s="45"/>
      <c r="X1351" s="47"/>
      <c r="Y1351" s="45"/>
      <c r="Z1351" s="45"/>
      <c r="AA1351" s="48"/>
      <c r="AB1351" s="48"/>
      <c r="AC1351" s="47"/>
      <c r="AD1351" s="47"/>
      <c r="AE1351" s="47"/>
    </row>
    <row r="1352" spans="1:31" x14ac:dyDescent="0.35">
      <c r="A1352" s="41"/>
      <c r="B1352" s="41"/>
      <c r="C1352" s="42"/>
      <c r="D1352" s="43"/>
      <c r="E1352" s="43"/>
      <c r="F1352" s="43"/>
      <c r="G1352" s="43"/>
      <c r="H1352" s="43"/>
      <c r="I1352" s="43"/>
      <c r="J1352" s="43"/>
      <c r="K1352" s="43"/>
      <c r="L1352" s="43"/>
      <c r="M1352" s="43"/>
      <c r="N1352" s="43"/>
      <c r="O1352" s="43"/>
      <c r="P1352" s="43"/>
      <c r="Q1352" s="43"/>
      <c r="R1352" s="43"/>
      <c r="S1352" s="43"/>
      <c r="T1352" s="43"/>
      <c r="U1352" s="43"/>
      <c r="V1352" s="41"/>
      <c r="W1352" s="41"/>
      <c r="X1352" s="41"/>
      <c r="Y1352" s="41"/>
      <c r="Z1352" s="41"/>
      <c r="AA1352" s="44"/>
      <c r="AB1352" s="44"/>
      <c r="AC1352" s="43"/>
      <c r="AD1352" s="43"/>
      <c r="AE1352" s="43"/>
    </row>
    <row r="1353" spans="1:31" x14ac:dyDescent="0.35">
      <c r="C1353" s="33"/>
      <c r="D1353" s="34"/>
      <c r="E1353" s="34"/>
      <c r="F1353" s="34"/>
      <c r="G1353" s="34"/>
      <c r="H1353" s="34"/>
      <c r="I1353" s="34"/>
      <c r="J1353" s="34"/>
      <c r="K1353" s="34"/>
      <c r="L1353" s="34"/>
      <c r="M1353" s="34"/>
      <c r="N1353" s="34"/>
      <c r="O1353" s="34"/>
      <c r="AA1353" s="35"/>
      <c r="AB1353" s="35"/>
      <c r="AC1353" s="34"/>
      <c r="AD1353" s="34"/>
      <c r="AE1353" s="34"/>
    </row>
    <row r="1354" spans="1:31" ht="15" thickBot="1" x14ac:dyDescent="0.4">
      <c r="A1354" s="45"/>
      <c r="B1354" s="45"/>
      <c r="C1354" s="46"/>
      <c r="D1354" s="47"/>
      <c r="E1354" s="47"/>
      <c r="F1354" s="47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  <c r="S1354" s="47"/>
      <c r="T1354" s="45"/>
      <c r="U1354" s="45"/>
      <c r="V1354" s="45"/>
      <c r="W1354" s="45"/>
      <c r="X1354" s="47"/>
      <c r="Y1354" s="45"/>
      <c r="Z1354" s="45"/>
      <c r="AA1354" s="48"/>
      <c r="AB1354" s="48"/>
      <c r="AC1354" s="47"/>
      <c r="AD1354" s="47"/>
      <c r="AE1354" s="47"/>
    </row>
    <row r="1355" spans="1:31" x14ac:dyDescent="0.35">
      <c r="A1355" s="41"/>
      <c r="B1355" s="41"/>
      <c r="C1355" s="42"/>
      <c r="D1355" s="43"/>
      <c r="E1355" s="43"/>
      <c r="F1355" s="43"/>
      <c r="G1355" s="43"/>
      <c r="H1355" s="43"/>
      <c r="I1355" s="43"/>
      <c r="J1355" s="43"/>
      <c r="K1355" s="43"/>
      <c r="L1355" s="43"/>
      <c r="M1355" s="43"/>
      <c r="N1355" s="43"/>
      <c r="O1355" s="43"/>
      <c r="P1355" s="43"/>
      <c r="Q1355" s="43"/>
      <c r="R1355" s="43"/>
      <c r="S1355" s="43"/>
      <c r="T1355" s="43"/>
      <c r="U1355" s="43"/>
      <c r="V1355" s="41"/>
      <c r="W1355" s="41"/>
      <c r="X1355" s="41"/>
      <c r="Y1355" s="41"/>
      <c r="Z1355" s="41"/>
      <c r="AA1355" s="44"/>
      <c r="AB1355" s="44"/>
      <c r="AC1355" s="43"/>
      <c r="AD1355" s="43"/>
      <c r="AE1355" s="43"/>
    </row>
    <row r="1356" spans="1:31" x14ac:dyDescent="0.35">
      <c r="C1356" s="33"/>
      <c r="D1356" s="34"/>
      <c r="E1356" s="34"/>
      <c r="F1356" s="34"/>
      <c r="G1356" s="34"/>
      <c r="H1356" s="34"/>
      <c r="I1356" s="34"/>
      <c r="J1356" s="34"/>
      <c r="K1356" s="34"/>
      <c r="L1356" s="34"/>
      <c r="M1356" s="34"/>
      <c r="N1356" s="34"/>
      <c r="O1356" s="34"/>
      <c r="AA1356" s="35"/>
      <c r="AB1356" s="35"/>
      <c r="AC1356" s="34"/>
      <c r="AD1356" s="34"/>
      <c r="AE1356" s="34"/>
    </row>
    <row r="1357" spans="1:31" ht="15" thickBot="1" x14ac:dyDescent="0.4">
      <c r="A1357" s="45"/>
      <c r="B1357" s="45"/>
      <c r="C1357" s="46"/>
      <c r="D1357" s="47"/>
      <c r="E1357" s="47"/>
      <c r="F1357" s="47"/>
      <c r="G1357" s="47"/>
      <c r="H1357" s="47"/>
      <c r="I1357" s="47"/>
      <c r="J1357" s="47"/>
      <c r="K1357" s="47"/>
      <c r="L1357" s="47"/>
      <c r="M1357" s="47"/>
      <c r="N1357" s="47"/>
      <c r="O1357" s="47"/>
      <c r="P1357" s="47"/>
      <c r="Q1357" s="47"/>
      <c r="R1357" s="47"/>
      <c r="S1357" s="47"/>
      <c r="T1357" s="45"/>
      <c r="U1357" s="45"/>
      <c r="V1357" s="45"/>
      <c r="W1357" s="45"/>
      <c r="X1357" s="47"/>
      <c r="Y1357" s="45"/>
      <c r="Z1357" s="45"/>
      <c r="AA1357" s="48"/>
      <c r="AB1357" s="48"/>
      <c r="AC1357" s="47"/>
      <c r="AD1357" s="47"/>
      <c r="AE1357" s="47"/>
    </row>
    <row r="1358" spans="1:31" x14ac:dyDescent="0.35">
      <c r="A1358" s="41"/>
      <c r="B1358" s="41"/>
      <c r="C1358" s="42"/>
      <c r="D1358" s="43"/>
      <c r="E1358" s="43"/>
      <c r="F1358" s="43"/>
      <c r="G1358" s="43"/>
      <c r="H1358" s="43"/>
      <c r="I1358" s="43"/>
      <c r="J1358" s="43"/>
      <c r="K1358" s="43"/>
      <c r="L1358" s="43"/>
      <c r="M1358" s="43"/>
      <c r="N1358" s="43"/>
      <c r="O1358" s="43"/>
      <c r="P1358" s="43"/>
      <c r="Q1358" s="43"/>
      <c r="R1358" s="43"/>
      <c r="S1358" s="43"/>
      <c r="T1358" s="43"/>
      <c r="U1358" s="43"/>
      <c r="V1358" s="41"/>
      <c r="W1358" s="41"/>
      <c r="X1358" s="41"/>
      <c r="Y1358" s="41"/>
      <c r="Z1358" s="41"/>
      <c r="AA1358" s="44"/>
      <c r="AB1358" s="44"/>
      <c r="AC1358" s="43"/>
      <c r="AD1358" s="43"/>
      <c r="AE1358" s="43"/>
    </row>
    <row r="1359" spans="1:31" x14ac:dyDescent="0.35">
      <c r="C1359" s="33"/>
      <c r="D1359" s="34"/>
      <c r="E1359" s="34"/>
      <c r="F1359" s="34"/>
      <c r="G1359" s="34"/>
      <c r="H1359" s="34"/>
      <c r="I1359" s="34"/>
      <c r="J1359" s="34"/>
      <c r="K1359" s="34"/>
      <c r="L1359" s="34"/>
      <c r="M1359" s="34"/>
      <c r="N1359" s="34"/>
      <c r="O1359" s="34"/>
      <c r="AA1359" s="35"/>
      <c r="AB1359" s="35"/>
      <c r="AC1359" s="34"/>
      <c r="AD1359" s="34"/>
      <c r="AE1359" s="34"/>
    </row>
    <row r="1360" spans="1:31" ht="15" thickBot="1" x14ac:dyDescent="0.4">
      <c r="A1360" s="45"/>
      <c r="B1360" s="45"/>
      <c r="C1360" s="46"/>
      <c r="D1360" s="47"/>
      <c r="E1360" s="47"/>
      <c r="F1360" s="47"/>
      <c r="G1360" s="47"/>
      <c r="H1360" s="47"/>
      <c r="I1360" s="47"/>
      <c r="J1360" s="47"/>
      <c r="K1360" s="47"/>
      <c r="L1360" s="47"/>
      <c r="M1360" s="47"/>
      <c r="N1360" s="47"/>
      <c r="O1360" s="47"/>
      <c r="P1360" s="47"/>
      <c r="Q1360" s="47"/>
      <c r="R1360" s="47"/>
      <c r="S1360" s="47"/>
      <c r="T1360" s="45"/>
      <c r="U1360" s="45"/>
      <c r="V1360" s="45"/>
      <c r="W1360" s="45"/>
      <c r="X1360" s="47"/>
      <c r="Y1360" s="45"/>
      <c r="Z1360" s="45"/>
      <c r="AA1360" s="48"/>
      <c r="AB1360" s="48"/>
      <c r="AC1360" s="47"/>
      <c r="AD1360" s="47"/>
      <c r="AE1360" s="47"/>
    </row>
    <row r="1361" spans="1:31" x14ac:dyDescent="0.35">
      <c r="A1361" s="41"/>
      <c r="B1361" s="41"/>
      <c r="C1361" s="42"/>
      <c r="D1361" s="43"/>
      <c r="E1361" s="43"/>
      <c r="F1361" s="43"/>
      <c r="G1361" s="43"/>
      <c r="H1361" s="43"/>
      <c r="I1361" s="43"/>
      <c r="J1361" s="43"/>
      <c r="K1361" s="43"/>
      <c r="L1361" s="43"/>
      <c r="M1361" s="43"/>
      <c r="N1361" s="43"/>
      <c r="O1361" s="43"/>
      <c r="P1361" s="43"/>
      <c r="Q1361" s="43"/>
      <c r="R1361" s="43"/>
      <c r="S1361" s="43"/>
      <c r="T1361" s="43"/>
      <c r="U1361" s="43"/>
      <c r="V1361" s="41"/>
      <c r="W1361" s="41"/>
      <c r="X1361" s="41"/>
      <c r="Y1361" s="41"/>
      <c r="Z1361" s="41"/>
      <c r="AA1361" s="44"/>
      <c r="AB1361" s="44"/>
      <c r="AC1361" s="43"/>
      <c r="AD1361" s="43"/>
      <c r="AE1361" s="43"/>
    </row>
    <row r="1362" spans="1:31" x14ac:dyDescent="0.35">
      <c r="C1362" s="33"/>
      <c r="D1362" s="34"/>
      <c r="E1362" s="34"/>
      <c r="F1362" s="34"/>
      <c r="G1362" s="34"/>
      <c r="H1362" s="34"/>
      <c r="I1362" s="34"/>
      <c r="J1362" s="34"/>
      <c r="K1362" s="34"/>
      <c r="L1362" s="34"/>
      <c r="M1362" s="34"/>
      <c r="N1362" s="34"/>
      <c r="O1362" s="34"/>
      <c r="AA1362" s="35"/>
      <c r="AB1362" s="35"/>
      <c r="AC1362" s="34"/>
      <c r="AD1362" s="34"/>
      <c r="AE1362" s="34"/>
    </row>
    <row r="1363" spans="1:31" ht="15" thickBot="1" x14ac:dyDescent="0.4">
      <c r="A1363" s="45"/>
      <c r="B1363" s="45"/>
      <c r="C1363" s="46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  <c r="S1363" s="47"/>
      <c r="T1363" s="45"/>
      <c r="U1363" s="45"/>
      <c r="V1363" s="45"/>
      <c r="W1363" s="45"/>
      <c r="X1363" s="47"/>
      <c r="Y1363" s="45"/>
      <c r="Z1363" s="45"/>
      <c r="AA1363" s="48"/>
      <c r="AB1363" s="48"/>
      <c r="AC1363" s="47"/>
      <c r="AD1363" s="47"/>
      <c r="AE1363" s="47"/>
    </row>
    <row r="1364" spans="1:31" x14ac:dyDescent="0.35">
      <c r="A1364" s="41"/>
      <c r="B1364" s="41"/>
      <c r="C1364" s="42"/>
      <c r="D1364" s="43"/>
      <c r="E1364" s="43"/>
      <c r="F1364" s="43"/>
      <c r="G1364" s="43"/>
      <c r="H1364" s="43"/>
      <c r="I1364" s="43"/>
      <c r="J1364" s="43"/>
      <c r="K1364" s="43"/>
      <c r="L1364" s="43"/>
      <c r="M1364" s="43"/>
      <c r="N1364" s="43"/>
      <c r="O1364" s="43"/>
      <c r="P1364" s="43"/>
      <c r="Q1364" s="43"/>
      <c r="R1364" s="43"/>
      <c r="S1364" s="43"/>
      <c r="T1364" s="43"/>
      <c r="U1364" s="43"/>
      <c r="V1364" s="41"/>
      <c r="W1364" s="41"/>
      <c r="X1364" s="41"/>
      <c r="Y1364" s="41"/>
      <c r="Z1364" s="41"/>
      <c r="AA1364" s="44"/>
      <c r="AB1364" s="44"/>
      <c r="AC1364" s="43"/>
      <c r="AD1364" s="43"/>
      <c r="AE1364" s="43"/>
    </row>
    <row r="1365" spans="1:31" x14ac:dyDescent="0.35">
      <c r="C1365" s="33"/>
      <c r="D1365" s="34"/>
      <c r="E1365" s="34"/>
      <c r="F1365" s="34"/>
      <c r="G1365" s="34"/>
      <c r="H1365" s="34"/>
      <c r="I1365" s="34"/>
      <c r="J1365" s="34"/>
      <c r="K1365" s="34"/>
      <c r="L1365" s="34"/>
      <c r="M1365" s="34"/>
      <c r="N1365" s="34"/>
      <c r="O1365" s="34"/>
      <c r="AA1365" s="35"/>
      <c r="AB1365" s="35"/>
      <c r="AC1365" s="34"/>
      <c r="AD1365" s="34"/>
      <c r="AE1365" s="34"/>
    </row>
    <row r="1366" spans="1:31" ht="15" thickBot="1" x14ac:dyDescent="0.4">
      <c r="A1366" s="45"/>
      <c r="B1366" s="45"/>
      <c r="C1366" s="46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  <c r="S1366" s="47"/>
      <c r="T1366" s="45"/>
      <c r="U1366" s="45"/>
      <c r="V1366" s="45"/>
      <c r="W1366" s="45"/>
      <c r="X1366" s="47"/>
      <c r="Y1366" s="45"/>
      <c r="Z1366" s="45"/>
      <c r="AA1366" s="48"/>
      <c r="AB1366" s="48"/>
      <c r="AC1366" s="47"/>
      <c r="AD1366" s="47"/>
      <c r="AE1366" s="47"/>
    </row>
    <row r="1367" spans="1:31" x14ac:dyDescent="0.35">
      <c r="A1367" s="41"/>
      <c r="B1367" s="41"/>
      <c r="C1367" s="42"/>
      <c r="D1367" s="43"/>
      <c r="E1367" s="43"/>
      <c r="F1367" s="43"/>
      <c r="G1367" s="43"/>
      <c r="H1367" s="43"/>
      <c r="I1367" s="43"/>
      <c r="J1367" s="43"/>
      <c r="K1367" s="43"/>
      <c r="L1367" s="43"/>
      <c r="M1367" s="43"/>
      <c r="N1367" s="43"/>
      <c r="O1367" s="43"/>
      <c r="P1367" s="43"/>
      <c r="Q1367" s="43"/>
      <c r="R1367" s="43"/>
      <c r="S1367" s="43"/>
      <c r="T1367" s="43"/>
      <c r="U1367" s="43"/>
      <c r="V1367" s="41"/>
      <c r="W1367" s="41"/>
      <c r="X1367" s="41"/>
      <c r="Y1367" s="41"/>
      <c r="Z1367" s="41"/>
      <c r="AA1367" s="44"/>
      <c r="AB1367" s="44"/>
      <c r="AC1367" s="43"/>
      <c r="AD1367" s="43"/>
      <c r="AE1367" s="43"/>
    </row>
    <row r="1368" spans="1:31" x14ac:dyDescent="0.35">
      <c r="C1368" s="33"/>
      <c r="D1368" s="34"/>
      <c r="E1368" s="34"/>
      <c r="F1368" s="34"/>
      <c r="G1368" s="34"/>
      <c r="H1368" s="34"/>
      <c r="I1368" s="34"/>
      <c r="J1368" s="34"/>
      <c r="K1368" s="34"/>
      <c r="L1368" s="34"/>
      <c r="M1368" s="34"/>
      <c r="N1368" s="34"/>
      <c r="O1368" s="34"/>
      <c r="AA1368" s="35"/>
      <c r="AB1368" s="35"/>
      <c r="AC1368" s="34"/>
      <c r="AD1368" s="34"/>
      <c r="AE1368" s="34"/>
    </row>
    <row r="1369" spans="1:31" ht="15" thickBot="1" x14ac:dyDescent="0.4">
      <c r="A1369" s="45"/>
      <c r="B1369" s="45"/>
      <c r="C1369" s="46"/>
      <c r="D1369" s="47"/>
      <c r="E1369" s="47"/>
      <c r="F1369" s="47"/>
      <c r="G1369" s="47"/>
      <c r="H1369" s="47"/>
      <c r="I1369" s="47"/>
      <c r="J1369" s="47"/>
      <c r="K1369" s="47"/>
      <c r="L1369" s="47"/>
      <c r="M1369" s="47"/>
      <c r="N1369" s="47"/>
      <c r="O1369" s="47"/>
      <c r="P1369" s="47"/>
      <c r="Q1369" s="47"/>
      <c r="R1369" s="47"/>
      <c r="S1369" s="47"/>
      <c r="T1369" s="45"/>
      <c r="U1369" s="45"/>
      <c r="V1369" s="45"/>
      <c r="W1369" s="45"/>
      <c r="X1369" s="47"/>
      <c r="Y1369" s="45"/>
      <c r="Z1369" s="45"/>
      <c r="AA1369" s="48"/>
      <c r="AB1369" s="48"/>
      <c r="AC1369" s="47"/>
      <c r="AD1369" s="47"/>
      <c r="AE1369" s="47"/>
    </row>
    <row r="1370" spans="1:31" x14ac:dyDescent="0.35">
      <c r="A1370" s="41"/>
      <c r="B1370" s="41"/>
      <c r="C1370" s="42"/>
      <c r="D1370" s="43"/>
      <c r="E1370" s="43"/>
      <c r="F1370" s="43"/>
      <c r="G1370" s="43"/>
      <c r="H1370" s="43"/>
      <c r="I1370" s="43"/>
      <c r="J1370" s="43"/>
      <c r="K1370" s="43"/>
      <c r="L1370" s="43"/>
      <c r="M1370" s="43"/>
      <c r="N1370" s="43"/>
      <c r="O1370" s="43"/>
      <c r="P1370" s="43"/>
      <c r="Q1370" s="43"/>
      <c r="R1370" s="43"/>
      <c r="S1370" s="43"/>
      <c r="T1370" s="43"/>
      <c r="U1370" s="43"/>
      <c r="V1370" s="41"/>
      <c r="W1370" s="41"/>
      <c r="X1370" s="41"/>
      <c r="Y1370" s="41"/>
      <c r="Z1370" s="41"/>
      <c r="AA1370" s="44"/>
      <c r="AB1370" s="44"/>
      <c r="AC1370" s="43"/>
      <c r="AD1370" s="43"/>
      <c r="AE1370" s="43"/>
    </row>
    <row r="1371" spans="1:31" x14ac:dyDescent="0.35">
      <c r="C1371" s="33"/>
      <c r="D1371" s="34"/>
      <c r="E1371" s="34"/>
      <c r="F1371" s="34"/>
      <c r="G1371" s="34"/>
      <c r="H1371" s="34"/>
      <c r="I1371" s="34"/>
      <c r="J1371" s="34"/>
      <c r="K1371" s="34"/>
      <c r="L1371" s="34"/>
      <c r="M1371" s="34"/>
      <c r="N1371" s="34"/>
      <c r="O1371" s="34"/>
      <c r="AA1371" s="35"/>
      <c r="AB1371" s="35"/>
      <c r="AC1371" s="34"/>
      <c r="AD1371" s="34"/>
      <c r="AE1371" s="34"/>
    </row>
    <row r="1372" spans="1:31" ht="15" thickBot="1" x14ac:dyDescent="0.4">
      <c r="A1372" s="45"/>
      <c r="B1372" s="45"/>
      <c r="C1372" s="46"/>
      <c r="D1372" s="47"/>
      <c r="E1372" s="47"/>
      <c r="F1372" s="47"/>
      <c r="G1372" s="47"/>
      <c r="H1372" s="47"/>
      <c r="I1372" s="47"/>
      <c r="J1372" s="47"/>
      <c r="K1372" s="47"/>
      <c r="L1372" s="47"/>
      <c r="M1372" s="47"/>
      <c r="N1372" s="47"/>
      <c r="O1372" s="47"/>
      <c r="P1372" s="47"/>
      <c r="Q1372" s="47"/>
      <c r="R1372" s="47"/>
      <c r="S1372" s="47"/>
      <c r="T1372" s="45"/>
      <c r="U1372" s="45"/>
      <c r="V1372" s="45"/>
      <c r="W1372" s="45"/>
      <c r="X1372" s="47"/>
      <c r="Y1372" s="45"/>
      <c r="Z1372" s="45"/>
      <c r="AA1372" s="48"/>
      <c r="AB1372" s="48"/>
      <c r="AC1372" s="47"/>
      <c r="AD1372" s="47"/>
      <c r="AE1372" s="47"/>
    </row>
    <row r="1373" spans="1:31" x14ac:dyDescent="0.35">
      <c r="A1373" s="41"/>
      <c r="B1373" s="41"/>
      <c r="C1373" s="42"/>
      <c r="D1373" s="43"/>
      <c r="E1373" s="43"/>
      <c r="F1373" s="43"/>
      <c r="G1373" s="43"/>
      <c r="H1373" s="43"/>
      <c r="I1373" s="43"/>
      <c r="J1373" s="43"/>
      <c r="K1373" s="43"/>
      <c r="L1373" s="43"/>
      <c r="M1373" s="43"/>
      <c r="N1373" s="43"/>
      <c r="O1373" s="43"/>
      <c r="P1373" s="43"/>
      <c r="Q1373" s="43"/>
      <c r="R1373" s="43"/>
      <c r="S1373" s="43"/>
      <c r="T1373" s="43"/>
      <c r="U1373" s="43"/>
      <c r="V1373" s="41"/>
      <c r="W1373" s="41"/>
      <c r="X1373" s="41"/>
      <c r="Y1373" s="41"/>
      <c r="Z1373" s="41"/>
      <c r="AA1373" s="44"/>
      <c r="AB1373" s="44"/>
      <c r="AC1373" s="43"/>
      <c r="AD1373" s="43"/>
      <c r="AE1373" s="43"/>
    </row>
    <row r="1374" spans="1:31" x14ac:dyDescent="0.35">
      <c r="C1374" s="33"/>
      <c r="D1374" s="34"/>
      <c r="E1374" s="34"/>
      <c r="F1374" s="34"/>
      <c r="G1374" s="34"/>
      <c r="H1374" s="34"/>
      <c r="I1374" s="34"/>
      <c r="J1374" s="34"/>
      <c r="K1374" s="34"/>
      <c r="L1374" s="34"/>
      <c r="M1374" s="34"/>
      <c r="N1374" s="34"/>
      <c r="O1374" s="34"/>
      <c r="AA1374" s="35"/>
      <c r="AB1374" s="35"/>
      <c r="AC1374" s="34"/>
      <c r="AD1374" s="34"/>
      <c r="AE1374" s="34"/>
    </row>
    <row r="1375" spans="1:31" ht="15" thickBot="1" x14ac:dyDescent="0.4">
      <c r="A1375" s="45"/>
      <c r="B1375" s="45"/>
      <c r="C1375" s="46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  <c r="S1375" s="47"/>
      <c r="T1375" s="45"/>
      <c r="U1375" s="45"/>
      <c r="V1375" s="45"/>
      <c r="W1375" s="45"/>
      <c r="X1375" s="47"/>
      <c r="Y1375" s="45"/>
      <c r="Z1375" s="45"/>
      <c r="AA1375" s="48"/>
      <c r="AB1375" s="48"/>
      <c r="AC1375" s="47"/>
      <c r="AD1375" s="47"/>
      <c r="AE1375" s="47"/>
    </row>
    <row r="1376" spans="1:31" x14ac:dyDescent="0.35">
      <c r="A1376" s="41"/>
      <c r="B1376" s="41"/>
      <c r="C1376" s="42"/>
      <c r="D1376" s="43"/>
      <c r="E1376" s="43"/>
      <c r="F1376" s="43"/>
      <c r="G1376" s="43"/>
      <c r="H1376" s="43"/>
      <c r="I1376" s="43"/>
      <c r="J1376" s="43"/>
      <c r="K1376" s="43"/>
      <c r="L1376" s="43"/>
      <c r="M1376" s="43"/>
      <c r="N1376" s="43"/>
      <c r="O1376" s="43"/>
      <c r="P1376" s="43"/>
      <c r="Q1376" s="43"/>
      <c r="R1376" s="43"/>
      <c r="S1376" s="43"/>
      <c r="T1376" s="43"/>
      <c r="U1376" s="43"/>
      <c r="V1376" s="41"/>
      <c r="W1376" s="41"/>
      <c r="X1376" s="41"/>
      <c r="Y1376" s="41"/>
      <c r="Z1376" s="41"/>
      <c r="AA1376" s="44"/>
      <c r="AB1376" s="44"/>
      <c r="AC1376" s="43"/>
      <c r="AD1376" s="43"/>
      <c r="AE1376" s="43"/>
    </row>
    <row r="1377" spans="1:31" x14ac:dyDescent="0.35">
      <c r="C1377" s="33"/>
      <c r="D1377" s="34"/>
      <c r="E1377" s="34"/>
      <c r="F1377" s="34"/>
      <c r="G1377" s="34"/>
      <c r="H1377" s="34"/>
      <c r="I1377" s="34"/>
      <c r="J1377" s="34"/>
      <c r="K1377" s="34"/>
      <c r="L1377" s="34"/>
      <c r="M1377" s="34"/>
      <c r="N1377" s="34"/>
      <c r="O1377" s="34"/>
      <c r="AA1377" s="35"/>
      <c r="AB1377" s="35"/>
      <c r="AC1377" s="34"/>
      <c r="AD1377" s="34"/>
      <c r="AE1377" s="34"/>
    </row>
    <row r="1378" spans="1:31" ht="15" thickBot="1" x14ac:dyDescent="0.4">
      <c r="A1378" s="45"/>
      <c r="B1378" s="45"/>
      <c r="C1378" s="46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  <c r="S1378" s="47"/>
      <c r="T1378" s="45"/>
      <c r="U1378" s="45"/>
      <c r="V1378" s="45"/>
      <c r="W1378" s="45"/>
      <c r="X1378" s="47"/>
      <c r="Y1378" s="45"/>
      <c r="Z1378" s="45"/>
      <c r="AA1378" s="48"/>
      <c r="AB1378" s="48"/>
      <c r="AC1378" s="47"/>
      <c r="AD1378" s="47"/>
      <c r="AE1378" s="47"/>
    </row>
    <row r="1379" spans="1:31" x14ac:dyDescent="0.35">
      <c r="A1379" s="41"/>
      <c r="B1379" s="41"/>
      <c r="C1379" s="42"/>
      <c r="D1379" s="43"/>
      <c r="E1379" s="43"/>
      <c r="F1379" s="43"/>
      <c r="G1379" s="43"/>
      <c r="H1379" s="43"/>
      <c r="I1379" s="43"/>
      <c r="J1379" s="43"/>
      <c r="K1379" s="43"/>
      <c r="L1379" s="43"/>
      <c r="M1379" s="43"/>
      <c r="N1379" s="43"/>
      <c r="O1379" s="43"/>
      <c r="P1379" s="43"/>
      <c r="Q1379" s="43"/>
      <c r="R1379" s="43"/>
      <c r="S1379" s="43"/>
      <c r="T1379" s="43"/>
      <c r="U1379" s="43"/>
      <c r="V1379" s="41"/>
      <c r="W1379" s="41"/>
      <c r="X1379" s="41"/>
      <c r="Y1379" s="41"/>
      <c r="Z1379" s="41"/>
      <c r="AA1379" s="44"/>
      <c r="AB1379" s="44"/>
      <c r="AC1379" s="43"/>
      <c r="AD1379" s="43"/>
      <c r="AE1379" s="43"/>
    </row>
    <row r="1380" spans="1:31" x14ac:dyDescent="0.35">
      <c r="C1380" s="33"/>
      <c r="D1380" s="34"/>
      <c r="E1380" s="34"/>
      <c r="F1380" s="34"/>
      <c r="G1380" s="34"/>
      <c r="H1380" s="34"/>
      <c r="I1380" s="34"/>
      <c r="J1380" s="34"/>
      <c r="K1380" s="34"/>
      <c r="L1380" s="34"/>
      <c r="M1380" s="34"/>
      <c r="N1380" s="34"/>
      <c r="O1380" s="34"/>
      <c r="AA1380" s="35"/>
      <c r="AB1380" s="35"/>
      <c r="AC1380" s="34"/>
      <c r="AD1380" s="34"/>
      <c r="AE1380" s="34"/>
    </row>
    <row r="1381" spans="1:31" ht="15" thickBot="1" x14ac:dyDescent="0.4">
      <c r="A1381" s="45"/>
      <c r="B1381" s="45"/>
      <c r="C1381" s="46"/>
      <c r="D1381" s="47"/>
      <c r="E1381" s="47"/>
      <c r="F1381" s="47"/>
      <c r="G1381" s="47"/>
      <c r="H1381" s="47"/>
      <c r="I1381" s="47"/>
      <c r="J1381" s="47"/>
      <c r="K1381" s="47"/>
      <c r="L1381" s="47"/>
      <c r="M1381" s="47"/>
      <c r="N1381" s="47"/>
      <c r="O1381" s="47"/>
      <c r="P1381" s="47"/>
      <c r="Q1381" s="47"/>
      <c r="R1381" s="47"/>
      <c r="S1381" s="47"/>
      <c r="T1381" s="45"/>
      <c r="U1381" s="45"/>
      <c r="V1381" s="45"/>
      <c r="W1381" s="45"/>
      <c r="X1381" s="47"/>
      <c r="Y1381" s="45"/>
      <c r="Z1381" s="45"/>
      <c r="AA1381" s="48"/>
      <c r="AB1381" s="48"/>
      <c r="AC1381" s="47"/>
      <c r="AD1381" s="47"/>
      <c r="AE1381" s="47"/>
    </row>
    <row r="1382" spans="1:31" x14ac:dyDescent="0.35">
      <c r="A1382" s="41"/>
      <c r="B1382" s="41"/>
      <c r="C1382" s="42"/>
      <c r="D1382" s="43"/>
      <c r="E1382" s="43"/>
      <c r="F1382" s="43"/>
      <c r="G1382" s="43"/>
      <c r="H1382" s="43"/>
      <c r="I1382" s="43"/>
      <c r="J1382" s="43"/>
      <c r="K1382" s="43"/>
      <c r="L1382" s="43"/>
      <c r="M1382" s="43"/>
      <c r="N1382" s="43"/>
      <c r="O1382" s="43"/>
      <c r="P1382" s="43"/>
      <c r="Q1382" s="43"/>
      <c r="R1382" s="43"/>
      <c r="S1382" s="43"/>
      <c r="T1382" s="43"/>
      <c r="U1382" s="43"/>
      <c r="V1382" s="41"/>
      <c r="W1382" s="41"/>
      <c r="X1382" s="41"/>
      <c r="Y1382" s="41"/>
      <c r="Z1382" s="41"/>
      <c r="AA1382" s="44"/>
      <c r="AB1382" s="44"/>
      <c r="AC1382" s="43"/>
      <c r="AD1382" s="43"/>
      <c r="AE1382" s="43"/>
    </row>
    <row r="1383" spans="1:31" x14ac:dyDescent="0.35">
      <c r="C1383" s="33"/>
      <c r="D1383" s="34"/>
      <c r="E1383" s="34"/>
      <c r="F1383" s="34"/>
      <c r="G1383" s="34"/>
      <c r="H1383" s="34"/>
      <c r="I1383" s="34"/>
      <c r="J1383" s="34"/>
      <c r="K1383" s="34"/>
      <c r="L1383" s="34"/>
      <c r="M1383" s="34"/>
      <c r="N1383" s="34"/>
      <c r="O1383" s="34"/>
      <c r="AA1383" s="35"/>
      <c r="AB1383" s="35"/>
      <c r="AC1383" s="34"/>
      <c r="AD1383" s="34"/>
      <c r="AE1383" s="34"/>
    </row>
    <row r="1384" spans="1:31" ht="15" thickBot="1" x14ac:dyDescent="0.4">
      <c r="A1384" s="45"/>
      <c r="B1384" s="45"/>
      <c r="C1384" s="46"/>
      <c r="D1384" s="47"/>
      <c r="E1384" s="47"/>
      <c r="F1384" s="47"/>
      <c r="G1384" s="47"/>
      <c r="H1384" s="47"/>
      <c r="I1384" s="47"/>
      <c r="J1384" s="47"/>
      <c r="K1384" s="47"/>
      <c r="L1384" s="47"/>
      <c r="M1384" s="47"/>
      <c r="N1384" s="47"/>
      <c r="O1384" s="47"/>
      <c r="P1384" s="47"/>
      <c r="Q1384" s="47"/>
      <c r="R1384" s="47"/>
      <c r="S1384" s="47"/>
      <c r="T1384" s="45"/>
      <c r="U1384" s="45"/>
      <c r="V1384" s="45"/>
      <c r="W1384" s="45"/>
      <c r="X1384" s="47"/>
      <c r="Y1384" s="45"/>
      <c r="Z1384" s="45"/>
      <c r="AA1384" s="48"/>
      <c r="AB1384" s="48"/>
      <c r="AC1384" s="47"/>
      <c r="AD1384" s="47"/>
      <c r="AE1384" s="47"/>
    </row>
    <row r="1385" spans="1:31" x14ac:dyDescent="0.35">
      <c r="A1385" s="41"/>
      <c r="B1385" s="41"/>
      <c r="C1385" s="42"/>
      <c r="D1385" s="43"/>
      <c r="E1385" s="43"/>
      <c r="F1385" s="43"/>
      <c r="G1385" s="43"/>
      <c r="H1385" s="43"/>
      <c r="I1385" s="43"/>
      <c r="J1385" s="43"/>
      <c r="K1385" s="43"/>
      <c r="L1385" s="43"/>
      <c r="M1385" s="43"/>
      <c r="N1385" s="43"/>
      <c r="O1385" s="43"/>
      <c r="P1385" s="43"/>
      <c r="Q1385" s="43"/>
      <c r="R1385" s="43"/>
      <c r="S1385" s="43"/>
      <c r="T1385" s="43"/>
      <c r="U1385" s="43"/>
      <c r="V1385" s="41"/>
      <c r="W1385" s="41"/>
      <c r="X1385" s="41"/>
      <c r="Y1385" s="41"/>
      <c r="Z1385" s="41"/>
      <c r="AA1385" s="44"/>
      <c r="AB1385" s="44"/>
      <c r="AC1385" s="43"/>
      <c r="AD1385" s="43"/>
      <c r="AE1385" s="43"/>
    </row>
    <row r="1386" spans="1:31" x14ac:dyDescent="0.35">
      <c r="C1386" s="33"/>
      <c r="D1386" s="34"/>
      <c r="E1386" s="34"/>
      <c r="F1386" s="34"/>
      <c r="G1386" s="34"/>
      <c r="H1386" s="34"/>
      <c r="I1386" s="34"/>
      <c r="J1386" s="34"/>
      <c r="K1386" s="34"/>
      <c r="L1386" s="34"/>
      <c r="M1386" s="34"/>
      <c r="N1386" s="34"/>
      <c r="O1386" s="34"/>
      <c r="AA1386" s="35"/>
      <c r="AB1386" s="35"/>
      <c r="AC1386" s="34"/>
      <c r="AD1386" s="34"/>
      <c r="AE1386" s="34"/>
    </row>
    <row r="1387" spans="1:31" ht="15" thickBot="1" x14ac:dyDescent="0.4">
      <c r="A1387" s="45"/>
      <c r="B1387" s="45"/>
      <c r="C1387" s="46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  <c r="S1387" s="47"/>
      <c r="T1387" s="45"/>
      <c r="U1387" s="45"/>
      <c r="V1387" s="45"/>
      <c r="W1387" s="45"/>
      <c r="X1387" s="47"/>
      <c r="Y1387" s="45"/>
      <c r="Z1387" s="45"/>
      <c r="AA1387" s="48"/>
      <c r="AB1387" s="48"/>
      <c r="AC1387" s="47"/>
      <c r="AD1387" s="47"/>
      <c r="AE1387" s="47"/>
    </row>
    <row r="1388" spans="1:31" x14ac:dyDescent="0.35">
      <c r="A1388" s="41"/>
      <c r="B1388" s="41"/>
      <c r="C1388" s="42"/>
      <c r="D1388" s="43"/>
      <c r="E1388" s="43"/>
      <c r="F1388" s="43"/>
      <c r="G1388" s="43"/>
      <c r="H1388" s="43"/>
      <c r="I1388" s="43"/>
      <c r="J1388" s="43"/>
      <c r="K1388" s="43"/>
      <c r="L1388" s="43"/>
      <c r="M1388" s="43"/>
      <c r="N1388" s="43"/>
      <c r="O1388" s="43"/>
      <c r="P1388" s="43"/>
      <c r="Q1388" s="43"/>
      <c r="R1388" s="43"/>
      <c r="S1388" s="43"/>
      <c r="T1388" s="43"/>
      <c r="U1388" s="43"/>
      <c r="V1388" s="41"/>
      <c r="W1388" s="41"/>
      <c r="X1388" s="41"/>
      <c r="Y1388" s="41"/>
      <c r="Z1388" s="41"/>
      <c r="AA1388" s="44"/>
      <c r="AB1388" s="44"/>
      <c r="AC1388" s="43"/>
      <c r="AD1388" s="43"/>
      <c r="AE1388" s="43"/>
    </row>
    <row r="1389" spans="1:31" x14ac:dyDescent="0.35">
      <c r="C1389" s="33"/>
      <c r="D1389" s="34"/>
      <c r="E1389" s="34"/>
      <c r="F1389" s="34"/>
      <c r="G1389" s="34"/>
      <c r="H1389" s="34"/>
      <c r="I1389" s="34"/>
      <c r="J1389" s="34"/>
      <c r="K1389" s="34"/>
      <c r="L1389" s="34"/>
      <c r="M1389" s="34"/>
      <c r="N1389" s="34"/>
      <c r="O1389" s="34"/>
      <c r="AA1389" s="35"/>
      <c r="AB1389" s="35"/>
      <c r="AC1389" s="34"/>
      <c r="AD1389" s="34"/>
      <c r="AE1389" s="34"/>
    </row>
    <row r="1390" spans="1:31" ht="15" thickBot="1" x14ac:dyDescent="0.4">
      <c r="A1390" s="45"/>
      <c r="B1390" s="45"/>
      <c r="C1390" s="46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  <c r="S1390" s="47"/>
      <c r="T1390" s="45"/>
      <c r="U1390" s="45"/>
      <c r="V1390" s="45"/>
      <c r="W1390" s="45"/>
      <c r="X1390" s="47"/>
      <c r="Y1390" s="45"/>
      <c r="Z1390" s="45"/>
      <c r="AA1390" s="48"/>
      <c r="AB1390" s="48"/>
      <c r="AC1390" s="47"/>
      <c r="AD1390" s="47"/>
      <c r="AE1390" s="47"/>
    </row>
    <row r="1391" spans="1:31" x14ac:dyDescent="0.35">
      <c r="A1391" s="41"/>
      <c r="B1391" s="41"/>
      <c r="C1391" s="42"/>
      <c r="D1391" s="43"/>
      <c r="E1391" s="43"/>
      <c r="F1391" s="43"/>
      <c r="G1391" s="43"/>
      <c r="H1391" s="43"/>
      <c r="I1391" s="43"/>
      <c r="J1391" s="43"/>
      <c r="K1391" s="43"/>
      <c r="L1391" s="43"/>
      <c r="M1391" s="43"/>
      <c r="N1391" s="43"/>
      <c r="O1391" s="43"/>
      <c r="P1391" s="43"/>
      <c r="Q1391" s="43"/>
      <c r="R1391" s="43"/>
      <c r="S1391" s="43"/>
      <c r="T1391" s="43"/>
      <c r="U1391" s="43"/>
      <c r="V1391" s="41"/>
      <c r="W1391" s="41"/>
      <c r="X1391" s="41"/>
      <c r="Y1391" s="41"/>
      <c r="Z1391" s="41"/>
      <c r="AA1391" s="44"/>
      <c r="AB1391" s="44"/>
      <c r="AC1391" s="43"/>
      <c r="AD1391" s="43"/>
      <c r="AE1391" s="43"/>
    </row>
    <row r="1392" spans="1:31" x14ac:dyDescent="0.35">
      <c r="C1392" s="33"/>
      <c r="D1392" s="34"/>
      <c r="E1392" s="34"/>
      <c r="F1392" s="34"/>
      <c r="G1392" s="34"/>
      <c r="H1392" s="34"/>
      <c r="I1392" s="34"/>
      <c r="J1392" s="34"/>
      <c r="K1392" s="34"/>
      <c r="L1392" s="34"/>
      <c r="M1392" s="34"/>
      <c r="N1392" s="34"/>
      <c r="O1392" s="34"/>
      <c r="AA1392" s="35"/>
      <c r="AB1392" s="35"/>
      <c r="AC1392" s="34"/>
      <c r="AD1392" s="34"/>
      <c r="AE1392" s="34"/>
    </row>
    <row r="1393" spans="1:31" ht="15" thickBot="1" x14ac:dyDescent="0.4">
      <c r="A1393" s="45"/>
      <c r="B1393" s="45"/>
      <c r="C1393" s="46"/>
      <c r="D1393" s="47"/>
      <c r="E1393" s="47"/>
      <c r="F1393" s="47"/>
      <c r="G1393" s="47"/>
      <c r="H1393" s="47"/>
      <c r="I1393" s="47"/>
      <c r="J1393" s="47"/>
      <c r="K1393" s="47"/>
      <c r="L1393" s="47"/>
      <c r="M1393" s="47"/>
      <c r="N1393" s="47"/>
      <c r="O1393" s="47"/>
      <c r="P1393" s="47"/>
      <c r="Q1393" s="47"/>
      <c r="R1393" s="47"/>
      <c r="S1393" s="47"/>
      <c r="T1393" s="45"/>
      <c r="U1393" s="45"/>
      <c r="V1393" s="45"/>
      <c r="W1393" s="45"/>
      <c r="X1393" s="47"/>
      <c r="Y1393" s="45"/>
      <c r="Z1393" s="45"/>
      <c r="AA1393" s="48"/>
      <c r="AB1393" s="48"/>
      <c r="AC1393" s="47"/>
      <c r="AD1393" s="47"/>
      <c r="AE1393" s="47"/>
    </row>
    <row r="1394" spans="1:31" x14ac:dyDescent="0.35">
      <c r="A1394" s="41"/>
      <c r="B1394" s="41"/>
      <c r="C1394" s="42"/>
      <c r="D1394" s="43"/>
      <c r="E1394" s="43"/>
      <c r="F1394" s="43"/>
      <c r="G1394" s="43"/>
      <c r="H1394" s="43"/>
      <c r="I1394" s="43"/>
      <c r="J1394" s="43"/>
      <c r="K1394" s="43"/>
      <c r="L1394" s="43"/>
      <c r="M1394" s="43"/>
      <c r="N1394" s="43"/>
      <c r="O1394" s="43"/>
      <c r="P1394" s="43"/>
      <c r="Q1394" s="43"/>
      <c r="R1394" s="43"/>
      <c r="S1394" s="43"/>
      <c r="T1394" s="43"/>
      <c r="U1394" s="43"/>
      <c r="V1394" s="41"/>
      <c r="W1394" s="41"/>
      <c r="X1394" s="41"/>
      <c r="Y1394" s="41"/>
      <c r="Z1394" s="41"/>
      <c r="AA1394" s="44"/>
      <c r="AB1394" s="44"/>
      <c r="AC1394" s="43"/>
      <c r="AD1394" s="43"/>
      <c r="AE1394" s="43"/>
    </row>
    <row r="1395" spans="1:31" x14ac:dyDescent="0.35">
      <c r="C1395" s="33"/>
      <c r="D1395" s="34"/>
      <c r="E1395" s="34"/>
      <c r="F1395" s="34"/>
      <c r="G1395" s="34"/>
      <c r="H1395" s="34"/>
      <c r="I1395" s="34"/>
      <c r="J1395" s="34"/>
      <c r="K1395" s="34"/>
      <c r="L1395" s="34"/>
      <c r="M1395" s="34"/>
      <c r="N1395" s="34"/>
      <c r="O1395" s="34"/>
      <c r="AA1395" s="35"/>
      <c r="AB1395" s="35"/>
      <c r="AC1395" s="34"/>
      <c r="AD1395" s="34"/>
      <c r="AE1395" s="34"/>
    </row>
    <row r="1396" spans="1:31" ht="15" thickBot="1" x14ac:dyDescent="0.4">
      <c r="A1396" s="45"/>
      <c r="B1396" s="45"/>
      <c r="C1396" s="46"/>
      <c r="D1396" s="47"/>
      <c r="E1396" s="47"/>
      <c r="F1396" s="47"/>
      <c r="G1396" s="47"/>
      <c r="H1396" s="47"/>
      <c r="I1396" s="47"/>
      <c r="J1396" s="47"/>
      <c r="K1396" s="47"/>
      <c r="L1396" s="47"/>
      <c r="M1396" s="47"/>
      <c r="N1396" s="47"/>
      <c r="O1396" s="47"/>
      <c r="P1396" s="47"/>
      <c r="Q1396" s="47"/>
      <c r="R1396" s="47"/>
      <c r="S1396" s="47"/>
      <c r="T1396" s="45"/>
      <c r="U1396" s="45"/>
      <c r="V1396" s="45"/>
      <c r="W1396" s="45"/>
      <c r="X1396" s="47"/>
      <c r="Y1396" s="45"/>
      <c r="Z1396" s="45"/>
      <c r="AA1396" s="48"/>
      <c r="AB1396" s="48"/>
      <c r="AC1396" s="47"/>
      <c r="AD1396" s="47"/>
      <c r="AE1396" s="47"/>
    </row>
    <row r="1397" spans="1:31" x14ac:dyDescent="0.35">
      <c r="A1397" s="41"/>
      <c r="B1397" s="41"/>
      <c r="C1397" s="42"/>
      <c r="D1397" s="43"/>
      <c r="E1397" s="43"/>
      <c r="F1397" s="43"/>
      <c r="G1397" s="43"/>
      <c r="H1397" s="43"/>
      <c r="I1397" s="43"/>
      <c r="J1397" s="43"/>
      <c r="K1397" s="43"/>
      <c r="L1397" s="43"/>
      <c r="M1397" s="43"/>
      <c r="N1397" s="43"/>
      <c r="O1397" s="43"/>
      <c r="P1397" s="43"/>
      <c r="Q1397" s="43"/>
      <c r="R1397" s="43"/>
      <c r="S1397" s="43"/>
      <c r="T1397" s="43"/>
      <c r="U1397" s="43"/>
      <c r="V1397" s="41"/>
      <c r="W1397" s="41"/>
      <c r="X1397" s="41"/>
      <c r="Y1397" s="41"/>
      <c r="Z1397" s="41"/>
      <c r="AA1397" s="44"/>
      <c r="AB1397" s="44"/>
      <c r="AC1397" s="43"/>
      <c r="AD1397" s="43"/>
      <c r="AE1397" s="43"/>
    </row>
    <row r="1398" spans="1:31" x14ac:dyDescent="0.35">
      <c r="C1398" s="33"/>
      <c r="D1398" s="34"/>
      <c r="E1398" s="34"/>
      <c r="F1398" s="34"/>
      <c r="G1398" s="34"/>
      <c r="H1398" s="34"/>
      <c r="I1398" s="34"/>
      <c r="J1398" s="34"/>
      <c r="K1398" s="34"/>
      <c r="L1398" s="34"/>
      <c r="M1398" s="34"/>
      <c r="N1398" s="34"/>
      <c r="O1398" s="34"/>
      <c r="AA1398" s="35"/>
      <c r="AB1398" s="35"/>
      <c r="AC1398" s="34"/>
      <c r="AD1398" s="34"/>
      <c r="AE1398" s="34"/>
    </row>
    <row r="1399" spans="1:31" ht="15" thickBot="1" x14ac:dyDescent="0.4">
      <c r="A1399" s="45"/>
      <c r="B1399" s="45"/>
      <c r="C1399" s="46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  <c r="S1399" s="47"/>
      <c r="T1399" s="45"/>
      <c r="U1399" s="45"/>
      <c r="V1399" s="45"/>
      <c r="W1399" s="45"/>
      <c r="X1399" s="47"/>
      <c r="Y1399" s="45"/>
      <c r="Z1399" s="45"/>
      <c r="AA1399" s="48"/>
      <c r="AB1399" s="48"/>
      <c r="AC1399" s="47"/>
      <c r="AD1399" s="47"/>
      <c r="AE1399" s="47"/>
    </row>
    <row r="1400" spans="1:31" x14ac:dyDescent="0.35">
      <c r="A1400" s="41"/>
      <c r="B1400" s="41"/>
      <c r="C1400" s="42"/>
      <c r="D1400" s="43"/>
      <c r="E1400" s="43"/>
      <c r="F1400" s="43"/>
      <c r="G1400" s="43"/>
      <c r="H1400" s="43"/>
      <c r="I1400" s="43"/>
      <c r="J1400" s="43"/>
      <c r="K1400" s="43"/>
      <c r="L1400" s="43"/>
      <c r="M1400" s="43"/>
      <c r="N1400" s="43"/>
      <c r="O1400" s="43"/>
      <c r="P1400" s="43"/>
      <c r="Q1400" s="43"/>
      <c r="R1400" s="43"/>
      <c r="S1400" s="43"/>
      <c r="T1400" s="43"/>
      <c r="U1400" s="43"/>
      <c r="V1400" s="41"/>
      <c r="W1400" s="41"/>
      <c r="X1400" s="41"/>
      <c r="Y1400" s="41"/>
      <c r="Z1400" s="41"/>
      <c r="AA1400" s="44"/>
      <c r="AB1400" s="44"/>
      <c r="AC1400" s="43"/>
      <c r="AD1400" s="43"/>
      <c r="AE1400" s="43"/>
    </row>
    <row r="1401" spans="1:31" x14ac:dyDescent="0.35">
      <c r="C1401" s="33"/>
      <c r="D1401" s="34"/>
      <c r="E1401" s="34"/>
      <c r="F1401" s="34"/>
      <c r="G1401" s="34"/>
      <c r="H1401" s="34"/>
      <c r="I1401" s="34"/>
      <c r="J1401" s="34"/>
      <c r="K1401" s="34"/>
      <c r="L1401" s="34"/>
      <c r="M1401" s="34"/>
      <c r="N1401" s="34"/>
      <c r="O1401" s="34"/>
      <c r="AA1401" s="35"/>
      <c r="AB1401" s="35"/>
      <c r="AC1401" s="34"/>
      <c r="AD1401" s="34"/>
      <c r="AE1401" s="34"/>
    </row>
    <row r="1402" spans="1:31" ht="15" thickBot="1" x14ac:dyDescent="0.4">
      <c r="A1402" s="45"/>
      <c r="B1402" s="45"/>
      <c r="C1402" s="46"/>
      <c r="D1402" s="47"/>
      <c r="E1402" s="47"/>
      <c r="F1402" s="47"/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  <c r="S1402" s="47"/>
      <c r="T1402" s="45"/>
      <c r="U1402" s="45"/>
      <c r="V1402" s="45"/>
      <c r="W1402" s="45"/>
      <c r="X1402" s="47"/>
      <c r="Y1402" s="45"/>
      <c r="Z1402" s="45"/>
      <c r="AA1402" s="48"/>
      <c r="AB1402" s="48"/>
      <c r="AC1402" s="47"/>
      <c r="AD1402" s="47"/>
      <c r="AE1402" s="47"/>
    </row>
    <row r="1403" spans="1:31" x14ac:dyDescent="0.35">
      <c r="A1403" s="41"/>
      <c r="B1403" s="41"/>
      <c r="C1403" s="42"/>
      <c r="D1403" s="43"/>
      <c r="E1403" s="43"/>
      <c r="F1403" s="43"/>
      <c r="G1403" s="43"/>
      <c r="H1403" s="43"/>
      <c r="I1403" s="43"/>
      <c r="J1403" s="43"/>
      <c r="K1403" s="43"/>
      <c r="L1403" s="43"/>
      <c r="M1403" s="43"/>
      <c r="N1403" s="43"/>
      <c r="O1403" s="43"/>
      <c r="P1403" s="43"/>
      <c r="Q1403" s="43"/>
      <c r="R1403" s="43"/>
      <c r="S1403" s="43"/>
      <c r="T1403" s="43"/>
      <c r="U1403" s="43"/>
      <c r="V1403" s="41"/>
      <c r="W1403" s="41"/>
      <c r="X1403" s="41"/>
      <c r="Y1403" s="41"/>
      <c r="Z1403" s="41"/>
      <c r="AA1403" s="44"/>
      <c r="AB1403" s="44"/>
      <c r="AC1403" s="43"/>
      <c r="AD1403" s="43"/>
      <c r="AE1403" s="43"/>
    </row>
    <row r="1404" spans="1:31" x14ac:dyDescent="0.35">
      <c r="C1404" s="33"/>
      <c r="D1404" s="34"/>
      <c r="E1404" s="34"/>
      <c r="F1404" s="34"/>
      <c r="G1404" s="34"/>
      <c r="H1404" s="34"/>
      <c r="I1404" s="34"/>
      <c r="J1404" s="34"/>
      <c r="K1404" s="34"/>
      <c r="L1404" s="34"/>
      <c r="M1404" s="34"/>
      <c r="N1404" s="34"/>
      <c r="O1404" s="34"/>
      <c r="AA1404" s="35"/>
      <c r="AB1404" s="35"/>
      <c r="AC1404" s="34"/>
      <c r="AD1404" s="34"/>
      <c r="AE1404" s="34"/>
    </row>
    <row r="1405" spans="1:31" ht="15" thickBot="1" x14ac:dyDescent="0.4">
      <c r="A1405" s="45"/>
      <c r="B1405" s="45"/>
      <c r="C1405" s="46"/>
      <c r="D1405" s="47"/>
      <c r="E1405" s="47"/>
      <c r="F1405" s="47"/>
      <c r="G1405" s="47"/>
      <c r="H1405" s="47"/>
      <c r="I1405" s="47"/>
      <c r="J1405" s="47"/>
      <c r="K1405" s="47"/>
      <c r="L1405" s="47"/>
      <c r="M1405" s="47"/>
      <c r="N1405" s="47"/>
      <c r="O1405" s="47"/>
      <c r="P1405" s="47"/>
      <c r="Q1405" s="47"/>
      <c r="R1405" s="47"/>
      <c r="S1405" s="47"/>
      <c r="T1405" s="45"/>
      <c r="U1405" s="45"/>
      <c r="V1405" s="45"/>
      <c r="W1405" s="45"/>
      <c r="X1405" s="47"/>
      <c r="Y1405" s="45"/>
      <c r="Z1405" s="45"/>
      <c r="AA1405" s="48"/>
      <c r="AB1405" s="48"/>
      <c r="AC1405" s="47"/>
      <c r="AD1405" s="47"/>
      <c r="AE1405" s="47"/>
    </row>
    <row r="1406" spans="1:31" x14ac:dyDescent="0.35">
      <c r="A1406" s="41"/>
      <c r="B1406" s="41"/>
      <c r="C1406" s="42"/>
      <c r="D1406" s="43"/>
      <c r="E1406" s="43"/>
      <c r="F1406" s="43"/>
      <c r="G1406" s="43"/>
      <c r="H1406" s="43"/>
      <c r="I1406" s="43"/>
      <c r="J1406" s="43"/>
      <c r="K1406" s="43"/>
      <c r="L1406" s="43"/>
      <c r="M1406" s="43"/>
      <c r="N1406" s="43"/>
      <c r="O1406" s="43"/>
      <c r="P1406" s="43"/>
      <c r="Q1406" s="43"/>
      <c r="R1406" s="43"/>
      <c r="S1406" s="43"/>
      <c r="T1406" s="43"/>
      <c r="U1406" s="43"/>
      <c r="V1406" s="41"/>
      <c r="W1406" s="41"/>
      <c r="X1406" s="41"/>
      <c r="Y1406" s="41"/>
      <c r="Z1406" s="41"/>
      <c r="AA1406" s="44"/>
      <c r="AB1406" s="44"/>
      <c r="AC1406" s="43"/>
      <c r="AD1406" s="43"/>
      <c r="AE1406" s="43"/>
    </row>
    <row r="1407" spans="1:31" x14ac:dyDescent="0.35">
      <c r="C1407" s="33"/>
      <c r="D1407" s="34"/>
      <c r="E1407" s="34"/>
      <c r="F1407" s="34"/>
      <c r="G1407" s="34"/>
      <c r="H1407" s="34"/>
      <c r="I1407" s="34"/>
      <c r="J1407" s="34"/>
      <c r="K1407" s="34"/>
      <c r="L1407" s="34"/>
      <c r="M1407" s="34"/>
      <c r="N1407" s="34"/>
      <c r="O1407" s="34"/>
      <c r="AA1407" s="35"/>
      <c r="AB1407" s="35"/>
      <c r="AC1407" s="34"/>
      <c r="AD1407" s="34"/>
      <c r="AE1407" s="34"/>
    </row>
    <row r="1408" spans="1:31" ht="15" thickBot="1" x14ac:dyDescent="0.4">
      <c r="A1408" s="45"/>
      <c r="B1408" s="45"/>
      <c r="C1408" s="46"/>
      <c r="D1408" s="47"/>
      <c r="E1408" s="47"/>
      <c r="F1408" s="47"/>
      <c r="G1408" s="47"/>
      <c r="H1408" s="47"/>
      <c r="I1408" s="47"/>
      <c r="J1408" s="47"/>
      <c r="K1408" s="47"/>
      <c r="L1408" s="47"/>
      <c r="M1408" s="47"/>
      <c r="N1408" s="47"/>
      <c r="O1408" s="47"/>
      <c r="P1408" s="47"/>
      <c r="Q1408" s="47"/>
      <c r="R1408" s="47"/>
      <c r="S1408" s="47"/>
      <c r="T1408" s="45"/>
      <c r="U1408" s="45"/>
      <c r="V1408" s="45"/>
      <c r="W1408" s="45"/>
      <c r="X1408" s="47"/>
      <c r="Y1408" s="45"/>
      <c r="Z1408" s="45"/>
      <c r="AA1408" s="48"/>
      <c r="AB1408" s="48"/>
      <c r="AC1408" s="47"/>
      <c r="AD1408" s="47"/>
      <c r="AE1408" s="47"/>
    </row>
    <row r="1409" spans="1:31" x14ac:dyDescent="0.35">
      <c r="A1409" s="41"/>
      <c r="B1409" s="41"/>
      <c r="C1409" s="42"/>
      <c r="D1409" s="43"/>
      <c r="E1409" s="43"/>
      <c r="F1409" s="43"/>
      <c r="G1409" s="43"/>
      <c r="H1409" s="43"/>
      <c r="I1409" s="43"/>
      <c r="J1409" s="43"/>
      <c r="K1409" s="43"/>
      <c r="L1409" s="43"/>
      <c r="M1409" s="43"/>
      <c r="N1409" s="43"/>
      <c r="O1409" s="43"/>
      <c r="P1409" s="43"/>
      <c r="Q1409" s="43"/>
      <c r="R1409" s="43"/>
      <c r="S1409" s="43"/>
      <c r="T1409" s="43"/>
      <c r="U1409" s="43"/>
      <c r="V1409" s="41"/>
      <c r="W1409" s="41"/>
      <c r="X1409" s="41"/>
      <c r="Y1409" s="41"/>
      <c r="Z1409" s="41"/>
      <c r="AA1409" s="44"/>
      <c r="AB1409" s="44"/>
      <c r="AC1409" s="43"/>
      <c r="AD1409" s="43"/>
      <c r="AE1409" s="43"/>
    </row>
    <row r="1410" spans="1:31" x14ac:dyDescent="0.35">
      <c r="C1410" s="33"/>
      <c r="D1410" s="34"/>
      <c r="E1410" s="34"/>
      <c r="F1410" s="34"/>
      <c r="G1410" s="34"/>
      <c r="H1410" s="34"/>
      <c r="I1410" s="34"/>
      <c r="J1410" s="34"/>
      <c r="K1410" s="34"/>
      <c r="L1410" s="34"/>
      <c r="M1410" s="34"/>
      <c r="N1410" s="34"/>
      <c r="O1410" s="34"/>
      <c r="AA1410" s="35"/>
      <c r="AB1410" s="35"/>
      <c r="AC1410" s="34"/>
      <c r="AD1410" s="34"/>
      <c r="AE1410" s="34"/>
    </row>
    <row r="1411" spans="1:31" ht="15" thickBot="1" x14ac:dyDescent="0.4">
      <c r="A1411" s="45"/>
      <c r="B1411" s="45"/>
      <c r="C1411" s="46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  <c r="S1411" s="47"/>
      <c r="T1411" s="45"/>
      <c r="U1411" s="45"/>
      <c r="V1411" s="45"/>
      <c r="W1411" s="45"/>
      <c r="X1411" s="47"/>
      <c r="Y1411" s="45"/>
      <c r="Z1411" s="45"/>
      <c r="AA1411" s="48"/>
      <c r="AB1411" s="48"/>
      <c r="AC1411" s="47"/>
      <c r="AD1411" s="47"/>
      <c r="AE1411" s="47"/>
    </row>
    <row r="1412" spans="1:31" x14ac:dyDescent="0.35">
      <c r="A1412" s="41"/>
      <c r="B1412" s="41"/>
      <c r="C1412" s="42"/>
      <c r="D1412" s="43"/>
      <c r="E1412" s="43"/>
      <c r="F1412" s="43"/>
      <c r="G1412" s="43"/>
      <c r="H1412" s="43"/>
      <c r="I1412" s="43"/>
      <c r="J1412" s="43"/>
      <c r="K1412" s="43"/>
      <c r="L1412" s="43"/>
      <c r="M1412" s="43"/>
      <c r="N1412" s="43"/>
      <c r="O1412" s="43"/>
      <c r="P1412" s="43"/>
      <c r="Q1412" s="43"/>
      <c r="R1412" s="43"/>
      <c r="S1412" s="43"/>
      <c r="T1412" s="43"/>
      <c r="U1412" s="43"/>
      <c r="V1412" s="41"/>
      <c r="W1412" s="41"/>
      <c r="X1412" s="41"/>
      <c r="Y1412" s="41"/>
      <c r="Z1412" s="41"/>
      <c r="AA1412" s="44"/>
      <c r="AB1412" s="44"/>
      <c r="AC1412" s="43"/>
      <c r="AD1412" s="43"/>
      <c r="AE1412" s="43"/>
    </row>
    <row r="1413" spans="1:31" x14ac:dyDescent="0.35">
      <c r="C1413" s="33"/>
      <c r="D1413" s="34"/>
      <c r="E1413" s="34"/>
      <c r="F1413" s="34"/>
      <c r="G1413" s="34"/>
      <c r="H1413" s="34"/>
      <c r="I1413" s="34"/>
      <c r="J1413" s="34"/>
      <c r="K1413" s="34"/>
      <c r="L1413" s="34"/>
      <c r="M1413" s="34"/>
      <c r="N1413" s="34"/>
      <c r="O1413" s="34"/>
      <c r="AA1413" s="35"/>
      <c r="AB1413" s="35"/>
      <c r="AC1413" s="34"/>
      <c r="AD1413" s="34"/>
      <c r="AE1413" s="34"/>
    </row>
    <row r="1414" spans="1:31" ht="15" thickBot="1" x14ac:dyDescent="0.4">
      <c r="A1414" s="45"/>
      <c r="B1414" s="45"/>
      <c r="C1414" s="46"/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  <c r="S1414" s="47"/>
      <c r="T1414" s="45"/>
      <c r="U1414" s="45"/>
      <c r="V1414" s="45"/>
      <c r="W1414" s="45"/>
      <c r="X1414" s="47"/>
      <c r="Y1414" s="45"/>
      <c r="Z1414" s="45"/>
      <c r="AA1414" s="48"/>
      <c r="AB1414" s="48"/>
      <c r="AC1414" s="47"/>
      <c r="AD1414" s="47"/>
      <c r="AE1414" s="47"/>
    </row>
    <row r="1415" spans="1:31" x14ac:dyDescent="0.35">
      <c r="A1415" s="41"/>
      <c r="B1415" s="41"/>
      <c r="C1415" s="42"/>
      <c r="D1415" s="43"/>
      <c r="E1415" s="43"/>
      <c r="F1415" s="43"/>
      <c r="G1415" s="43"/>
      <c r="H1415" s="43"/>
      <c r="I1415" s="43"/>
      <c r="J1415" s="43"/>
      <c r="K1415" s="43"/>
      <c r="L1415" s="43"/>
      <c r="M1415" s="43"/>
      <c r="N1415" s="43"/>
      <c r="O1415" s="43"/>
      <c r="P1415" s="43"/>
      <c r="Q1415" s="43"/>
      <c r="R1415" s="43"/>
      <c r="S1415" s="43"/>
      <c r="T1415" s="43"/>
      <c r="U1415" s="43"/>
      <c r="V1415" s="41"/>
      <c r="W1415" s="41"/>
      <c r="X1415" s="41"/>
      <c r="Y1415" s="41"/>
      <c r="Z1415" s="41"/>
      <c r="AA1415" s="44"/>
      <c r="AB1415" s="44"/>
      <c r="AC1415" s="43"/>
      <c r="AD1415" s="43"/>
      <c r="AE1415" s="43"/>
    </row>
    <row r="1416" spans="1:31" x14ac:dyDescent="0.35">
      <c r="C1416" s="33"/>
      <c r="D1416" s="34"/>
      <c r="E1416" s="34"/>
      <c r="F1416" s="34"/>
      <c r="G1416" s="34"/>
      <c r="H1416" s="34"/>
      <c r="I1416" s="34"/>
      <c r="J1416" s="34"/>
      <c r="K1416" s="34"/>
      <c r="L1416" s="34"/>
      <c r="M1416" s="34"/>
      <c r="N1416" s="34"/>
      <c r="O1416" s="34"/>
      <c r="AA1416" s="35"/>
      <c r="AB1416" s="35"/>
      <c r="AC1416" s="34"/>
      <c r="AD1416" s="34"/>
      <c r="AE1416" s="34"/>
    </row>
    <row r="1417" spans="1:31" ht="15" thickBot="1" x14ac:dyDescent="0.4">
      <c r="A1417" s="45"/>
      <c r="B1417" s="45"/>
      <c r="C1417" s="46"/>
      <c r="D1417" s="47"/>
      <c r="E1417" s="47"/>
      <c r="F1417" s="47"/>
      <c r="G1417" s="47"/>
      <c r="H1417" s="47"/>
      <c r="I1417" s="47"/>
      <c r="J1417" s="47"/>
      <c r="K1417" s="47"/>
      <c r="L1417" s="47"/>
      <c r="M1417" s="47"/>
      <c r="N1417" s="47"/>
      <c r="O1417" s="47"/>
      <c r="P1417" s="47"/>
      <c r="Q1417" s="47"/>
      <c r="R1417" s="47"/>
      <c r="S1417" s="47"/>
      <c r="T1417" s="45"/>
      <c r="U1417" s="45"/>
      <c r="V1417" s="45"/>
      <c r="W1417" s="45"/>
      <c r="X1417" s="47"/>
      <c r="Y1417" s="45"/>
      <c r="Z1417" s="45"/>
      <c r="AA1417" s="48"/>
      <c r="AB1417" s="48"/>
      <c r="AC1417" s="47"/>
      <c r="AD1417" s="47"/>
      <c r="AE1417" s="47"/>
    </row>
    <row r="1418" spans="1:31" x14ac:dyDescent="0.35">
      <c r="A1418" s="41"/>
      <c r="B1418" s="41"/>
      <c r="C1418" s="42"/>
      <c r="D1418" s="43"/>
      <c r="E1418" s="43"/>
      <c r="F1418" s="43"/>
      <c r="G1418" s="43"/>
      <c r="H1418" s="43"/>
      <c r="I1418" s="43"/>
      <c r="J1418" s="43"/>
      <c r="K1418" s="43"/>
      <c r="L1418" s="43"/>
      <c r="M1418" s="43"/>
      <c r="N1418" s="43"/>
      <c r="O1418" s="43"/>
      <c r="P1418" s="43"/>
      <c r="Q1418" s="43"/>
      <c r="R1418" s="43"/>
      <c r="S1418" s="43"/>
      <c r="T1418" s="43"/>
      <c r="U1418" s="43"/>
      <c r="V1418" s="41"/>
      <c r="W1418" s="41"/>
      <c r="X1418" s="41"/>
      <c r="Y1418" s="41"/>
      <c r="Z1418" s="41"/>
      <c r="AA1418" s="44"/>
      <c r="AB1418" s="44"/>
      <c r="AC1418" s="43"/>
      <c r="AD1418" s="43"/>
      <c r="AE1418" s="43"/>
    </row>
    <row r="1419" spans="1:31" x14ac:dyDescent="0.35">
      <c r="C1419" s="33"/>
      <c r="D1419" s="34"/>
      <c r="E1419" s="34"/>
      <c r="F1419" s="34"/>
      <c r="G1419" s="34"/>
      <c r="H1419" s="34"/>
      <c r="I1419" s="34"/>
      <c r="J1419" s="34"/>
      <c r="K1419" s="34"/>
      <c r="L1419" s="34"/>
      <c r="M1419" s="34"/>
      <c r="N1419" s="34"/>
      <c r="O1419" s="34"/>
      <c r="AA1419" s="35"/>
      <c r="AB1419" s="35"/>
      <c r="AC1419" s="34"/>
      <c r="AD1419" s="34"/>
      <c r="AE1419" s="34"/>
    </row>
    <row r="1420" spans="1:31" ht="15" thickBot="1" x14ac:dyDescent="0.4">
      <c r="A1420" s="45"/>
      <c r="B1420" s="45"/>
      <c r="C1420" s="46"/>
      <c r="D1420" s="47"/>
      <c r="E1420" s="47"/>
      <c r="F1420" s="47"/>
      <c r="G1420" s="47"/>
      <c r="H1420" s="47"/>
      <c r="I1420" s="47"/>
      <c r="J1420" s="47"/>
      <c r="K1420" s="47"/>
      <c r="L1420" s="47"/>
      <c r="M1420" s="47"/>
      <c r="N1420" s="47"/>
      <c r="O1420" s="47"/>
      <c r="P1420" s="47"/>
      <c r="Q1420" s="47"/>
      <c r="R1420" s="47"/>
      <c r="S1420" s="47"/>
      <c r="T1420" s="45"/>
      <c r="U1420" s="45"/>
      <c r="V1420" s="45"/>
      <c r="W1420" s="45"/>
      <c r="X1420" s="47"/>
      <c r="Y1420" s="45"/>
      <c r="Z1420" s="45"/>
      <c r="AA1420" s="48"/>
      <c r="AB1420" s="48"/>
      <c r="AC1420" s="47"/>
      <c r="AD1420" s="47"/>
      <c r="AE1420" s="47"/>
    </row>
    <row r="1421" spans="1:31" x14ac:dyDescent="0.35">
      <c r="A1421" s="41"/>
      <c r="B1421" s="41"/>
      <c r="C1421" s="42"/>
      <c r="D1421" s="43"/>
      <c r="E1421" s="43"/>
      <c r="F1421" s="43"/>
      <c r="G1421" s="43"/>
      <c r="H1421" s="43"/>
      <c r="I1421" s="43"/>
      <c r="J1421" s="43"/>
      <c r="K1421" s="43"/>
      <c r="L1421" s="43"/>
      <c r="M1421" s="43"/>
      <c r="N1421" s="43"/>
      <c r="O1421" s="43"/>
      <c r="P1421" s="43"/>
      <c r="Q1421" s="43"/>
      <c r="R1421" s="43"/>
      <c r="S1421" s="43"/>
      <c r="T1421" s="43"/>
      <c r="U1421" s="43"/>
      <c r="V1421" s="41"/>
      <c r="W1421" s="41"/>
      <c r="X1421" s="41"/>
      <c r="Y1421" s="41"/>
      <c r="Z1421" s="41"/>
      <c r="AA1421" s="44"/>
      <c r="AB1421" s="44"/>
      <c r="AC1421" s="43"/>
      <c r="AD1421" s="43"/>
      <c r="AE1421" s="43"/>
    </row>
    <row r="1422" spans="1:31" x14ac:dyDescent="0.35">
      <c r="C1422" s="33"/>
      <c r="D1422" s="34"/>
      <c r="E1422" s="34"/>
      <c r="F1422" s="34"/>
      <c r="G1422" s="34"/>
      <c r="H1422" s="34"/>
      <c r="I1422" s="34"/>
      <c r="J1422" s="34"/>
      <c r="K1422" s="34"/>
      <c r="L1422" s="34"/>
      <c r="M1422" s="34"/>
      <c r="N1422" s="34"/>
      <c r="O1422" s="34"/>
      <c r="AA1422" s="35"/>
      <c r="AB1422" s="35"/>
      <c r="AC1422" s="34"/>
      <c r="AD1422" s="34"/>
      <c r="AE1422" s="34"/>
    </row>
    <row r="1423" spans="1:31" ht="15" thickBot="1" x14ac:dyDescent="0.4">
      <c r="A1423" s="45"/>
      <c r="B1423" s="45"/>
      <c r="C1423" s="46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  <c r="S1423" s="47"/>
      <c r="T1423" s="45"/>
      <c r="U1423" s="45"/>
      <c r="V1423" s="45"/>
      <c r="W1423" s="45"/>
      <c r="X1423" s="47"/>
      <c r="Y1423" s="45"/>
      <c r="Z1423" s="45"/>
      <c r="AA1423" s="48"/>
      <c r="AB1423" s="48"/>
      <c r="AC1423" s="47"/>
      <c r="AD1423" s="47"/>
      <c r="AE1423" s="47"/>
    </row>
    <row r="1424" spans="1:31" x14ac:dyDescent="0.35">
      <c r="A1424" s="41"/>
      <c r="B1424" s="41"/>
      <c r="C1424" s="42"/>
      <c r="D1424" s="43"/>
      <c r="E1424" s="43"/>
      <c r="F1424" s="43"/>
      <c r="G1424" s="43"/>
      <c r="H1424" s="43"/>
      <c r="I1424" s="43"/>
      <c r="J1424" s="43"/>
      <c r="K1424" s="43"/>
      <c r="L1424" s="43"/>
      <c r="M1424" s="43"/>
      <c r="N1424" s="43"/>
      <c r="O1424" s="43"/>
      <c r="P1424" s="43"/>
      <c r="Q1424" s="43"/>
      <c r="R1424" s="43"/>
      <c r="S1424" s="43"/>
      <c r="T1424" s="43"/>
      <c r="U1424" s="43"/>
      <c r="V1424" s="41"/>
      <c r="W1424" s="41"/>
      <c r="X1424" s="41"/>
      <c r="Y1424" s="41"/>
      <c r="Z1424" s="41"/>
      <c r="AA1424" s="44"/>
      <c r="AB1424" s="44"/>
      <c r="AC1424" s="43"/>
      <c r="AD1424" s="43"/>
      <c r="AE1424" s="43"/>
    </row>
    <row r="1425" spans="1:31" x14ac:dyDescent="0.35">
      <c r="C1425" s="33"/>
      <c r="D1425" s="34"/>
      <c r="E1425" s="34"/>
      <c r="F1425" s="34"/>
      <c r="G1425" s="34"/>
      <c r="H1425" s="34"/>
      <c r="I1425" s="34"/>
      <c r="J1425" s="34"/>
      <c r="K1425" s="34"/>
      <c r="L1425" s="34"/>
      <c r="M1425" s="34"/>
      <c r="N1425" s="34"/>
      <c r="O1425" s="34"/>
      <c r="AA1425" s="35"/>
      <c r="AB1425" s="35"/>
      <c r="AC1425" s="34"/>
      <c r="AD1425" s="34"/>
      <c r="AE1425" s="34"/>
    </row>
    <row r="1426" spans="1:31" ht="15" thickBot="1" x14ac:dyDescent="0.4">
      <c r="A1426" s="45"/>
      <c r="B1426" s="45"/>
      <c r="C1426" s="46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  <c r="S1426" s="47"/>
      <c r="T1426" s="45"/>
      <c r="U1426" s="45"/>
      <c r="V1426" s="45"/>
      <c r="W1426" s="45"/>
      <c r="X1426" s="47"/>
      <c r="Y1426" s="45"/>
      <c r="Z1426" s="45"/>
      <c r="AA1426" s="48"/>
      <c r="AB1426" s="48"/>
      <c r="AC1426" s="47"/>
      <c r="AD1426" s="47"/>
      <c r="AE1426" s="47"/>
    </row>
    <row r="1427" spans="1:31" x14ac:dyDescent="0.35">
      <c r="A1427" s="41"/>
      <c r="B1427" s="41"/>
      <c r="C1427" s="42"/>
      <c r="D1427" s="43"/>
      <c r="E1427" s="43"/>
      <c r="F1427" s="43"/>
      <c r="G1427" s="43"/>
      <c r="H1427" s="43"/>
      <c r="I1427" s="43"/>
      <c r="J1427" s="43"/>
      <c r="K1427" s="43"/>
      <c r="L1427" s="43"/>
      <c r="M1427" s="43"/>
      <c r="N1427" s="43"/>
      <c r="O1427" s="43"/>
      <c r="P1427" s="43"/>
      <c r="Q1427" s="43"/>
      <c r="R1427" s="43"/>
      <c r="S1427" s="43"/>
      <c r="T1427" s="43"/>
      <c r="U1427" s="43"/>
      <c r="V1427" s="41"/>
      <c r="W1427" s="41"/>
      <c r="X1427" s="41"/>
      <c r="Y1427" s="41"/>
      <c r="Z1427" s="41"/>
      <c r="AA1427" s="44"/>
      <c r="AB1427" s="44"/>
      <c r="AC1427" s="43"/>
      <c r="AD1427" s="43"/>
      <c r="AE1427" s="43"/>
    </row>
    <row r="1428" spans="1:31" x14ac:dyDescent="0.35">
      <c r="C1428" s="33"/>
      <c r="D1428" s="34"/>
      <c r="E1428" s="34"/>
      <c r="F1428" s="34"/>
      <c r="G1428" s="34"/>
      <c r="H1428" s="34"/>
      <c r="I1428" s="34"/>
      <c r="J1428" s="34"/>
      <c r="K1428" s="34"/>
      <c r="L1428" s="34"/>
      <c r="M1428" s="34"/>
      <c r="N1428" s="34"/>
      <c r="O1428" s="34"/>
      <c r="AA1428" s="35"/>
      <c r="AB1428" s="35"/>
      <c r="AC1428" s="34"/>
      <c r="AD1428" s="34"/>
      <c r="AE1428" s="34"/>
    </row>
    <row r="1429" spans="1:31" ht="15" thickBot="1" x14ac:dyDescent="0.4">
      <c r="A1429" s="45"/>
      <c r="B1429" s="45"/>
      <c r="C1429" s="46"/>
      <c r="D1429" s="47"/>
      <c r="E1429" s="47"/>
      <c r="F1429" s="47"/>
      <c r="G1429" s="47"/>
      <c r="H1429" s="47"/>
      <c r="I1429" s="47"/>
      <c r="J1429" s="47"/>
      <c r="K1429" s="47"/>
      <c r="L1429" s="47"/>
      <c r="M1429" s="47"/>
      <c r="N1429" s="47"/>
      <c r="O1429" s="47"/>
      <c r="P1429" s="47"/>
      <c r="Q1429" s="47"/>
      <c r="R1429" s="47"/>
      <c r="S1429" s="47"/>
      <c r="T1429" s="45"/>
      <c r="U1429" s="45"/>
      <c r="V1429" s="45"/>
      <c r="W1429" s="45"/>
      <c r="X1429" s="47"/>
      <c r="Y1429" s="45"/>
      <c r="Z1429" s="45"/>
      <c r="AA1429" s="48"/>
      <c r="AB1429" s="48"/>
      <c r="AC1429" s="47"/>
      <c r="AD1429" s="47"/>
      <c r="AE1429" s="47"/>
    </row>
    <row r="1430" spans="1:31" x14ac:dyDescent="0.35">
      <c r="A1430" s="41"/>
      <c r="B1430" s="41"/>
      <c r="C1430" s="42"/>
      <c r="D1430" s="43"/>
      <c r="E1430" s="43"/>
      <c r="F1430" s="43"/>
      <c r="G1430" s="43"/>
      <c r="H1430" s="43"/>
      <c r="I1430" s="43"/>
      <c r="J1430" s="43"/>
      <c r="K1430" s="43"/>
      <c r="L1430" s="43"/>
      <c r="M1430" s="43"/>
      <c r="N1430" s="43"/>
      <c r="O1430" s="43"/>
      <c r="P1430" s="43"/>
      <c r="Q1430" s="43"/>
      <c r="R1430" s="43"/>
      <c r="S1430" s="43"/>
      <c r="T1430" s="43"/>
      <c r="U1430" s="43"/>
      <c r="V1430" s="41"/>
      <c r="W1430" s="41"/>
      <c r="X1430" s="41"/>
      <c r="Y1430" s="41"/>
      <c r="Z1430" s="41"/>
      <c r="AA1430" s="44"/>
      <c r="AB1430" s="44"/>
      <c r="AC1430" s="43"/>
      <c r="AD1430" s="43"/>
      <c r="AE1430" s="43"/>
    </row>
    <row r="1431" spans="1:31" x14ac:dyDescent="0.35">
      <c r="C1431" s="33"/>
      <c r="D1431" s="34"/>
      <c r="E1431" s="34"/>
      <c r="F1431" s="34"/>
      <c r="G1431" s="34"/>
      <c r="H1431" s="34"/>
      <c r="I1431" s="34"/>
      <c r="J1431" s="34"/>
      <c r="K1431" s="34"/>
      <c r="L1431" s="34"/>
      <c r="M1431" s="34"/>
      <c r="N1431" s="34"/>
      <c r="O1431" s="34"/>
      <c r="AA1431" s="35"/>
      <c r="AB1431" s="35"/>
      <c r="AC1431" s="34"/>
      <c r="AD1431" s="34"/>
      <c r="AE1431" s="34"/>
    </row>
    <row r="1432" spans="1:31" ht="15" thickBot="1" x14ac:dyDescent="0.4">
      <c r="A1432" s="45"/>
      <c r="B1432" s="45"/>
      <c r="C1432" s="46"/>
      <c r="D1432" s="47"/>
      <c r="E1432" s="47"/>
      <c r="F1432" s="47"/>
      <c r="G1432" s="47"/>
      <c r="H1432" s="47"/>
      <c r="I1432" s="47"/>
      <c r="J1432" s="47"/>
      <c r="K1432" s="47"/>
      <c r="L1432" s="47"/>
      <c r="M1432" s="47"/>
      <c r="N1432" s="47"/>
      <c r="O1432" s="47"/>
      <c r="P1432" s="47"/>
      <c r="Q1432" s="47"/>
      <c r="R1432" s="47"/>
      <c r="S1432" s="47"/>
      <c r="T1432" s="45"/>
      <c r="U1432" s="45"/>
      <c r="V1432" s="45"/>
      <c r="W1432" s="45"/>
      <c r="X1432" s="47"/>
      <c r="Y1432" s="45"/>
      <c r="Z1432" s="45"/>
      <c r="AA1432" s="48"/>
      <c r="AB1432" s="48"/>
      <c r="AC1432" s="47"/>
      <c r="AD1432" s="47"/>
      <c r="AE1432" s="47"/>
    </row>
    <row r="1433" spans="1:31" x14ac:dyDescent="0.35">
      <c r="A1433" s="41"/>
      <c r="B1433" s="41"/>
      <c r="C1433" s="42"/>
      <c r="D1433" s="43"/>
      <c r="E1433" s="43"/>
      <c r="F1433" s="43"/>
      <c r="G1433" s="43"/>
      <c r="H1433" s="43"/>
      <c r="I1433" s="43"/>
      <c r="J1433" s="43"/>
      <c r="K1433" s="43"/>
      <c r="L1433" s="43"/>
      <c r="M1433" s="43"/>
      <c r="N1433" s="43"/>
      <c r="O1433" s="43"/>
      <c r="P1433" s="43"/>
      <c r="Q1433" s="43"/>
      <c r="R1433" s="43"/>
      <c r="S1433" s="43"/>
      <c r="T1433" s="43"/>
      <c r="U1433" s="43"/>
      <c r="V1433" s="41"/>
      <c r="W1433" s="41"/>
      <c r="X1433" s="41"/>
      <c r="Y1433" s="41"/>
      <c r="Z1433" s="41"/>
      <c r="AA1433" s="44"/>
      <c r="AB1433" s="44"/>
      <c r="AC1433" s="43"/>
      <c r="AD1433" s="43"/>
      <c r="AE1433" s="43"/>
    </row>
    <row r="1434" spans="1:31" x14ac:dyDescent="0.35">
      <c r="C1434" s="33"/>
      <c r="D1434" s="34"/>
      <c r="E1434" s="34"/>
      <c r="F1434" s="34"/>
      <c r="G1434" s="34"/>
      <c r="H1434" s="34"/>
      <c r="I1434" s="34"/>
      <c r="J1434" s="34"/>
      <c r="K1434" s="34"/>
      <c r="L1434" s="34"/>
      <c r="M1434" s="34"/>
      <c r="N1434" s="34"/>
      <c r="O1434" s="34"/>
      <c r="AA1434" s="35"/>
      <c r="AB1434" s="35"/>
      <c r="AC1434" s="34"/>
      <c r="AD1434" s="34"/>
      <c r="AE1434" s="34"/>
    </row>
    <row r="1435" spans="1:31" ht="15" thickBot="1" x14ac:dyDescent="0.4">
      <c r="A1435" s="45"/>
      <c r="B1435" s="45"/>
      <c r="C1435" s="46"/>
      <c r="D1435" s="47"/>
      <c r="E1435" s="47"/>
      <c r="F1435" s="47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  <c r="S1435" s="47"/>
      <c r="T1435" s="45"/>
      <c r="U1435" s="45"/>
      <c r="V1435" s="45"/>
      <c r="W1435" s="45"/>
      <c r="X1435" s="47"/>
      <c r="Y1435" s="45"/>
      <c r="Z1435" s="45"/>
      <c r="AA1435" s="48"/>
      <c r="AB1435" s="48"/>
      <c r="AC1435" s="47"/>
      <c r="AD1435" s="47"/>
      <c r="AE1435" s="47"/>
    </row>
    <row r="1436" spans="1:31" x14ac:dyDescent="0.35">
      <c r="A1436" s="41"/>
      <c r="B1436" s="41"/>
      <c r="C1436" s="42"/>
      <c r="D1436" s="43"/>
      <c r="E1436" s="43"/>
      <c r="F1436" s="43"/>
      <c r="G1436" s="43"/>
      <c r="H1436" s="43"/>
      <c r="I1436" s="43"/>
      <c r="J1436" s="43"/>
      <c r="K1436" s="43"/>
      <c r="L1436" s="43"/>
      <c r="M1436" s="43"/>
      <c r="N1436" s="43"/>
      <c r="O1436" s="43"/>
      <c r="P1436" s="43"/>
      <c r="Q1436" s="43"/>
      <c r="R1436" s="43"/>
      <c r="S1436" s="43"/>
      <c r="T1436" s="43"/>
      <c r="U1436" s="43"/>
      <c r="V1436" s="41"/>
      <c r="W1436" s="41"/>
      <c r="X1436" s="41"/>
      <c r="Y1436" s="41"/>
      <c r="Z1436" s="41"/>
      <c r="AA1436" s="44"/>
      <c r="AB1436" s="44"/>
      <c r="AC1436" s="43"/>
      <c r="AD1436" s="43"/>
      <c r="AE1436" s="43"/>
    </row>
    <row r="1437" spans="1:31" x14ac:dyDescent="0.35">
      <c r="C1437" s="33"/>
      <c r="D1437" s="34"/>
      <c r="E1437" s="34"/>
      <c r="F1437" s="34"/>
      <c r="G1437" s="34"/>
      <c r="H1437" s="34"/>
      <c r="I1437" s="34"/>
      <c r="J1437" s="34"/>
      <c r="K1437" s="34"/>
      <c r="L1437" s="34"/>
      <c r="M1437" s="34"/>
      <c r="N1437" s="34"/>
      <c r="O1437" s="34"/>
      <c r="AA1437" s="35"/>
      <c r="AB1437" s="35"/>
      <c r="AC1437" s="34"/>
      <c r="AD1437" s="34"/>
      <c r="AE1437" s="34"/>
    </row>
    <row r="1438" spans="1:31" ht="15" thickBot="1" x14ac:dyDescent="0.4">
      <c r="A1438" s="45"/>
      <c r="B1438" s="45"/>
      <c r="C1438" s="46"/>
      <c r="D1438" s="47"/>
      <c r="E1438" s="47"/>
      <c r="F1438" s="47"/>
      <c r="G1438" s="47"/>
      <c r="H1438" s="47"/>
      <c r="I1438" s="47"/>
      <c r="J1438" s="47"/>
      <c r="K1438" s="47"/>
      <c r="L1438" s="47"/>
      <c r="M1438" s="47"/>
      <c r="N1438" s="47"/>
      <c r="O1438" s="47"/>
      <c r="P1438" s="47"/>
      <c r="Q1438" s="47"/>
      <c r="R1438" s="47"/>
      <c r="S1438" s="47"/>
      <c r="T1438" s="45"/>
      <c r="U1438" s="45"/>
      <c r="V1438" s="45"/>
      <c r="W1438" s="45"/>
      <c r="X1438" s="47"/>
      <c r="Y1438" s="45"/>
      <c r="Z1438" s="45"/>
      <c r="AA1438" s="48"/>
      <c r="AB1438" s="48"/>
      <c r="AC1438" s="47"/>
      <c r="AD1438" s="47"/>
      <c r="AE1438" s="47"/>
    </row>
    <row r="1439" spans="1:31" x14ac:dyDescent="0.35">
      <c r="A1439" s="41"/>
      <c r="B1439" s="41"/>
      <c r="C1439" s="42"/>
      <c r="D1439" s="43"/>
      <c r="E1439" s="43"/>
      <c r="F1439" s="43"/>
      <c r="G1439" s="43"/>
      <c r="H1439" s="43"/>
      <c r="I1439" s="43"/>
      <c r="J1439" s="43"/>
      <c r="K1439" s="43"/>
      <c r="L1439" s="43"/>
      <c r="M1439" s="43"/>
      <c r="N1439" s="43"/>
      <c r="O1439" s="43"/>
      <c r="P1439" s="43"/>
      <c r="Q1439" s="43"/>
      <c r="R1439" s="43"/>
      <c r="S1439" s="43"/>
      <c r="T1439" s="43"/>
      <c r="U1439" s="43"/>
      <c r="V1439" s="41"/>
      <c r="W1439" s="41"/>
      <c r="X1439" s="41"/>
      <c r="Y1439" s="41"/>
      <c r="Z1439" s="41"/>
      <c r="AA1439" s="44"/>
      <c r="AB1439" s="44"/>
      <c r="AC1439" s="43"/>
      <c r="AD1439" s="43"/>
      <c r="AE1439" s="43"/>
    </row>
    <row r="1440" spans="1:31" x14ac:dyDescent="0.35">
      <c r="C1440" s="33"/>
      <c r="D1440" s="34"/>
      <c r="E1440" s="34"/>
      <c r="F1440" s="34"/>
      <c r="G1440" s="34"/>
      <c r="H1440" s="34"/>
      <c r="I1440" s="34"/>
      <c r="J1440" s="34"/>
      <c r="K1440" s="34"/>
      <c r="L1440" s="34"/>
      <c r="M1440" s="34"/>
      <c r="N1440" s="34"/>
      <c r="O1440" s="34"/>
      <c r="AA1440" s="35"/>
      <c r="AB1440" s="35"/>
      <c r="AC1440" s="34"/>
      <c r="AD1440" s="34"/>
      <c r="AE1440" s="34"/>
    </row>
    <row r="1441" spans="1:31" ht="15" thickBot="1" x14ac:dyDescent="0.4">
      <c r="A1441" s="45"/>
      <c r="B1441" s="45"/>
      <c r="C1441" s="46"/>
      <c r="D1441" s="47"/>
      <c r="E1441" s="47"/>
      <c r="F1441" s="47"/>
      <c r="G1441" s="47"/>
      <c r="H1441" s="47"/>
      <c r="I1441" s="47"/>
      <c r="J1441" s="47"/>
      <c r="K1441" s="47"/>
      <c r="L1441" s="47"/>
      <c r="M1441" s="47"/>
      <c r="N1441" s="47"/>
      <c r="O1441" s="47"/>
      <c r="P1441" s="47"/>
      <c r="Q1441" s="47"/>
      <c r="R1441" s="47"/>
      <c r="S1441" s="47"/>
      <c r="T1441" s="45"/>
      <c r="U1441" s="45"/>
      <c r="V1441" s="45"/>
      <c r="W1441" s="45"/>
      <c r="X1441" s="47"/>
      <c r="Y1441" s="45"/>
      <c r="Z1441" s="45"/>
      <c r="AA1441" s="48"/>
      <c r="AB1441" s="48"/>
      <c r="AC1441" s="47"/>
      <c r="AD1441" s="47"/>
      <c r="AE1441" s="47"/>
    </row>
    <row r="1442" spans="1:31" x14ac:dyDescent="0.35">
      <c r="A1442" s="41"/>
      <c r="B1442" s="41"/>
      <c r="C1442" s="42"/>
      <c r="D1442" s="43"/>
      <c r="E1442" s="43"/>
      <c r="F1442" s="43"/>
      <c r="G1442" s="43"/>
      <c r="H1442" s="43"/>
      <c r="I1442" s="43"/>
      <c r="J1442" s="43"/>
      <c r="K1442" s="43"/>
      <c r="L1442" s="43"/>
      <c r="M1442" s="43"/>
      <c r="N1442" s="43"/>
      <c r="O1442" s="43"/>
      <c r="P1442" s="43"/>
      <c r="Q1442" s="43"/>
      <c r="R1442" s="43"/>
      <c r="S1442" s="43"/>
      <c r="T1442" s="43"/>
      <c r="U1442" s="43"/>
      <c r="V1442" s="41"/>
      <c r="W1442" s="41"/>
      <c r="X1442" s="41"/>
      <c r="Y1442" s="41"/>
      <c r="Z1442" s="41"/>
      <c r="AA1442" s="44"/>
      <c r="AB1442" s="44"/>
      <c r="AC1442" s="43"/>
      <c r="AD1442" s="43"/>
      <c r="AE1442" s="43"/>
    </row>
    <row r="1443" spans="1:31" x14ac:dyDescent="0.35">
      <c r="C1443" s="33"/>
      <c r="D1443" s="34"/>
      <c r="E1443" s="34"/>
      <c r="F1443" s="34"/>
      <c r="G1443" s="34"/>
      <c r="H1443" s="34"/>
      <c r="I1443" s="34"/>
      <c r="J1443" s="34"/>
      <c r="K1443" s="34"/>
      <c r="L1443" s="34"/>
      <c r="M1443" s="34"/>
      <c r="N1443" s="34"/>
      <c r="O1443" s="34"/>
      <c r="AA1443" s="35"/>
      <c r="AB1443" s="35"/>
      <c r="AC1443" s="34"/>
      <c r="AD1443" s="34"/>
      <c r="AE1443" s="34"/>
    </row>
    <row r="1444" spans="1:31" ht="15" thickBot="1" x14ac:dyDescent="0.4">
      <c r="A1444" s="45"/>
      <c r="B1444" s="45"/>
      <c r="C1444" s="46"/>
      <c r="D1444" s="47"/>
      <c r="E1444" s="47"/>
      <c r="F1444" s="47"/>
      <c r="G1444" s="47"/>
      <c r="H1444" s="47"/>
      <c r="I1444" s="47"/>
      <c r="J1444" s="47"/>
      <c r="K1444" s="47"/>
      <c r="L1444" s="47"/>
      <c r="M1444" s="47"/>
      <c r="N1444" s="47"/>
      <c r="O1444" s="47"/>
      <c r="P1444" s="47"/>
      <c r="Q1444" s="47"/>
      <c r="R1444" s="47"/>
      <c r="S1444" s="47"/>
      <c r="T1444" s="45"/>
      <c r="U1444" s="45"/>
      <c r="V1444" s="45"/>
      <c r="W1444" s="45"/>
      <c r="X1444" s="47"/>
      <c r="Y1444" s="45"/>
      <c r="Z1444" s="45"/>
      <c r="AA1444" s="48"/>
      <c r="AB1444" s="48"/>
      <c r="AC1444" s="47"/>
      <c r="AD1444" s="47"/>
      <c r="AE1444" s="47"/>
    </row>
    <row r="1445" spans="1:31" x14ac:dyDescent="0.35">
      <c r="A1445" s="41"/>
      <c r="B1445" s="41"/>
      <c r="C1445" s="42"/>
      <c r="D1445" s="43"/>
      <c r="E1445" s="43"/>
      <c r="F1445" s="43"/>
      <c r="G1445" s="43"/>
      <c r="H1445" s="43"/>
      <c r="I1445" s="43"/>
      <c r="J1445" s="43"/>
      <c r="K1445" s="43"/>
      <c r="L1445" s="43"/>
      <c r="M1445" s="43"/>
      <c r="N1445" s="43"/>
      <c r="O1445" s="43"/>
      <c r="P1445" s="43"/>
      <c r="Q1445" s="43"/>
      <c r="R1445" s="43"/>
      <c r="S1445" s="43"/>
      <c r="T1445" s="43"/>
      <c r="U1445" s="43"/>
      <c r="V1445" s="41"/>
      <c r="W1445" s="41"/>
      <c r="X1445" s="41"/>
      <c r="Y1445" s="41"/>
      <c r="Z1445" s="41"/>
      <c r="AA1445" s="44"/>
      <c r="AB1445" s="44"/>
      <c r="AC1445" s="43"/>
      <c r="AD1445" s="43"/>
      <c r="AE1445" s="43"/>
    </row>
    <row r="1446" spans="1:31" x14ac:dyDescent="0.35">
      <c r="C1446" s="33"/>
      <c r="D1446" s="34"/>
      <c r="E1446" s="34"/>
      <c r="F1446" s="34"/>
      <c r="G1446" s="34"/>
      <c r="H1446" s="34"/>
      <c r="I1446" s="34"/>
      <c r="J1446" s="34"/>
      <c r="K1446" s="34"/>
      <c r="L1446" s="34"/>
      <c r="M1446" s="34"/>
      <c r="N1446" s="34"/>
      <c r="O1446" s="34"/>
      <c r="AA1446" s="35"/>
      <c r="AB1446" s="35"/>
      <c r="AC1446" s="34"/>
      <c r="AD1446" s="34"/>
      <c r="AE1446" s="34"/>
    </row>
    <row r="1447" spans="1:31" ht="15" thickBot="1" x14ac:dyDescent="0.4">
      <c r="A1447" s="45"/>
      <c r="B1447" s="45"/>
      <c r="C1447" s="46"/>
      <c r="D1447" s="47"/>
      <c r="E1447" s="47"/>
      <c r="F1447" s="47"/>
      <c r="G1447" s="47"/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  <c r="S1447" s="47"/>
      <c r="T1447" s="45"/>
      <c r="U1447" s="45"/>
      <c r="V1447" s="45"/>
      <c r="W1447" s="45"/>
      <c r="X1447" s="47"/>
      <c r="Y1447" s="45"/>
      <c r="Z1447" s="45"/>
      <c r="AA1447" s="48"/>
      <c r="AB1447" s="48"/>
      <c r="AC1447" s="47"/>
      <c r="AD1447" s="47"/>
      <c r="AE1447" s="47"/>
    </row>
    <row r="1448" spans="1:31" x14ac:dyDescent="0.35">
      <c r="A1448" s="41"/>
      <c r="B1448" s="41"/>
      <c r="C1448" s="42"/>
      <c r="D1448" s="43"/>
      <c r="E1448" s="43"/>
      <c r="F1448" s="43"/>
      <c r="G1448" s="43"/>
      <c r="H1448" s="43"/>
      <c r="I1448" s="43"/>
      <c r="J1448" s="43"/>
      <c r="K1448" s="43"/>
      <c r="L1448" s="43"/>
      <c r="M1448" s="43"/>
      <c r="N1448" s="43"/>
      <c r="O1448" s="43"/>
      <c r="P1448" s="43"/>
      <c r="Q1448" s="43"/>
      <c r="R1448" s="43"/>
      <c r="S1448" s="43"/>
      <c r="T1448" s="43"/>
      <c r="U1448" s="43"/>
      <c r="V1448" s="41"/>
      <c r="W1448" s="41"/>
      <c r="X1448" s="41"/>
      <c r="Y1448" s="41"/>
      <c r="Z1448" s="41"/>
      <c r="AA1448" s="44"/>
      <c r="AB1448" s="44"/>
      <c r="AC1448" s="43"/>
      <c r="AD1448" s="43"/>
      <c r="AE1448" s="43"/>
    </row>
    <row r="1449" spans="1:31" x14ac:dyDescent="0.35">
      <c r="C1449" s="33"/>
      <c r="D1449" s="34"/>
      <c r="E1449" s="34"/>
      <c r="F1449" s="34"/>
      <c r="G1449" s="34"/>
      <c r="H1449" s="34"/>
      <c r="I1449" s="34"/>
      <c r="J1449" s="34"/>
      <c r="K1449" s="34"/>
      <c r="L1449" s="34"/>
      <c r="M1449" s="34"/>
      <c r="N1449" s="34"/>
      <c r="O1449" s="34"/>
      <c r="AA1449" s="35"/>
      <c r="AB1449" s="35"/>
      <c r="AC1449" s="34"/>
      <c r="AD1449" s="34"/>
      <c r="AE1449" s="34"/>
    </row>
    <row r="1450" spans="1:31" ht="15" thickBot="1" x14ac:dyDescent="0.4">
      <c r="A1450" s="45"/>
      <c r="B1450" s="45"/>
      <c r="C1450" s="46"/>
      <c r="D1450" s="47"/>
      <c r="E1450" s="47"/>
      <c r="F1450" s="47"/>
      <c r="G1450" s="47"/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  <c r="S1450" s="47"/>
      <c r="T1450" s="45"/>
      <c r="U1450" s="45"/>
      <c r="V1450" s="45"/>
      <c r="W1450" s="45"/>
      <c r="X1450" s="47"/>
      <c r="Y1450" s="45"/>
      <c r="Z1450" s="45"/>
      <c r="AA1450" s="48"/>
      <c r="AB1450" s="48"/>
      <c r="AC1450" s="47"/>
      <c r="AD1450" s="47"/>
      <c r="AE1450" s="47"/>
    </row>
    <row r="1451" spans="1:31" x14ac:dyDescent="0.35">
      <c r="A1451" s="41"/>
      <c r="B1451" s="41"/>
      <c r="C1451" s="42"/>
      <c r="D1451" s="43"/>
      <c r="E1451" s="43"/>
      <c r="F1451" s="43"/>
      <c r="G1451" s="43"/>
      <c r="H1451" s="43"/>
      <c r="I1451" s="43"/>
      <c r="J1451" s="43"/>
      <c r="K1451" s="43"/>
      <c r="L1451" s="43"/>
      <c r="M1451" s="43"/>
      <c r="N1451" s="43"/>
      <c r="O1451" s="43"/>
      <c r="P1451" s="43"/>
      <c r="Q1451" s="43"/>
      <c r="R1451" s="43"/>
      <c r="S1451" s="43"/>
      <c r="T1451" s="43"/>
      <c r="U1451" s="43"/>
      <c r="V1451" s="41"/>
      <c r="W1451" s="41"/>
      <c r="X1451" s="41"/>
      <c r="Y1451" s="41"/>
      <c r="Z1451" s="41"/>
      <c r="AA1451" s="44"/>
      <c r="AB1451" s="44"/>
      <c r="AC1451" s="43"/>
      <c r="AD1451" s="43"/>
      <c r="AE1451" s="43"/>
    </row>
    <row r="1452" spans="1:31" x14ac:dyDescent="0.35">
      <c r="C1452" s="33"/>
      <c r="D1452" s="34"/>
      <c r="E1452" s="34"/>
      <c r="F1452" s="34"/>
      <c r="G1452" s="34"/>
      <c r="H1452" s="34"/>
      <c r="I1452" s="34"/>
      <c r="J1452" s="34"/>
      <c r="K1452" s="34"/>
      <c r="L1452" s="34"/>
      <c r="M1452" s="34"/>
      <c r="N1452" s="34"/>
      <c r="O1452" s="34"/>
      <c r="AA1452" s="35"/>
      <c r="AB1452" s="35"/>
      <c r="AC1452" s="34"/>
      <c r="AD1452" s="34"/>
      <c r="AE1452" s="34"/>
    </row>
    <row r="1453" spans="1:31" ht="15" thickBot="1" x14ac:dyDescent="0.4">
      <c r="A1453" s="45"/>
      <c r="B1453" s="45"/>
      <c r="C1453" s="46"/>
      <c r="D1453" s="47"/>
      <c r="E1453" s="47"/>
      <c r="F1453" s="47"/>
      <c r="G1453" s="47"/>
      <c r="H1453" s="47"/>
      <c r="I1453" s="47"/>
      <c r="J1453" s="47"/>
      <c r="K1453" s="47"/>
      <c r="L1453" s="47"/>
      <c r="M1453" s="47"/>
      <c r="N1453" s="47"/>
      <c r="O1453" s="47"/>
      <c r="P1453" s="47"/>
      <c r="Q1453" s="47"/>
      <c r="R1453" s="47"/>
      <c r="S1453" s="47"/>
      <c r="T1453" s="45"/>
      <c r="U1453" s="45"/>
      <c r="V1453" s="45"/>
      <c r="W1453" s="45"/>
      <c r="X1453" s="47"/>
      <c r="Y1453" s="45"/>
      <c r="Z1453" s="45"/>
      <c r="AA1453" s="48"/>
      <c r="AB1453" s="48"/>
      <c r="AC1453" s="47"/>
      <c r="AD1453" s="47"/>
      <c r="AE1453" s="47"/>
    </row>
    <row r="1454" spans="1:31" x14ac:dyDescent="0.35">
      <c r="A1454" s="41"/>
      <c r="B1454" s="41"/>
      <c r="C1454" s="42"/>
      <c r="D1454" s="43"/>
      <c r="E1454" s="43"/>
      <c r="F1454" s="43"/>
      <c r="G1454" s="43"/>
      <c r="H1454" s="43"/>
      <c r="I1454" s="43"/>
      <c r="J1454" s="43"/>
      <c r="K1454" s="43"/>
      <c r="L1454" s="43"/>
      <c r="M1454" s="43"/>
      <c r="N1454" s="43"/>
      <c r="O1454" s="43"/>
      <c r="P1454" s="43"/>
      <c r="Q1454" s="43"/>
      <c r="R1454" s="43"/>
      <c r="S1454" s="43"/>
      <c r="T1454" s="43"/>
      <c r="U1454" s="43"/>
      <c r="V1454" s="41"/>
      <c r="W1454" s="41"/>
      <c r="X1454" s="41"/>
      <c r="Y1454" s="41"/>
      <c r="Z1454" s="41"/>
      <c r="AA1454" s="44"/>
      <c r="AB1454" s="44"/>
      <c r="AC1454" s="43"/>
      <c r="AD1454" s="43"/>
      <c r="AE1454" s="43"/>
    </row>
    <row r="1455" spans="1:31" x14ac:dyDescent="0.35">
      <c r="C1455" s="33"/>
      <c r="D1455" s="34"/>
      <c r="E1455" s="34"/>
      <c r="F1455" s="34"/>
      <c r="G1455" s="34"/>
      <c r="H1455" s="34"/>
      <c r="I1455" s="34"/>
      <c r="J1455" s="34"/>
      <c r="K1455" s="34"/>
      <c r="L1455" s="34"/>
      <c r="M1455" s="34"/>
      <c r="N1455" s="34"/>
      <c r="O1455" s="34"/>
      <c r="AA1455" s="35"/>
      <c r="AB1455" s="35"/>
      <c r="AC1455" s="34"/>
      <c r="AD1455" s="34"/>
      <c r="AE1455" s="34"/>
    </row>
    <row r="1456" spans="1:31" ht="15" thickBot="1" x14ac:dyDescent="0.4">
      <c r="A1456" s="45"/>
      <c r="B1456" s="45"/>
      <c r="C1456" s="46"/>
      <c r="D1456" s="47"/>
      <c r="E1456" s="47"/>
      <c r="F1456" s="47"/>
      <c r="G1456" s="47"/>
      <c r="H1456" s="47"/>
      <c r="I1456" s="47"/>
      <c r="J1456" s="47"/>
      <c r="K1456" s="47"/>
      <c r="L1456" s="47"/>
      <c r="M1456" s="47"/>
      <c r="N1456" s="47"/>
      <c r="O1456" s="47"/>
      <c r="P1456" s="47"/>
      <c r="Q1456" s="47"/>
      <c r="R1456" s="47"/>
      <c r="S1456" s="47"/>
      <c r="T1456" s="45"/>
      <c r="U1456" s="45"/>
      <c r="V1456" s="45"/>
      <c r="W1456" s="45"/>
      <c r="X1456" s="47"/>
      <c r="Y1456" s="45"/>
      <c r="Z1456" s="45"/>
      <c r="AA1456" s="48"/>
      <c r="AB1456" s="48"/>
      <c r="AC1456" s="47"/>
      <c r="AD1456" s="47"/>
      <c r="AE1456" s="47"/>
    </row>
    <row r="1457" spans="1:31" x14ac:dyDescent="0.35">
      <c r="A1457" s="41"/>
      <c r="B1457" s="41"/>
      <c r="C1457" s="42"/>
      <c r="D1457" s="43"/>
      <c r="E1457" s="43"/>
      <c r="F1457" s="43"/>
      <c r="G1457" s="43"/>
      <c r="H1457" s="43"/>
      <c r="I1457" s="43"/>
      <c r="J1457" s="43"/>
      <c r="K1457" s="43"/>
      <c r="L1457" s="43"/>
      <c r="M1457" s="43"/>
      <c r="N1457" s="43"/>
      <c r="O1457" s="43"/>
      <c r="P1457" s="43"/>
      <c r="Q1457" s="43"/>
      <c r="R1457" s="43"/>
      <c r="S1457" s="43"/>
      <c r="T1457" s="43"/>
      <c r="U1457" s="43"/>
      <c r="V1457" s="41"/>
      <c r="W1457" s="41"/>
      <c r="X1457" s="41"/>
      <c r="Y1457" s="41"/>
      <c r="Z1457" s="41"/>
      <c r="AA1457" s="44"/>
      <c r="AB1457" s="44"/>
      <c r="AC1457" s="43"/>
      <c r="AD1457" s="43"/>
      <c r="AE1457" s="43"/>
    </row>
    <row r="1458" spans="1:31" x14ac:dyDescent="0.35">
      <c r="C1458" s="33"/>
      <c r="D1458" s="34"/>
      <c r="E1458" s="34"/>
      <c r="F1458" s="34"/>
      <c r="G1458" s="34"/>
      <c r="H1458" s="34"/>
      <c r="I1458" s="34"/>
      <c r="J1458" s="34"/>
      <c r="K1458" s="34"/>
      <c r="L1458" s="34"/>
      <c r="M1458" s="34"/>
      <c r="N1458" s="34"/>
      <c r="O1458" s="34"/>
      <c r="AA1458" s="35"/>
      <c r="AB1458" s="35"/>
      <c r="AC1458" s="34"/>
      <c r="AD1458" s="34"/>
      <c r="AE1458" s="34"/>
    </row>
    <row r="1459" spans="1:31" ht="15" thickBot="1" x14ac:dyDescent="0.4">
      <c r="A1459" s="45"/>
      <c r="B1459" s="45"/>
      <c r="C1459" s="46"/>
      <c r="D1459" s="47"/>
      <c r="E1459" s="47"/>
      <c r="F1459" s="47"/>
      <c r="G1459" s="47"/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  <c r="S1459" s="47"/>
      <c r="T1459" s="45"/>
      <c r="U1459" s="45"/>
      <c r="V1459" s="45"/>
      <c r="W1459" s="45"/>
      <c r="X1459" s="47"/>
      <c r="Y1459" s="45"/>
      <c r="Z1459" s="45"/>
      <c r="AA1459" s="48"/>
      <c r="AB1459" s="48"/>
      <c r="AC1459" s="47"/>
      <c r="AD1459" s="47"/>
      <c r="AE1459" s="47"/>
    </row>
    <row r="1460" spans="1:31" x14ac:dyDescent="0.35">
      <c r="A1460" s="41"/>
      <c r="B1460" s="41"/>
      <c r="C1460" s="42"/>
      <c r="D1460" s="43"/>
      <c r="E1460" s="43"/>
      <c r="F1460" s="43"/>
      <c r="G1460" s="43"/>
      <c r="H1460" s="43"/>
      <c r="I1460" s="43"/>
      <c r="J1460" s="43"/>
      <c r="K1460" s="43"/>
      <c r="L1460" s="43"/>
      <c r="M1460" s="43"/>
      <c r="N1460" s="43"/>
      <c r="O1460" s="43"/>
      <c r="P1460" s="43"/>
      <c r="Q1460" s="43"/>
      <c r="R1460" s="43"/>
      <c r="S1460" s="43"/>
      <c r="T1460" s="43"/>
      <c r="U1460" s="43"/>
      <c r="V1460" s="41"/>
      <c r="W1460" s="41"/>
      <c r="X1460" s="41"/>
      <c r="Y1460" s="41"/>
      <c r="Z1460" s="41"/>
      <c r="AA1460" s="44"/>
      <c r="AB1460" s="44"/>
      <c r="AC1460" s="43"/>
      <c r="AD1460" s="43"/>
      <c r="AE1460" s="43"/>
    </row>
    <row r="1461" spans="1:31" x14ac:dyDescent="0.35">
      <c r="C1461" s="33"/>
      <c r="D1461" s="34"/>
      <c r="E1461" s="34"/>
      <c r="F1461" s="34"/>
      <c r="G1461" s="34"/>
      <c r="H1461" s="34"/>
      <c r="I1461" s="34"/>
      <c r="J1461" s="34"/>
      <c r="K1461" s="34"/>
      <c r="L1461" s="34"/>
      <c r="M1461" s="34"/>
      <c r="N1461" s="34"/>
      <c r="O1461" s="34"/>
      <c r="AA1461" s="35"/>
      <c r="AB1461" s="35"/>
      <c r="AC1461" s="34"/>
      <c r="AD1461" s="34"/>
      <c r="AE1461" s="34"/>
    </row>
    <row r="1462" spans="1:31" ht="15" thickBot="1" x14ac:dyDescent="0.4">
      <c r="A1462" s="45"/>
      <c r="B1462" s="45"/>
      <c r="C1462" s="46"/>
      <c r="D1462" s="47"/>
      <c r="E1462" s="47"/>
      <c r="F1462" s="47"/>
      <c r="G1462" s="47"/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47"/>
      <c r="S1462" s="47"/>
      <c r="T1462" s="45"/>
      <c r="U1462" s="45"/>
      <c r="V1462" s="45"/>
      <c r="W1462" s="45"/>
      <c r="X1462" s="47"/>
      <c r="Y1462" s="45"/>
      <c r="Z1462" s="45"/>
      <c r="AA1462" s="48"/>
      <c r="AB1462" s="48"/>
      <c r="AC1462" s="47"/>
      <c r="AD1462" s="47"/>
      <c r="AE1462" s="47"/>
    </row>
    <row r="1463" spans="1:31" x14ac:dyDescent="0.35">
      <c r="A1463" s="41"/>
      <c r="B1463" s="41"/>
      <c r="C1463" s="42"/>
      <c r="D1463" s="43"/>
      <c r="E1463" s="43"/>
      <c r="F1463" s="43"/>
      <c r="G1463" s="43"/>
      <c r="H1463" s="43"/>
      <c r="I1463" s="43"/>
      <c r="J1463" s="43"/>
      <c r="K1463" s="43"/>
      <c r="L1463" s="43"/>
      <c r="M1463" s="43"/>
      <c r="N1463" s="43"/>
      <c r="O1463" s="43"/>
      <c r="P1463" s="43"/>
      <c r="Q1463" s="43"/>
      <c r="R1463" s="43"/>
      <c r="S1463" s="43"/>
      <c r="T1463" s="43"/>
      <c r="U1463" s="43"/>
      <c r="V1463" s="41"/>
      <c r="W1463" s="41"/>
      <c r="X1463" s="41"/>
      <c r="Y1463" s="41"/>
      <c r="Z1463" s="41"/>
      <c r="AA1463" s="44"/>
      <c r="AB1463" s="44"/>
      <c r="AC1463" s="43"/>
      <c r="AD1463" s="43"/>
      <c r="AE1463" s="43"/>
    </row>
    <row r="1464" spans="1:31" x14ac:dyDescent="0.35">
      <c r="C1464" s="33"/>
      <c r="D1464" s="34"/>
      <c r="E1464" s="34"/>
      <c r="F1464" s="34"/>
      <c r="G1464" s="34"/>
      <c r="H1464" s="34"/>
      <c r="I1464" s="34"/>
      <c r="J1464" s="34"/>
      <c r="K1464" s="34"/>
      <c r="L1464" s="34"/>
      <c r="M1464" s="34"/>
      <c r="N1464" s="34"/>
      <c r="O1464" s="34"/>
      <c r="AA1464" s="35"/>
      <c r="AB1464" s="35"/>
      <c r="AC1464" s="34"/>
      <c r="AD1464" s="34"/>
      <c r="AE1464" s="34"/>
    </row>
    <row r="1465" spans="1:31" ht="15" thickBot="1" x14ac:dyDescent="0.4">
      <c r="A1465" s="45"/>
      <c r="B1465" s="45"/>
      <c r="C1465" s="46"/>
      <c r="D1465" s="47"/>
      <c r="E1465" s="47"/>
      <c r="F1465" s="47"/>
      <c r="G1465" s="47"/>
      <c r="H1465" s="47"/>
      <c r="I1465" s="47"/>
      <c r="J1465" s="47"/>
      <c r="K1465" s="47"/>
      <c r="L1465" s="47"/>
      <c r="M1465" s="47"/>
      <c r="N1465" s="47"/>
      <c r="O1465" s="47"/>
      <c r="P1465" s="47"/>
      <c r="Q1465" s="47"/>
      <c r="R1465" s="47"/>
      <c r="S1465" s="47"/>
      <c r="T1465" s="45"/>
      <c r="U1465" s="45"/>
      <c r="V1465" s="45"/>
      <c r="W1465" s="45"/>
      <c r="X1465" s="47"/>
      <c r="Y1465" s="45"/>
      <c r="Z1465" s="45"/>
      <c r="AA1465" s="48"/>
      <c r="AB1465" s="48"/>
      <c r="AC1465" s="47"/>
      <c r="AD1465" s="47"/>
      <c r="AE1465" s="47"/>
    </row>
    <row r="1466" spans="1:31" x14ac:dyDescent="0.35">
      <c r="A1466" s="41"/>
      <c r="B1466" s="41"/>
      <c r="C1466" s="42"/>
      <c r="D1466" s="43"/>
      <c r="E1466" s="43"/>
      <c r="F1466" s="43"/>
      <c r="G1466" s="43"/>
      <c r="H1466" s="43"/>
      <c r="I1466" s="43"/>
      <c r="J1466" s="43"/>
      <c r="K1466" s="43"/>
      <c r="L1466" s="43"/>
      <c r="M1466" s="43"/>
      <c r="N1466" s="43"/>
      <c r="O1466" s="43"/>
      <c r="P1466" s="43"/>
      <c r="Q1466" s="43"/>
      <c r="R1466" s="43"/>
      <c r="S1466" s="43"/>
      <c r="T1466" s="43"/>
      <c r="U1466" s="43"/>
      <c r="V1466" s="41"/>
      <c r="W1466" s="41"/>
      <c r="X1466" s="41"/>
      <c r="Y1466" s="41"/>
      <c r="Z1466" s="41"/>
      <c r="AA1466" s="44"/>
      <c r="AB1466" s="44"/>
      <c r="AC1466" s="43"/>
      <c r="AD1466" s="43"/>
      <c r="AE1466" s="43"/>
    </row>
    <row r="1467" spans="1:31" x14ac:dyDescent="0.35">
      <c r="C1467" s="33"/>
      <c r="D1467" s="34"/>
      <c r="E1467" s="34"/>
      <c r="F1467" s="34"/>
      <c r="G1467" s="34"/>
      <c r="H1467" s="34"/>
      <c r="I1467" s="34"/>
      <c r="J1467" s="34"/>
      <c r="K1467" s="34"/>
      <c r="L1467" s="34"/>
      <c r="M1467" s="34"/>
      <c r="N1467" s="34"/>
      <c r="O1467" s="34"/>
      <c r="AA1467" s="35"/>
      <c r="AB1467" s="35"/>
      <c r="AC1467" s="34"/>
      <c r="AD1467" s="34"/>
      <c r="AE1467" s="34"/>
    </row>
    <row r="1468" spans="1:31" ht="15" thickBot="1" x14ac:dyDescent="0.4">
      <c r="A1468" s="45"/>
      <c r="B1468" s="45"/>
      <c r="C1468" s="46"/>
      <c r="D1468" s="47"/>
      <c r="E1468" s="47"/>
      <c r="F1468" s="47"/>
      <c r="G1468" s="47"/>
      <c r="H1468" s="47"/>
      <c r="I1468" s="47"/>
      <c r="J1468" s="47"/>
      <c r="K1468" s="47"/>
      <c r="L1468" s="47"/>
      <c r="M1468" s="47"/>
      <c r="N1468" s="47"/>
      <c r="O1468" s="47"/>
      <c r="P1468" s="47"/>
      <c r="Q1468" s="47"/>
      <c r="R1468" s="47"/>
      <c r="S1468" s="47"/>
      <c r="T1468" s="45"/>
      <c r="U1468" s="45"/>
      <c r="V1468" s="45"/>
      <c r="W1468" s="45"/>
      <c r="X1468" s="47"/>
      <c r="Y1468" s="45"/>
      <c r="Z1468" s="45"/>
      <c r="AA1468" s="48"/>
      <c r="AB1468" s="48"/>
      <c r="AC1468" s="47"/>
      <c r="AD1468" s="47"/>
      <c r="AE1468" s="47"/>
    </row>
    <row r="1469" spans="1:31" x14ac:dyDescent="0.35">
      <c r="A1469" s="41"/>
      <c r="B1469" s="41"/>
      <c r="C1469" s="42"/>
      <c r="D1469" s="43"/>
      <c r="E1469" s="43"/>
      <c r="F1469" s="43"/>
      <c r="G1469" s="43"/>
      <c r="H1469" s="43"/>
      <c r="I1469" s="43"/>
      <c r="J1469" s="43"/>
      <c r="K1469" s="43"/>
      <c r="L1469" s="43"/>
      <c r="M1469" s="43"/>
      <c r="N1469" s="43"/>
      <c r="O1469" s="43"/>
      <c r="P1469" s="43"/>
      <c r="Q1469" s="43"/>
      <c r="R1469" s="43"/>
      <c r="S1469" s="43"/>
      <c r="T1469" s="43"/>
      <c r="U1469" s="43"/>
      <c r="V1469" s="41"/>
      <c r="W1469" s="41"/>
      <c r="X1469" s="41"/>
      <c r="Y1469" s="41"/>
      <c r="Z1469" s="41"/>
      <c r="AA1469" s="44"/>
      <c r="AB1469" s="44"/>
      <c r="AC1469" s="43"/>
      <c r="AD1469" s="43"/>
      <c r="AE1469" s="43"/>
    </row>
    <row r="1470" spans="1:31" x14ac:dyDescent="0.35">
      <c r="C1470" s="33"/>
      <c r="D1470" s="34"/>
      <c r="E1470" s="34"/>
      <c r="F1470" s="34"/>
      <c r="G1470" s="34"/>
      <c r="H1470" s="34"/>
      <c r="I1470" s="34"/>
      <c r="J1470" s="34"/>
      <c r="K1470" s="34"/>
      <c r="L1470" s="34"/>
      <c r="M1470" s="34"/>
      <c r="N1470" s="34"/>
      <c r="O1470" s="34"/>
      <c r="AA1470" s="35"/>
      <c r="AB1470" s="35"/>
      <c r="AC1470" s="34"/>
      <c r="AD1470" s="34"/>
      <c r="AE1470" s="34"/>
    </row>
    <row r="1471" spans="1:31" ht="15" thickBot="1" x14ac:dyDescent="0.4">
      <c r="A1471" s="45"/>
      <c r="B1471" s="45"/>
      <c r="C1471" s="46"/>
      <c r="D1471" s="47"/>
      <c r="E1471" s="47"/>
      <c r="F1471" s="47"/>
      <c r="G1471" s="47"/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  <c r="S1471" s="47"/>
      <c r="T1471" s="45"/>
      <c r="U1471" s="45"/>
      <c r="V1471" s="45"/>
      <c r="W1471" s="45"/>
      <c r="X1471" s="47"/>
      <c r="Y1471" s="45"/>
      <c r="Z1471" s="45"/>
      <c r="AA1471" s="48"/>
      <c r="AB1471" s="48"/>
      <c r="AC1471" s="47"/>
      <c r="AD1471" s="47"/>
      <c r="AE1471" s="47"/>
    </row>
    <row r="1472" spans="1:31" x14ac:dyDescent="0.35">
      <c r="A1472" s="41"/>
      <c r="B1472" s="41"/>
      <c r="C1472" s="42"/>
      <c r="D1472" s="43"/>
      <c r="E1472" s="43"/>
      <c r="F1472" s="43"/>
      <c r="G1472" s="43"/>
      <c r="H1472" s="43"/>
      <c r="I1472" s="43"/>
      <c r="J1472" s="43"/>
      <c r="K1472" s="43"/>
      <c r="L1472" s="43"/>
      <c r="M1472" s="43"/>
      <c r="N1472" s="43"/>
      <c r="O1472" s="43"/>
      <c r="P1472" s="43"/>
      <c r="Q1472" s="43"/>
      <c r="R1472" s="43"/>
      <c r="S1472" s="43"/>
      <c r="T1472" s="43"/>
      <c r="U1472" s="43"/>
      <c r="V1472" s="41"/>
      <c r="W1472" s="41"/>
      <c r="X1472" s="41"/>
      <c r="Y1472" s="41"/>
      <c r="Z1472" s="41"/>
      <c r="AA1472" s="44"/>
      <c r="AB1472" s="44"/>
      <c r="AC1472" s="43"/>
      <c r="AD1472" s="43"/>
      <c r="AE1472" s="43"/>
    </row>
    <row r="1473" spans="1:31" x14ac:dyDescent="0.35">
      <c r="C1473" s="33"/>
      <c r="D1473" s="34"/>
      <c r="E1473" s="34"/>
      <c r="F1473" s="34"/>
      <c r="G1473" s="34"/>
      <c r="H1473" s="34"/>
      <c r="I1473" s="34"/>
      <c r="J1473" s="34"/>
      <c r="K1473" s="34"/>
      <c r="L1473" s="34"/>
      <c r="M1473" s="34"/>
      <c r="N1473" s="34"/>
      <c r="O1473" s="34"/>
      <c r="AA1473" s="35"/>
      <c r="AB1473" s="35"/>
      <c r="AC1473" s="34"/>
      <c r="AD1473" s="34"/>
      <c r="AE1473" s="34"/>
    </row>
    <row r="1474" spans="1:31" ht="15" thickBot="1" x14ac:dyDescent="0.4">
      <c r="A1474" s="45"/>
      <c r="B1474" s="45"/>
      <c r="C1474" s="46"/>
      <c r="D1474" s="47"/>
      <c r="E1474" s="47"/>
      <c r="F1474" s="47"/>
      <c r="G1474" s="47"/>
      <c r="H1474" s="47"/>
      <c r="I1474" s="47"/>
      <c r="J1474" s="47"/>
      <c r="K1474" s="47"/>
      <c r="L1474" s="47"/>
      <c r="M1474" s="47"/>
      <c r="N1474" s="47"/>
      <c r="O1474" s="47"/>
      <c r="P1474" s="47"/>
      <c r="Q1474" s="47"/>
      <c r="R1474" s="47"/>
      <c r="S1474" s="47"/>
      <c r="T1474" s="45"/>
      <c r="U1474" s="45"/>
      <c r="V1474" s="45"/>
      <c r="W1474" s="45"/>
      <c r="X1474" s="47"/>
      <c r="Y1474" s="45"/>
      <c r="Z1474" s="45"/>
      <c r="AA1474" s="48"/>
      <c r="AB1474" s="48"/>
      <c r="AC1474" s="47"/>
      <c r="AD1474" s="47"/>
      <c r="AE1474" s="47"/>
    </row>
    <row r="1475" spans="1:31" x14ac:dyDescent="0.35">
      <c r="A1475" s="41"/>
      <c r="B1475" s="41"/>
      <c r="C1475" s="42"/>
      <c r="D1475" s="43"/>
      <c r="E1475" s="43"/>
      <c r="F1475" s="43"/>
      <c r="G1475" s="43"/>
      <c r="H1475" s="43"/>
      <c r="I1475" s="43"/>
      <c r="J1475" s="43"/>
      <c r="K1475" s="43"/>
      <c r="L1475" s="43"/>
      <c r="M1475" s="43"/>
      <c r="N1475" s="43"/>
      <c r="O1475" s="43"/>
      <c r="P1475" s="43"/>
      <c r="Q1475" s="43"/>
      <c r="R1475" s="43"/>
      <c r="S1475" s="43"/>
      <c r="T1475" s="43"/>
      <c r="U1475" s="43"/>
      <c r="V1475" s="41"/>
      <c r="W1475" s="41"/>
      <c r="X1475" s="41"/>
      <c r="Y1475" s="41"/>
      <c r="Z1475" s="41"/>
      <c r="AA1475" s="44"/>
      <c r="AB1475" s="44"/>
      <c r="AC1475" s="43"/>
      <c r="AD1475" s="43"/>
      <c r="AE1475" s="43"/>
    </row>
    <row r="1476" spans="1:31" x14ac:dyDescent="0.35">
      <c r="C1476" s="33"/>
      <c r="D1476" s="34"/>
      <c r="E1476" s="34"/>
      <c r="F1476" s="34"/>
      <c r="G1476" s="34"/>
      <c r="H1476" s="34"/>
      <c r="I1476" s="34"/>
      <c r="J1476" s="34"/>
      <c r="K1476" s="34"/>
      <c r="L1476" s="34"/>
      <c r="M1476" s="34"/>
      <c r="N1476" s="34"/>
      <c r="O1476" s="34"/>
      <c r="AA1476" s="35"/>
      <c r="AB1476" s="35"/>
      <c r="AC1476" s="34"/>
      <c r="AD1476" s="34"/>
      <c r="AE1476" s="34"/>
    </row>
    <row r="1477" spans="1:31" ht="15" thickBot="1" x14ac:dyDescent="0.4">
      <c r="A1477" s="45"/>
      <c r="B1477" s="45"/>
      <c r="C1477" s="46"/>
      <c r="D1477" s="47"/>
      <c r="E1477" s="47"/>
      <c r="F1477" s="47"/>
      <c r="G1477" s="47"/>
      <c r="H1477" s="47"/>
      <c r="I1477" s="47"/>
      <c r="J1477" s="47"/>
      <c r="K1477" s="47"/>
      <c r="L1477" s="47"/>
      <c r="M1477" s="47"/>
      <c r="N1477" s="47"/>
      <c r="O1477" s="47"/>
      <c r="P1477" s="47"/>
      <c r="Q1477" s="47"/>
      <c r="R1477" s="47"/>
      <c r="S1477" s="47"/>
      <c r="T1477" s="45"/>
      <c r="U1477" s="45"/>
      <c r="V1477" s="45"/>
      <c r="W1477" s="45"/>
      <c r="X1477" s="47"/>
      <c r="Y1477" s="45"/>
      <c r="Z1477" s="45"/>
      <c r="AA1477" s="48"/>
      <c r="AB1477" s="48"/>
      <c r="AC1477" s="47"/>
      <c r="AD1477" s="47"/>
      <c r="AE1477" s="47"/>
    </row>
    <row r="1478" spans="1:31" x14ac:dyDescent="0.35">
      <c r="A1478" s="41"/>
      <c r="B1478" s="41"/>
      <c r="C1478" s="42"/>
      <c r="D1478" s="43"/>
      <c r="E1478" s="43"/>
      <c r="F1478" s="43"/>
      <c r="G1478" s="43"/>
      <c r="H1478" s="43"/>
      <c r="I1478" s="43"/>
      <c r="J1478" s="43"/>
      <c r="K1478" s="43"/>
      <c r="L1478" s="43"/>
      <c r="M1478" s="43"/>
      <c r="N1478" s="43"/>
      <c r="O1478" s="43"/>
      <c r="P1478" s="43"/>
      <c r="Q1478" s="43"/>
      <c r="R1478" s="43"/>
      <c r="S1478" s="43"/>
      <c r="T1478" s="43"/>
      <c r="U1478" s="43"/>
      <c r="V1478" s="41"/>
      <c r="W1478" s="41"/>
      <c r="X1478" s="41"/>
      <c r="Y1478" s="41"/>
      <c r="Z1478" s="41"/>
      <c r="AA1478" s="44"/>
      <c r="AB1478" s="44"/>
      <c r="AC1478" s="43"/>
      <c r="AD1478" s="43"/>
      <c r="AE1478" s="43"/>
    </row>
    <row r="1479" spans="1:31" x14ac:dyDescent="0.35">
      <c r="C1479" s="33"/>
      <c r="D1479" s="34"/>
      <c r="E1479" s="34"/>
      <c r="F1479" s="34"/>
      <c r="G1479" s="34"/>
      <c r="H1479" s="34"/>
      <c r="I1479" s="34"/>
      <c r="J1479" s="34"/>
      <c r="K1479" s="34"/>
      <c r="L1479" s="34"/>
      <c r="M1479" s="34"/>
      <c r="N1479" s="34"/>
      <c r="O1479" s="34"/>
      <c r="AA1479" s="35"/>
      <c r="AB1479" s="35"/>
      <c r="AC1479" s="34"/>
      <c r="AD1479" s="34"/>
      <c r="AE1479" s="34"/>
    </row>
    <row r="1480" spans="1:31" ht="15" thickBot="1" x14ac:dyDescent="0.4">
      <c r="A1480" s="45"/>
      <c r="B1480" s="45"/>
      <c r="C1480" s="46"/>
      <c r="D1480" s="47"/>
      <c r="E1480" s="47"/>
      <c r="F1480" s="47"/>
      <c r="G1480" s="47"/>
      <c r="H1480" s="47"/>
      <c r="I1480" s="47"/>
      <c r="J1480" s="47"/>
      <c r="K1480" s="47"/>
      <c r="L1480" s="47"/>
      <c r="M1480" s="47"/>
      <c r="N1480" s="47"/>
      <c r="O1480" s="47"/>
      <c r="P1480" s="47"/>
      <c r="Q1480" s="47"/>
      <c r="R1480" s="47"/>
      <c r="S1480" s="47"/>
      <c r="T1480" s="45"/>
      <c r="U1480" s="45"/>
      <c r="V1480" s="45"/>
      <c r="W1480" s="45"/>
      <c r="X1480" s="47"/>
      <c r="Y1480" s="45"/>
      <c r="Z1480" s="45"/>
      <c r="AA1480" s="48"/>
      <c r="AB1480" s="48"/>
      <c r="AC1480" s="47"/>
      <c r="AD1480" s="47"/>
      <c r="AE1480" s="47"/>
    </row>
    <row r="1481" spans="1:31" x14ac:dyDescent="0.35">
      <c r="A1481" s="41"/>
      <c r="B1481" s="41"/>
      <c r="C1481" s="42"/>
      <c r="D1481" s="43"/>
      <c r="E1481" s="43"/>
      <c r="F1481" s="43"/>
      <c r="G1481" s="43"/>
      <c r="H1481" s="43"/>
      <c r="I1481" s="43"/>
      <c r="J1481" s="43"/>
      <c r="K1481" s="43"/>
      <c r="L1481" s="43"/>
      <c r="M1481" s="43"/>
      <c r="N1481" s="43"/>
      <c r="O1481" s="43"/>
      <c r="P1481" s="43"/>
      <c r="Q1481" s="43"/>
      <c r="R1481" s="43"/>
      <c r="S1481" s="43"/>
      <c r="T1481" s="43"/>
      <c r="U1481" s="43"/>
      <c r="V1481" s="41"/>
      <c r="W1481" s="41"/>
      <c r="X1481" s="41"/>
      <c r="Y1481" s="41"/>
      <c r="Z1481" s="41"/>
      <c r="AA1481" s="44"/>
      <c r="AB1481" s="44"/>
      <c r="AC1481" s="43"/>
      <c r="AD1481" s="43"/>
      <c r="AE1481" s="43"/>
    </row>
    <row r="1482" spans="1:31" x14ac:dyDescent="0.35">
      <c r="C1482" s="33"/>
      <c r="D1482" s="34"/>
      <c r="E1482" s="34"/>
      <c r="F1482" s="34"/>
      <c r="G1482" s="34"/>
      <c r="H1482" s="34"/>
      <c r="I1482" s="34"/>
      <c r="J1482" s="34"/>
      <c r="K1482" s="34"/>
      <c r="L1482" s="34"/>
      <c r="M1482" s="34"/>
      <c r="N1482" s="34"/>
      <c r="O1482" s="34"/>
      <c r="AA1482" s="35"/>
      <c r="AB1482" s="35"/>
      <c r="AC1482" s="34"/>
      <c r="AD1482" s="34"/>
      <c r="AE1482" s="34"/>
    </row>
    <row r="1483" spans="1:31" ht="15" thickBot="1" x14ac:dyDescent="0.4">
      <c r="A1483" s="45"/>
      <c r="B1483" s="45"/>
      <c r="C1483" s="46"/>
      <c r="D1483" s="47"/>
      <c r="E1483" s="47"/>
      <c r="F1483" s="47"/>
      <c r="G1483" s="47"/>
      <c r="H1483" s="47"/>
      <c r="I1483" s="47"/>
      <c r="J1483" s="47"/>
      <c r="K1483" s="47"/>
      <c r="L1483" s="47"/>
      <c r="M1483" s="47"/>
      <c r="N1483" s="47"/>
      <c r="O1483" s="47"/>
      <c r="P1483" s="47"/>
      <c r="Q1483" s="47"/>
      <c r="R1483" s="47"/>
      <c r="S1483" s="47"/>
      <c r="T1483" s="45"/>
      <c r="U1483" s="45"/>
      <c r="V1483" s="45"/>
      <c r="W1483" s="45"/>
      <c r="X1483" s="47"/>
      <c r="Y1483" s="45"/>
      <c r="Z1483" s="45"/>
      <c r="AA1483" s="48"/>
      <c r="AB1483" s="48"/>
      <c r="AC1483" s="47"/>
      <c r="AD1483" s="47"/>
      <c r="AE1483" s="47"/>
    </row>
    <row r="1484" spans="1:31" x14ac:dyDescent="0.35">
      <c r="A1484" s="41"/>
      <c r="B1484" s="41"/>
      <c r="C1484" s="42"/>
      <c r="D1484" s="43"/>
      <c r="E1484" s="43"/>
      <c r="F1484" s="43"/>
      <c r="G1484" s="43"/>
      <c r="H1484" s="43"/>
      <c r="I1484" s="43"/>
      <c r="J1484" s="43"/>
      <c r="K1484" s="43"/>
      <c r="L1484" s="43"/>
      <c r="M1484" s="43"/>
      <c r="N1484" s="43"/>
      <c r="O1484" s="43"/>
      <c r="P1484" s="43"/>
      <c r="Q1484" s="43"/>
      <c r="R1484" s="43"/>
      <c r="S1484" s="43"/>
      <c r="T1484" s="43"/>
      <c r="U1484" s="43"/>
      <c r="V1484" s="41"/>
      <c r="W1484" s="41"/>
      <c r="X1484" s="41"/>
      <c r="Y1484" s="41"/>
      <c r="Z1484" s="41"/>
      <c r="AA1484" s="44"/>
      <c r="AB1484" s="44"/>
      <c r="AC1484" s="43"/>
      <c r="AD1484" s="43"/>
      <c r="AE1484" s="43"/>
    </row>
    <row r="1485" spans="1:31" x14ac:dyDescent="0.35">
      <c r="C1485" s="33"/>
      <c r="D1485" s="34"/>
      <c r="E1485" s="34"/>
      <c r="F1485" s="34"/>
      <c r="G1485" s="34"/>
      <c r="H1485" s="34"/>
      <c r="I1485" s="34"/>
      <c r="J1485" s="34"/>
      <c r="K1485" s="34"/>
      <c r="L1485" s="34"/>
      <c r="M1485" s="34"/>
      <c r="N1485" s="34"/>
      <c r="O1485" s="34"/>
      <c r="AA1485" s="35"/>
      <c r="AB1485" s="35"/>
      <c r="AC1485" s="34"/>
      <c r="AD1485" s="34"/>
      <c r="AE1485" s="34"/>
    </row>
    <row r="1486" spans="1:31" ht="15" thickBot="1" x14ac:dyDescent="0.4">
      <c r="A1486" s="45"/>
      <c r="B1486" s="45"/>
      <c r="C1486" s="46"/>
      <c r="D1486" s="47"/>
      <c r="E1486" s="47"/>
      <c r="F1486" s="47"/>
      <c r="G1486" s="47"/>
      <c r="H1486" s="47"/>
      <c r="I1486" s="47"/>
      <c r="J1486" s="47"/>
      <c r="K1486" s="47"/>
      <c r="L1486" s="47"/>
      <c r="M1486" s="47"/>
      <c r="N1486" s="47"/>
      <c r="O1486" s="47"/>
      <c r="P1486" s="47"/>
      <c r="Q1486" s="47"/>
      <c r="R1486" s="47"/>
      <c r="S1486" s="47"/>
      <c r="T1486" s="45"/>
      <c r="U1486" s="45"/>
      <c r="V1486" s="45"/>
      <c r="W1486" s="45"/>
      <c r="X1486" s="47"/>
      <c r="Y1486" s="45"/>
      <c r="Z1486" s="45"/>
      <c r="AA1486" s="48"/>
      <c r="AB1486" s="48"/>
      <c r="AC1486" s="47"/>
      <c r="AD1486" s="47"/>
      <c r="AE1486" s="47"/>
    </row>
    <row r="1487" spans="1:31" x14ac:dyDescent="0.35">
      <c r="A1487" s="41"/>
      <c r="B1487" s="41"/>
      <c r="C1487" s="42"/>
      <c r="D1487" s="43"/>
      <c r="E1487" s="43"/>
      <c r="F1487" s="43"/>
      <c r="G1487" s="43"/>
      <c r="H1487" s="43"/>
      <c r="I1487" s="43"/>
      <c r="J1487" s="43"/>
      <c r="K1487" s="43"/>
      <c r="L1487" s="43"/>
      <c r="M1487" s="43"/>
      <c r="N1487" s="43"/>
      <c r="O1487" s="43"/>
      <c r="P1487" s="43"/>
      <c r="Q1487" s="43"/>
      <c r="R1487" s="43"/>
      <c r="S1487" s="43"/>
      <c r="T1487" s="43"/>
      <c r="U1487" s="43"/>
      <c r="V1487" s="41"/>
      <c r="W1487" s="41"/>
      <c r="X1487" s="41"/>
      <c r="Y1487" s="41"/>
      <c r="Z1487" s="41"/>
      <c r="AA1487" s="44"/>
      <c r="AB1487" s="44"/>
      <c r="AC1487" s="43"/>
      <c r="AD1487" s="43"/>
      <c r="AE1487" s="43"/>
    </row>
    <row r="1488" spans="1:31" x14ac:dyDescent="0.35">
      <c r="C1488" s="33"/>
      <c r="D1488" s="34"/>
      <c r="E1488" s="34"/>
      <c r="F1488" s="34"/>
      <c r="G1488" s="34"/>
      <c r="H1488" s="34"/>
      <c r="I1488" s="34"/>
      <c r="J1488" s="34"/>
      <c r="K1488" s="34"/>
      <c r="L1488" s="34"/>
      <c r="M1488" s="34"/>
      <c r="N1488" s="34"/>
      <c r="O1488" s="34"/>
      <c r="AA1488" s="35"/>
      <c r="AB1488" s="35"/>
      <c r="AC1488" s="34"/>
      <c r="AD1488" s="34"/>
      <c r="AE1488" s="34"/>
    </row>
    <row r="1489" spans="1:31" ht="15" thickBot="1" x14ac:dyDescent="0.4">
      <c r="A1489" s="45"/>
      <c r="B1489" s="45"/>
      <c r="C1489" s="46"/>
      <c r="D1489" s="47"/>
      <c r="E1489" s="47"/>
      <c r="F1489" s="47"/>
      <c r="G1489" s="47"/>
      <c r="H1489" s="47"/>
      <c r="I1489" s="47"/>
      <c r="J1489" s="47"/>
      <c r="K1489" s="47"/>
      <c r="L1489" s="47"/>
      <c r="M1489" s="47"/>
      <c r="N1489" s="47"/>
      <c r="O1489" s="47"/>
      <c r="P1489" s="47"/>
      <c r="Q1489" s="47"/>
      <c r="R1489" s="47"/>
      <c r="S1489" s="47"/>
      <c r="T1489" s="45"/>
      <c r="U1489" s="45"/>
      <c r="V1489" s="45"/>
      <c r="W1489" s="45"/>
      <c r="X1489" s="47"/>
      <c r="Y1489" s="45"/>
      <c r="Z1489" s="45"/>
      <c r="AA1489" s="48"/>
      <c r="AB1489" s="48"/>
      <c r="AC1489" s="47"/>
      <c r="AD1489" s="47"/>
      <c r="AE1489" s="47"/>
    </row>
    <row r="1490" spans="1:31" x14ac:dyDescent="0.35">
      <c r="A1490" s="41"/>
      <c r="B1490" s="41"/>
      <c r="C1490" s="42"/>
      <c r="D1490" s="43"/>
      <c r="E1490" s="43"/>
      <c r="F1490" s="43"/>
      <c r="G1490" s="43"/>
      <c r="H1490" s="43"/>
      <c r="I1490" s="43"/>
      <c r="J1490" s="43"/>
      <c r="K1490" s="43"/>
      <c r="L1490" s="43"/>
      <c r="M1490" s="43"/>
      <c r="N1490" s="43"/>
      <c r="O1490" s="43"/>
      <c r="P1490" s="43"/>
      <c r="Q1490" s="43"/>
      <c r="R1490" s="43"/>
      <c r="S1490" s="43"/>
      <c r="T1490" s="43"/>
      <c r="U1490" s="43"/>
      <c r="V1490" s="41"/>
      <c r="W1490" s="41"/>
      <c r="X1490" s="41"/>
      <c r="Y1490" s="41"/>
      <c r="Z1490" s="41"/>
      <c r="AA1490" s="44"/>
      <c r="AB1490" s="44"/>
      <c r="AC1490" s="43"/>
      <c r="AD1490" s="43"/>
      <c r="AE1490" s="43"/>
    </row>
    <row r="1491" spans="1:31" x14ac:dyDescent="0.35">
      <c r="C1491" s="33"/>
      <c r="D1491" s="34"/>
      <c r="E1491" s="34"/>
      <c r="F1491" s="34"/>
      <c r="G1491" s="34"/>
      <c r="H1491" s="34"/>
      <c r="I1491" s="34"/>
      <c r="J1491" s="34"/>
      <c r="K1491" s="34"/>
      <c r="L1491" s="34"/>
      <c r="M1491" s="34"/>
      <c r="N1491" s="34"/>
      <c r="O1491" s="34"/>
      <c r="AA1491" s="35"/>
      <c r="AB1491" s="35"/>
      <c r="AC1491" s="34"/>
      <c r="AD1491" s="34"/>
      <c r="AE1491" s="34"/>
    </row>
    <row r="1492" spans="1:31" ht="15" thickBot="1" x14ac:dyDescent="0.4">
      <c r="A1492" s="45"/>
      <c r="B1492" s="45"/>
      <c r="C1492" s="46"/>
      <c r="D1492" s="47"/>
      <c r="E1492" s="47"/>
      <c r="F1492" s="47"/>
      <c r="G1492" s="47"/>
      <c r="H1492" s="47"/>
      <c r="I1492" s="47"/>
      <c r="J1492" s="47"/>
      <c r="K1492" s="47"/>
      <c r="L1492" s="47"/>
      <c r="M1492" s="47"/>
      <c r="N1492" s="47"/>
      <c r="O1492" s="47"/>
      <c r="P1492" s="47"/>
      <c r="Q1492" s="47"/>
      <c r="R1492" s="47"/>
      <c r="S1492" s="47"/>
      <c r="T1492" s="45"/>
      <c r="U1492" s="45"/>
      <c r="V1492" s="45"/>
      <c r="W1492" s="45"/>
      <c r="X1492" s="47"/>
      <c r="Y1492" s="45"/>
      <c r="Z1492" s="45"/>
      <c r="AA1492" s="48"/>
      <c r="AB1492" s="48"/>
      <c r="AC1492" s="47"/>
      <c r="AD1492" s="47"/>
      <c r="AE1492" s="47"/>
    </row>
    <row r="1493" spans="1:31" x14ac:dyDescent="0.35">
      <c r="A1493" s="41"/>
      <c r="B1493" s="41"/>
      <c r="C1493" s="42"/>
      <c r="D1493" s="43"/>
      <c r="E1493" s="43"/>
      <c r="F1493" s="43"/>
      <c r="G1493" s="43"/>
      <c r="H1493" s="43"/>
      <c r="I1493" s="43"/>
      <c r="J1493" s="43"/>
      <c r="K1493" s="43"/>
      <c r="L1493" s="43"/>
      <c r="M1493" s="43"/>
      <c r="N1493" s="43"/>
      <c r="O1493" s="43"/>
      <c r="P1493" s="43"/>
      <c r="Q1493" s="43"/>
      <c r="R1493" s="43"/>
      <c r="S1493" s="43"/>
      <c r="T1493" s="43"/>
      <c r="U1493" s="43"/>
      <c r="V1493" s="41"/>
      <c r="W1493" s="41"/>
      <c r="X1493" s="41"/>
      <c r="Y1493" s="41"/>
      <c r="Z1493" s="41"/>
      <c r="AA1493" s="44"/>
      <c r="AB1493" s="44"/>
      <c r="AC1493" s="43"/>
      <c r="AD1493" s="43"/>
      <c r="AE1493" s="43"/>
    </row>
    <row r="1494" spans="1:31" x14ac:dyDescent="0.35">
      <c r="C1494" s="33"/>
      <c r="D1494" s="34"/>
      <c r="E1494" s="34"/>
      <c r="F1494" s="34"/>
      <c r="G1494" s="34"/>
      <c r="H1494" s="34"/>
      <c r="I1494" s="34"/>
      <c r="J1494" s="34"/>
      <c r="K1494" s="34"/>
      <c r="L1494" s="34"/>
      <c r="M1494" s="34"/>
      <c r="N1494" s="34"/>
      <c r="O1494" s="34"/>
      <c r="AA1494" s="35"/>
      <c r="AB1494" s="35"/>
      <c r="AC1494" s="34"/>
      <c r="AD1494" s="34"/>
      <c r="AE1494" s="34"/>
    </row>
    <row r="1495" spans="1:31" ht="15" thickBot="1" x14ac:dyDescent="0.4">
      <c r="A1495" s="45"/>
      <c r="B1495" s="45"/>
      <c r="C1495" s="46"/>
      <c r="D1495" s="47"/>
      <c r="E1495" s="47"/>
      <c r="F1495" s="47"/>
      <c r="G1495" s="47"/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  <c r="S1495" s="47"/>
      <c r="T1495" s="45"/>
      <c r="U1495" s="45"/>
      <c r="V1495" s="45"/>
      <c r="W1495" s="45"/>
      <c r="X1495" s="47"/>
      <c r="Y1495" s="45"/>
      <c r="Z1495" s="45"/>
      <c r="AA1495" s="48"/>
      <c r="AB1495" s="48"/>
      <c r="AC1495" s="47"/>
      <c r="AD1495" s="47"/>
      <c r="AE1495" s="47"/>
    </row>
    <row r="1496" spans="1:31" x14ac:dyDescent="0.35">
      <c r="A1496" s="41"/>
      <c r="B1496" s="41"/>
      <c r="C1496" s="42"/>
      <c r="D1496" s="43"/>
      <c r="E1496" s="43"/>
      <c r="F1496" s="43"/>
      <c r="G1496" s="43"/>
      <c r="H1496" s="43"/>
      <c r="I1496" s="43"/>
      <c r="J1496" s="43"/>
      <c r="K1496" s="43"/>
      <c r="L1496" s="43"/>
      <c r="M1496" s="43"/>
      <c r="N1496" s="43"/>
      <c r="O1496" s="43"/>
      <c r="P1496" s="43"/>
      <c r="Q1496" s="43"/>
      <c r="R1496" s="43"/>
      <c r="S1496" s="43"/>
      <c r="T1496" s="43"/>
      <c r="U1496" s="43"/>
      <c r="V1496" s="41"/>
      <c r="W1496" s="41"/>
      <c r="X1496" s="41"/>
      <c r="Y1496" s="41"/>
      <c r="Z1496" s="41"/>
      <c r="AA1496" s="44"/>
      <c r="AB1496" s="44"/>
      <c r="AC1496" s="43"/>
      <c r="AD1496" s="43"/>
      <c r="AE1496" s="43"/>
    </row>
    <row r="1497" spans="1:31" x14ac:dyDescent="0.35">
      <c r="C1497" s="33"/>
      <c r="D1497" s="34"/>
      <c r="E1497" s="34"/>
      <c r="F1497" s="34"/>
      <c r="G1497" s="34"/>
      <c r="H1497" s="34"/>
      <c r="I1497" s="34"/>
      <c r="J1497" s="34"/>
      <c r="K1497" s="34"/>
      <c r="L1497" s="34"/>
      <c r="M1497" s="34"/>
      <c r="N1497" s="34"/>
      <c r="O1497" s="34"/>
      <c r="AA1497" s="35"/>
      <c r="AB1497" s="35"/>
      <c r="AC1497" s="34"/>
      <c r="AD1497" s="34"/>
      <c r="AE1497" s="34"/>
    </row>
    <row r="1498" spans="1:31" ht="15" thickBot="1" x14ac:dyDescent="0.4">
      <c r="A1498" s="45"/>
      <c r="B1498" s="45"/>
      <c r="C1498" s="46"/>
      <c r="D1498" s="47"/>
      <c r="E1498" s="47"/>
      <c r="F1498" s="47"/>
      <c r="G1498" s="47"/>
      <c r="H1498" s="47"/>
      <c r="I1498" s="47"/>
      <c r="J1498" s="47"/>
      <c r="K1498" s="47"/>
      <c r="L1498" s="47"/>
      <c r="M1498" s="47"/>
      <c r="N1498" s="47"/>
      <c r="O1498" s="47"/>
      <c r="P1498" s="47"/>
      <c r="Q1498" s="47"/>
      <c r="R1498" s="47"/>
      <c r="S1498" s="47"/>
      <c r="T1498" s="45"/>
      <c r="U1498" s="45"/>
      <c r="V1498" s="45"/>
      <c r="W1498" s="45"/>
      <c r="X1498" s="47"/>
      <c r="Y1498" s="45"/>
      <c r="Z1498" s="45"/>
      <c r="AA1498" s="48"/>
      <c r="AB1498" s="48"/>
      <c r="AC1498" s="47"/>
      <c r="AD1498" s="47"/>
      <c r="AE1498" s="47"/>
    </row>
    <row r="1499" spans="1:31" x14ac:dyDescent="0.35">
      <c r="A1499" s="41"/>
      <c r="B1499" s="41"/>
      <c r="C1499" s="42"/>
      <c r="D1499" s="43"/>
      <c r="E1499" s="43"/>
      <c r="F1499" s="43"/>
      <c r="G1499" s="43"/>
      <c r="H1499" s="43"/>
      <c r="I1499" s="43"/>
      <c r="J1499" s="43"/>
      <c r="K1499" s="43"/>
      <c r="L1499" s="43"/>
      <c r="M1499" s="43"/>
      <c r="N1499" s="43"/>
      <c r="O1499" s="43"/>
      <c r="P1499" s="43"/>
      <c r="Q1499" s="43"/>
      <c r="R1499" s="43"/>
      <c r="S1499" s="43"/>
      <c r="T1499" s="43"/>
      <c r="U1499" s="43"/>
      <c r="V1499" s="41"/>
      <c r="W1499" s="41"/>
      <c r="X1499" s="41"/>
      <c r="Y1499" s="41"/>
      <c r="Z1499" s="41"/>
      <c r="AA1499" s="44"/>
      <c r="AB1499" s="44"/>
      <c r="AC1499" s="43"/>
      <c r="AD1499" s="43"/>
      <c r="AE1499" s="43"/>
    </row>
    <row r="1500" spans="1:31" x14ac:dyDescent="0.35">
      <c r="C1500" s="33"/>
      <c r="D1500" s="34"/>
      <c r="E1500" s="34"/>
      <c r="F1500" s="34"/>
      <c r="G1500" s="34"/>
      <c r="H1500" s="34"/>
      <c r="I1500" s="34"/>
      <c r="J1500" s="34"/>
      <c r="K1500" s="34"/>
      <c r="L1500" s="34"/>
      <c r="M1500" s="34"/>
      <c r="N1500" s="34"/>
      <c r="O1500" s="34"/>
      <c r="AA1500" s="35"/>
      <c r="AB1500" s="35"/>
      <c r="AC1500" s="34"/>
      <c r="AD1500" s="34"/>
      <c r="AE1500" s="34"/>
    </row>
    <row r="1501" spans="1:31" ht="15" thickBot="1" x14ac:dyDescent="0.4">
      <c r="A1501" s="45"/>
      <c r="B1501" s="45"/>
      <c r="C1501" s="46"/>
      <c r="D1501" s="47"/>
      <c r="E1501" s="47"/>
      <c r="F1501" s="47"/>
      <c r="G1501" s="47"/>
      <c r="H1501" s="47"/>
      <c r="I1501" s="47"/>
      <c r="J1501" s="47"/>
      <c r="K1501" s="47"/>
      <c r="L1501" s="47"/>
      <c r="M1501" s="47"/>
      <c r="N1501" s="47"/>
      <c r="O1501" s="47"/>
      <c r="P1501" s="47"/>
      <c r="Q1501" s="47"/>
      <c r="R1501" s="47"/>
      <c r="S1501" s="47"/>
      <c r="T1501" s="45"/>
      <c r="U1501" s="45"/>
      <c r="V1501" s="45"/>
      <c r="W1501" s="45"/>
      <c r="X1501" s="47"/>
      <c r="Y1501" s="45"/>
      <c r="Z1501" s="45"/>
      <c r="AA1501" s="48"/>
      <c r="AB1501" s="48"/>
      <c r="AC1501" s="47"/>
      <c r="AD1501" s="47"/>
      <c r="AE1501" s="47"/>
    </row>
    <row r="1502" spans="1:31" x14ac:dyDescent="0.35">
      <c r="A1502" s="41"/>
      <c r="B1502" s="41"/>
      <c r="C1502" s="42"/>
      <c r="D1502" s="43"/>
      <c r="E1502" s="43"/>
      <c r="F1502" s="43"/>
      <c r="G1502" s="43"/>
      <c r="H1502" s="43"/>
      <c r="I1502" s="43"/>
      <c r="J1502" s="43"/>
      <c r="K1502" s="43"/>
      <c r="L1502" s="43"/>
      <c r="M1502" s="43"/>
      <c r="N1502" s="43"/>
      <c r="O1502" s="43"/>
      <c r="P1502" s="43"/>
      <c r="Q1502" s="43"/>
      <c r="R1502" s="43"/>
      <c r="S1502" s="43"/>
      <c r="T1502" s="43"/>
      <c r="U1502" s="43"/>
      <c r="V1502" s="41"/>
      <c r="W1502" s="41"/>
      <c r="X1502" s="41"/>
      <c r="Y1502" s="41"/>
      <c r="Z1502" s="41"/>
      <c r="AA1502" s="44"/>
      <c r="AB1502" s="44"/>
      <c r="AC1502" s="43"/>
      <c r="AD1502" s="43"/>
      <c r="AE1502" s="43"/>
    </row>
    <row r="1503" spans="1:31" x14ac:dyDescent="0.35">
      <c r="C1503" s="33"/>
      <c r="D1503" s="34"/>
      <c r="E1503" s="34"/>
      <c r="F1503" s="34"/>
      <c r="G1503" s="34"/>
      <c r="H1503" s="34"/>
      <c r="I1503" s="34"/>
      <c r="J1503" s="34"/>
      <c r="K1503" s="34"/>
      <c r="L1503" s="34"/>
      <c r="M1503" s="34"/>
      <c r="N1503" s="34"/>
      <c r="O1503" s="34"/>
      <c r="AA1503" s="35"/>
      <c r="AB1503" s="35"/>
      <c r="AC1503" s="34"/>
      <c r="AD1503" s="34"/>
      <c r="AE1503" s="34"/>
    </row>
    <row r="1504" spans="1:31" ht="15" thickBot="1" x14ac:dyDescent="0.4">
      <c r="A1504" s="45"/>
      <c r="B1504" s="45"/>
      <c r="C1504" s="46"/>
      <c r="D1504" s="47"/>
      <c r="E1504" s="47"/>
      <c r="F1504" s="47"/>
      <c r="G1504" s="47"/>
      <c r="H1504" s="47"/>
      <c r="I1504" s="47"/>
      <c r="J1504" s="47"/>
      <c r="K1504" s="47"/>
      <c r="L1504" s="47"/>
      <c r="M1504" s="47"/>
      <c r="N1504" s="47"/>
      <c r="O1504" s="47"/>
      <c r="P1504" s="47"/>
      <c r="Q1504" s="47"/>
      <c r="R1504" s="47"/>
      <c r="S1504" s="47"/>
      <c r="T1504" s="45"/>
      <c r="U1504" s="45"/>
      <c r="V1504" s="45"/>
      <c r="W1504" s="45"/>
      <c r="X1504" s="47"/>
      <c r="Y1504" s="45"/>
      <c r="Z1504" s="45"/>
      <c r="AA1504" s="48"/>
      <c r="AB1504" s="48"/>
      <c r="AC1504" s="47"/>
      <c r="AD1504" s="47"/>
      <c r="AE1504" s="47"/>
    </row>
    <row r="1505" spans="1:31" x14ac:dyDescent="0.35">
      <c r="A1505" s="41"/>
      <c r="B1505" s="41"/>
      <c r="C1505" s="42"/>
      <c r="D1505" s="43"/>
      <c r="E1505" s="43"/>
      <c r="F1505" s="43"/>
      <c r="G1505" s="43"/>
      <c r="H1505" s="43"/>
      <c r="I1505" s="43"/>
      <c r="J1505" s="43"/>
      <c r="K1505" s="43"/>
      <c r="L1505" s="43"/>
      <c r="M1505" s="43"/>
      <c r="N1505" s="43"/>
      <c r="O1505" s="43"/>
      <c r="P1505" s="43"/>
      <c r="Q1505" s="43"/>
      <c r="R1505" s="43"/>
      <c r="S1505" s="43"/>
      <c r="T1505" s="43"/>
      <c r="U1505" s="43"/>
      <c r="V1505" s="41"/>
      <c r="W1505" s="41"/>
      <c r="X1505" s="41"/>
      <c r="Y1505" s="41"/>
      <c r="Z1505" s="41"/>
      <c r="AA1505" s="44"/>
      <c r="AB1505" s="44"/>
      <c r="AC1505" s="43"/>
      <c r="AD1505" s="43"/>
      <c r="AE1505" s="43"/>
    </row>
    <row r="1506" spans="1:31" x14ac:dyDescent="0.35">
      <c r="C1506" s="33"/>
      <c r="D1506" s="34"/>
      <c r="E1506" s="34"/>
      <c r="F1506" s="34"/>
      <c r="G1506" s="34"/>
      <c r="H1506" s="34"/>
      <c r="I1506" s="34"/>
      <c r="J1506" s="34"/>
      <c r="K1506" s="34"/>
      <c r="L1506" s="34"/>
      <c r="M1506" s="34"/>
      <c r="N1506" s="34"/>
      <c r="O1506" s="34"/>
      <c r="AA1506" s="35"/>
      <c r="AB1506" s="35"/>
      <c r="AC1506" s="34"/>
      <c r="AD1506" s="34"/>
      <c r="AE1506" s="34"/>
    </row>
    <row r="1507" spans="1:31" ht="15" thickBot="1" x14ac:dyDescent="0.4">
      <c r="A1507" s="45"/>
      <c r="B1507" s="45"/>
      <c r="C1507" s="46"/>
      <c r="D1507" s="47"/>
      <c r="E1507" s="47"/>
      <c r="F1507" s="47"/>
      <c r="G1507" s="47"/>
      <c r="H1507" s="47"/>
      <c r="I1507" s="47"/>
      <c r="J1507" s="47"/>
      <c r="K1507" s="47"/>
      <c r="L1507" s="47"/>
      <c r="M1507" s="47"/>
      <c r="N1507" s="47"/>
      <c r="O1507" s="47"/>
      <c r="P1507" s="47"/>
      <c r="Q1507" s="47"/>
      <c r="R1507" s="47"/>
      <c r="S1507" s="47"/>
      <c r="T1507" s="45"/>
      <c r="U1507" s="45"/>
      <c r="V1507" s="45"/>
      <c r="W1507" s="45"/>
      <c r="X1507" s="47"/>
      <c r="Y1507" s="45"/>
      <c r="Z1507" s="45"/>
      <c r="AA1507" s="48"/>
      <c r="AB1507" s="48"/>
      <c r="AC1507" s="47"/>
      <c r="AD1507" s="47"/>
      <c r="AE1507" s="47"/>
    </row>
    <row r="1508" spans="1:31" x14ac:dyDescent="0.35">
      <c r="A1508" s="41"/>
      <c r="B1508" s="41"/>
      <c r="C1508" s="42"/>
      <c r="D1508" s="43"/>
      <c r="E1508" s="43"/>
      <c r="F1508" s="43"/>
      <c r="G1508" s="43"/>
      <c r="H1508" s="43"/>
      <c r="I1508" s="43"/>
      <c r="J1508" s="43"/>
      <c r="K1508" s="43"/>
      <c r="L1508" s="43"/>
      <c r="M1508" s="43"/>
      <c r="N1508" s="43"/>
      <c r="O1508" s="43"/>
      <c r="P1508" s="43"/>
      <c r="Q1508" s="43"/>
      <c r="R1508" s="43"/>
      <c r="S1508" s="43"/>
      <c r="T1508" s="43"/>
      <c r="U1508" s="43"/>
      <c r="V1508" s="41"/>
      <c r="W1508" s="41"/>
      <c r="X1508" s="41"/>
      <c r="Y1508" s="41"/>
      <c r="Z1508" s="41"/>
      <c r="AA1508" s="44"/>
      <c r="AB1508" s="44"/>
      <c r="AC1508" s="43"/>
      <c r="AD1508" s="43"/>
      <c r="AE1508" s="43"/>
    </row>
    <row r="1509" spans="1:31" x14ac:dyDescent="0.35">
      <c r="C1509" s="33"/>
      <c r="D1509" s="34"/>
      <c r="E1509" s="34"/>
      <c r="F1509" s="34"/>
      <c r="G1509" s="34"/>
      <c r="H1509" s="34"/>
      <c r="I1509" s="34"/>
      <c r="J1509" s="34"/>
      <c r="K1509" s="34"/>
      <c r="L1509" s="34"/>
      <c r="M1509" s="34"/>
      <c r="N1509" s="34"/>
      <c r="O1509" s="34"/>
      <c r="AA1509" s="35"/>
      <c r="AB1509" s="35"/>
      <c r="AC1509" s="34"/>
      <c r="AD1509" s="34"/>
      <c r="AE1509" s="34"/>
    </row>
    <row r="1510" spans="1:31" ht="15" thickBot="1" x14ac:dyDescent="0.4">
      <c r="A1510" s="45"/>
      <c r="B1510" s="45"/>
      <c r="C1510" s="46"/>
      <c r="D1510" s="47"/>
      <c r="E1510" s="47"/>
      <c r="F1510" s="47"/>
      <c r="G1510" s="47"/>
      <c r="H1510" s="47"/>
      <c r="I1510" s="47"/>
      <c r="J1510" s="47"/>
      <c r="K1510" s="47"/>
      <c r="L1510" s="47"/>
      <c r="M1510" s="47"/>
      <c r="N1510" s="47"/>
      <c r="O1510" s="47"/>
      <c r="P1510" s="47"/>
      <c r="Q1510" s="47"/>
      <c r="R1510" s="47"/>
      <c r="S1510" s="47"/>
      <c r="T1510" s="45"/>
      <c r="U1510" s="45"/>
      <c r="V1510" s="45"/>
      <c r="W1510" s="45"/>
      <c r="X1510" s="47"/>
      <c r="Y1510" s="45"/>
      <c r="Z1510" s="45"/>
      <c r="AA1510" s="48"/>
      <c r="AB1510" s="48"/>
      <c r="AC1510" s="47"/>
      <c r="AD1510" s="47"/>
      <c r="AE1510" s="47"/>
    </row>
    <row r="1511" spans="1:31" x14ac:dyDescent="0.35">
      <c r="A1511" s="41"/>
      <c r="B1511" s="41"/>
      <c r="C1511" s="42"/>
      <c r="D1511" s="43"/>
      <c r="E1511" s="43"/>
      <c r="F1511" s="43"/>
      <c r="G1511" s="43"/>
      <c r="H1511" s="43"/>
      <c r="I1511" s="43"/>
      <c r="J1511" s="43"/>
      <c r="K1511" s="43"/>
      <c r="L1511" s="43"/>
      <c r="M1511" s="43"/>
      <c r="N1511" s="43"/>
      <c r="O1511" s="43"/>
      <c r="P1511" s="43"/>
      <c r="Q1511" s="43"/>
      <c r="R1511" s="43"/>
      <c r="S1511" s="43"/>
      <c r="T1511" s="43"/>
      <c r="U1511" s="43"/>
      <c r="V1511" s="41"/>
      <c r="W1511" s="41"/>
      <c r="X1511" s="41"/>
      <c r="Y1511" s="41"/>
      <c r="Z1511" s="41"/>
      <c r="AA1511" s="44"/>
      <c r="AB1511" s="44"/>
      <c r="AC1511" s="43"/>
      <c r="AD1511" s="43"/>
      <c r="AE1511" s="43"/>
    </row>
    <row r="1512" spans="1:31" x14ac:dyDescent="0.35">
      <c r="C1512" s="33"/>
      <c r="D1512" s="34"/>
      <c r="E1512" s="34"/>
      <c r="F1512" s="34"/>
      <c r="G1512" s="34"/>
      <c r="H1512" s="34"/>
      <c r="I1512" s="34"/>
      <c r="J1512" s="34"/>
      <c r="K1512" s="34"/>
      <c r="L1512" s="34"/>
      <c r="M1512" s="34"/>
      <c r="N1512" s="34"/>
      <c r="O1512" s="34"/>
      <c r="AA1512" s="35"/>
      <c r="AB1512" s="35"/>
      <c r="AC1512" s="34"/>
      <c r="AD1512" s="34"/>
      <c r="AE1512" s="34"/>
    </row>
    <row r="1513" spans="1:31" ht="15" thickBot="1" x14ac:dyDescent="0.4">
      <c r="A1513" s="45"/>
      <c r="B1513" s="45"/>
      <c r="C1513" s="46"/>
      <c r="D1513" s="47"/>
      <c r="E1513" s="47"/>
      <c r="F1513" s="47"/>
      <c r="G1513" s="47"/>
      <c r="H1513" s="47"/>
      <c r="I1513" s="47"/>
      <c r="J1513" s="47"/>
      <c r="K1513" s="47"/>
      <c r="L1513" s="47"/>
      <c r="M1513" s="47"/>
      <c r="N1513" s="47"/>
      <c r="O1513" s="47"/>
      <c r="P1513" s="47"/>
      <c r="Q1513" s="47"/>
      <c r="R1513" s="47"/>
      <c r="S1513" s="47"/>
      <c r="T1513" s="45"/>
      <c r="U1513" s="45"/>
      <c r="V1513" s="45"/>
      <c r="W1513" s="45"/>
      <c r="X1513" s="47"/>
      <c r="Y1513" s="45"/>
      <c r="Z1513" s="45"/>
      <c r="AA1513" s="48"/>
      <c r="AB1513" s="48"/>
      <c r="AC1513" s="47"/>
      <c r="AD1513" s="47"/>
      <c r="AE1513" s="47"/>
    </row>
    <row r="1514" spans="1:31" x14ac:dyDescent="0.35">
      <c r="A1514" s="41"/>
      <c r="B1514" s="41"/>
      <c r="C1514" s="42"/>
      <c r="D1514" s="43"/>
      <c r="E1514" s="43"/>
      <c r="F1514" s="43"/>
      <c r="G1514" s="43"/>
      <c r="H1514" s="43"/>
      <c r="I1514" s="43"/>
      <c r="J1514" s="43"/>
      <c r="K1514" s="43"/>
      <c r="L1514" s="43"/>
      <c r="M1514" s="43"/>
      <c r="N1514" s="43"/>
      <c r="O1514" s="43"/>
      <c r="P1514" s="43"/>
      <c r="Q1514" s="43"/>
      <c r="R1514" s="43"/>
      <c r="S1514" s="43"/>
      <c r="T1514" s="43"/>
      <c r="U1514" s="43"/>
      <c r="V1514" s="41"/>
      <c r="W1514" s="41"/>
      <c r="X1514" s="41"/>
      <c r="Y1514" s="41"/>
      <c r="Z1514" s="41"/>
      <c r="AA1514" s="44"/>
      <c r="AB1514" s="44"/>
      <c r="AC1514" s="43"/>
      <c r="AD1514" s="43"/>
      <c r="AE1514" s="43"/>
    </row>
    <row r="1515" spans="1:31" x14ac:dyDescent="0.35">
      <c r="C1515" s="33"/>
      <c r="D1515" s="34"/>
      <c r="E1515" s="34"/>
      <c r="F1515" s="34"/>
      <c r="G1515" s="34"/>
      <c r="H1515" s="34"/>
      <c r="I1515" s="34"/>
      <c r="J1515" s="34"/>
      <c r="K1515" s="34"/>
      <c r="L1515" s="34"/>
      <c r="M1515" s="34"/>
      <c r="N1515" s="34"/>
      <c r="O1515" s="34"/>
      <c r="AA1515" s="35"/>
      <c r="AB1515" s="35"/>
      <c r="AC1515" s="34"/>
      <c r="AD1515" s="34"/>
      <c r="AE1515" s="34"/>
    </row>
    <row r="1516" spans="1:31" ht="15" thickBot="1" x14ac:dyDescent="0.4">
      <c r="A1516" s="45"/>
      <c r="B1516" s="45"/>
      <c r="C1516" s="46"/>
      <c r="D1516" s="47"/>
      <c r="E1516" s="47"/>
      <c r="F1516" s="47"/>
      <c r="G1516" s="47"/>
      <c r="H1516" s="47"/>
      <c r="I1516" s="47"/>
      <c r="J1516" s="47"/>
      <c r="K1516" s="47"/>
      <c r="L1516" s="47"/>
      <c r="M1516" s="47"/>
      <c r="N1516" s="47"/>
      <c r="O1516" s="47"/>
      <c r="P1516" s="47"/>
      <c r="Q1516" s="47"/>
      <c r="R1516" s="47"/>
      <c r="S1516" s="47"/>
      <c r="T1516" s="45"/>
      <c r="U1516" s="45"/>
      <c r="V1516" s="45"/>
      <c r="W1516" s="45"/>
      <c r="X1516" s="47"/>
      <c r="Y1516" s="45"/>
      <c r="Z1516" s="45"/>
      <c r="AA1516" s="48"/>
      <c r="AB1516" s="48"/>
      <c r="AC1516" s="47"/>
      <c r="AD1516" s="47"/>
      <c r="AE1516" s="47"/>
    </row>
    <row r="1517" spans="1:31" x14ac:dyDescent="0.35">
      <c r="A1517" s="41"/>
      <c r="B1517" s="41"/>
      <c r="C1517" s="42"/>
      <c r="D1517" s="43"/>
      <c r="E1517" s="43"/>
      <c r="F1517" s="43"/>
      <c r="G1517" s="43"/>
      <c r="H1517" s="43"/>
      <c r="I1517" s="43"/>
      <c r="J1517" s="43"/>
      <c r="K1517" s="43"/>
      <c r="L1517" s="43"/>
      <c r="M1517" s="43"/>
      <c r="N1517" s="43"/>
      <c r="O1517" s="43"/>
      <c r="P1517" s="43"/>
      <c r="Q1517" s="43"/>
      <c r="R1517" s="43"/>
      <c r="S1517" s="43"/>
      <c r="T1517" s="43"/>
      <c r="U1517" s="43"/>
      <c r="V1517" s="41"/>
      <c r="W1517" s="41"/>
      <c r="X1517" s="41"/>
      <c r="Y1517" s="41"/>
      <c r="Z1517" s="41"/>
      <c r="AA1517" s="44"/>
      <c r="AB1517" s="44"/>
      <c r="AC1517" s="43"/>
      <c r="AD1517" s="43"/>
      <c r="AE1517" s="43"/>
    </row>
    <row r="1518" spans="1:31" x14ac:dyDescent="0.35">
      <c r="C1518" s="33"/>
      <c r="D1518" s="34"/>
      <c r="E1518" s="34"/>
      <c r="F1518" s="34"/>
      <c r="G1518" s="34"/>
      <c r="H1518" s="34"/>
      <c r="I1518" s="34"/>
      <c r="J1518" s="34"/>
      <c r="K1518" s="34"/>
      <c r="L1518" s="34"/>
      <c r="M1518" s="34"/>
      <c r="N1518" s="34"/>
      <c r="O1518" s="34"/>
      <c r="AA1518" s="35"/>
      <c r="AB1518" s="35"/>
      <c r="AC1518" s="34"/>
      <c r="AD1518" s="34"/>
      <c r="AE1518" s="34"/>
    </row>
    <row r="1519" spans="1:31" ht="15" thickBot="1" x14ac:dyDescent="0.4">
      <c r="A1519" s="45"/>
      <c r="B1519" s="45"/>
      <c r="C1519" s="46"/>
      <c r="D1519" s="47"/>
      <c r="E1519" s="47"/>
      <c r="F1519" s="47"/>
      <c r="G1519" s="47"/>
      <c r="H1519" s="47"/>
      <c r="I1519" s="47"/>
      <c r="J1519" s="47"/>
      <c r="K1519" s="47"/>
      <c r="L1519" s="47"/>
      <c r="M1519" s="47"/>
      <c r="N1519" s="47"/>
      <c r="O1519" s="47"/>
      <c r="P1519" s="47"/>
      <c r="Q1519" s="47"/>
      <c r="R1519" s="47"/>
      <c r="S1519" s="47"/>
      <c r="T1519" s="45"/>
      <c r="U1519" s="45"/>
      <c r="V1519" s="45"/>
      <c r="W1519" s="45"/>
      <c r="X1519" s="47"/>
      <c r="Y1519" s="45"/>
      <c r="Z1519" s="45"/>
      <c r="AA1519" s="48"/>
      <c r="AB1519" s="48"/>
      <c r="AC1519" s="47"/>
      <c r="AD1519" s="47"/>
      <c r="AE1519" s="47"/>
    </row>
    <row r="1520" spans="1:31" x14ac:dyDescent="0.35">
      <c r="A1520" s="41"/>
      <c r="B1520" s="41"/>
      <c r="C1520" s="42"/>
      <c r="D1520" s="43"/>
      <c r="E1520" s="43"/>
      <c r="F1520" s="43"/>
      <c r="G1520" s="43"/>
      <c r="H1520" s="43"/>
      <c r="I1520" s="43"/>
      <c r="J1520" s="43"/>
      <c r="K1520" s="43"/>
      <c r="L1520" s="43"/>
      <c r="M1520" s="43"/>
      <c r="N1520" s="43"/>
      <c r="O1520" s="43"/>
      <c r="P1520" s="43"/>
      <c r="Q1520" s="43"/>
      <c r="R1520" s="43"/>
      <c r="S1520" s="43"/>
      <c r="T1520" s="43"/>
      <c r="U1520" s="43"/>
      <c r="V1520" s="41"/>
      <c r="W1520" s="41"/>
      <c r="X1520" s="41"/>
      <c r="Y1520" s="41"/>
      <c r="Z1520" s="41"/>
      <c r="AA1520" s="44"/>
      <c r="AB1520" s="44"/>
      <c r="AC1520" s="43"/>
      <c r="AD1520" s="43"/>
      <c r="AE1520" s="43"/>
    </row>
    <row r="1521" spans="1:31" x14ac:dyDescent="0.35">
      <c r="C1521" s="33"/>
      <c r="D1521" s="34"/>
      <c r="E1521" s="34"/>
      <c r="F1521" s="34"/>
      <c r="G1521" s="34"/>
      <c r="H1521" s="34"/>
      <c r="I1521" s="34"/>
      <c r="J1521" s="34"/>
      <c r="K1521" s="34"/>
      <c r="L1521" s="34"/>
      <c r="M1521" s="34"/>
      <c r="N1521" s="34"/>
      <c r="O1521" s="34"/>
      <c r="AA1521" s="35"/>
      <c r="AB1521" s="35"/>
      <c r="AC1521" s="34"/>
      <c r="AD1521" s="34"/>
      <c r="AE1521" s="34"/>
    </row>
    <row r="1522" spans="1:31" ht="15" thickBot="1" x14ac:dyDescent="0.4">
      <c r="A1522" s="45"/>
      <c r="B1522" s="45"/>
      <c r="C1522" s="46"/>
      <c r="D1522" s="47"/>
      <c r="E1522" s="47"/>
      <c r="F1522" s="47"/>
      <c r="G1522" s="47"/>
      <c r="H1522" s="47"/>
      <c r="I1522" s="47"/>
      <c r="J1522" s="47"/>
      <c r="K1522" s="47"/>
      <c r="L1522" s="47"/>
      <c r="M1522" s="47"/>
      <c r="N1522" s="47"/>
      <c r="O1522" s="47"/>
      <c r="P1522" s="47"/>
      <c r="Q1522" s="47"/>
      <c r="R1522" s="47"/>
      <c r="S1522" s="47"/>
      <c r="T1522" s="45"/>
      <c r="U1522" s="45"/>
      <c r="V1522" s="45"/>
      <c r="W1522" s="45"/>
      <c r="X1522" s="47"/>
      <c r="Y1522" s="45"/>
      <c r="Z1522" s="45"/>
      <c r="AA1522" s="48"/>
      <c r="AB1522" s="48"/>
      <c r="AC1522" s="47"/>
      <c r="AD1522" s="47"/>
      <c r="AE1522" s="47"/>
    </row>
    <row r="1523" spans="1:31" x14ac:dyDescent="0.35">
      <c r="A1523" s="41"/>
      <c r="B1523" s="41"/>
      <c r="C1523" s="42"/>
      <c r="D1523" s="43"/>
      <c r="E1523" s="43"/>
      <c r="F1523" s="43"/>
      <c r="G1523" s="43"/>
      <c r="H1523" s="43"/>
      <c r="I1523" s="43"/>
      <c r="J1523" s="43"/>
      <c r="K1523" s="43"/>
      <c r="L1523" s="43"/>
      <c r="M1523" s="43"/>
      <c r="N1523" s="43"/>
      <c r="O1523" s="43"/>
      <c r="P1523" s="43"/>
      <c r="Q1523" s="43"/>
      <c r="R1523" s="43"/>
      <c r="S1523" s="43"/>
      <c r="T1523" s="43"/>
      <c r="U1523" s="43"/>
      <c r="V1523" s="41"/>
      <c r="W1523" s="41"/>
      <c r="X1523" s="41"/>
      <c r="Y1523" s="41"/>
      <c r="Z1523" s="41"/>
      <c r="AA1523" s="44"/>
      <c r="AB1523" s="44"/>
      <c r="AC1523" s="43"/>
      <c r="AD1523" s="43"/>
      <c r="AE1523" s="43"/>
    </row>
    <row r="1524" spans="1:31" x14ac:dyDescent="0.35">
      <c r="C1524" s="33"/>
      <c r="D1524" s="34"/>
      <c r="E1524" s="34"/>
      <c r="F1524" s="34"/>
      <c r="G1524" s="34"/>
      <c r="H1524" s="34"/>
      <c r="I1524" s="34"/>
      <c r="J1524" s="34"/>
      <c r="K1524" s="34"/>
      <c r="L1524" s="34"/>
      <c r="M1524" s="34"/>
      <c r="N1524" s="34"/>
      <c r="O1524" s="34"/>
      <c r="AA1524" s="35"/>
      <c r="AB1524" s="35"/>
      <c r="AC1524" s="34"/>
      <c r="AD1524" s="34"/>
      <c r="AE1524" s="34"/>
    </row>
    <row r="1525" spans="1:31" ht="15" thickBot="1" x14ac:dyDescent="0.4">
      <c r="A1525" s="45"/>
      <c r="B1525" s="45"/>
      <c r="C1525" s="46"/>
      <c r="D1525" s="47"/>
      <c r="E1525" s="47"/>
      <c r="F1525" s="47"/>
      <c r="G1525" s="47"/>
      <c r="H1525" s="47"/>
      <c r="I1525" s="47"/>
      <c r="J1525" s="47"/>
      <c r="K1525" s="47"/>
      <c r="L1525" s="47"/>
      <c r="M1525" s="47"/>
      <c r="N1525" s="47"/>
      <c r="O1525" s="47"/>
      <c r="P1525" s="47"/>
      <c r="Q1525" s="47"/>
      <c r="R1525" s="47"/>
      <c r="S1525" s="47"/>
      <c r="T1525" s="45"/>
      <c r="U1525" s="45"/>
      <c r="V1525" s="45"/>
      <c r="W1525" s="45"/>
      <c r="X1525" s="47"/>
      <c r="Y1525" s="45"/>
      <c r="Z1525" s="45"/>
      <c r="AA1525" s="48"/>
      <c r="AB1525" s="48"/>
      <c r="AC1525" s="47"/>
      <c r="AD1525" s="47"/>
      <c r="AE1525" s="47"/>
    </row>
    <row r="1526" spans="1:31" x14ac:dyDescent="0.35">
      <c r="A1526" s="41"/>
      <c r="B1526" s="41"/>
      <c r="C1526" s="42"/>
      <c r="D1526" s="43"/>
      <c r="E1526" s="43"/>
      <c r="F1526" s="43"/>
      <c r="G1526" s="43"/>
      <c r="H1526" s="43"/>
      <c r="I1526" s="43"/>
      <c r="J1526" s="43"/>
      <c r="K1526" s="43"/>
      <c r="L1526" s="43"/>
      <c r="M1526" s="43"/>
      <c r="N1526" s="43"/>
      <c r="O1526" s="43"/>
      <c r="P1526" s="43"/>
      <c r="Q1526" s="43"/>
      <c r="R1526" s="43"/>
      <c r="S1526" s="43"/>
      <c r="T1526" s="43"/>
      <c r="U1526" s="43"/>
      <c r="V1526" s="41"/>
      <c r="W1526" s="41"/>
      <c r="X1526" s="41"/>
      <c r="Y1526" s="41"/>
      <c r="Z1526" s="41"/>
      <c r="AA1526" s="44"/>
      <c r="AB1526" s="44"/>
      <c r="AC1526" s="43"/>
      <c r="AD1526" s="43"/>
      <c r="AE1526" s="43"/>
    </row>
    <row r="1527" spans="1:31" x14ac:dyDescent="0.35">
      <c r="C1527" s="33"/>
      <c r="D1527" s="34"/>
      <c r="E1527" s="34"/>
      <c r="F1527" s="34"/>
      <c r="G1527" s="34"/>
      <c r="H1527" s="34"/>
      <c r="I1527" s="34"/>
      <c r="J1527" s="34"/>
      <c r="K1527" s="34"/>
      <c r="L1527" s="34"/>
      <c r="M1527" s="34"/>
      <c r="N1527" s="34"/>
      <c r="O1527" s="34"/>
      <c r="AA1527" s="35"/>
      <c r="AB1527" s="35"/>
      <c r="AC1527" s="34"/>
      <c r="AD1527" s="34"/>
      <c r="AE1527" s="34"/>
    </row>
    <row r="1528" spans="1:31" ht="15" thickBot="1" x14ac:dyDescent="0.4">
      <c r="A1528" s="45"/>
      <c r="B1528" s="45"/>
      <c r="C1528" s="46"/>
      <c r="D1528" s="47"/>
      <c r="E1528" s="47"/>
      <c r="F1528" s="47"/>
      <c r="G1528" s="47"/>
      <c r="H1528" s="47"/>
      <c r="I1528" s="47"/>
      <c r="J1528" s="47"/>
      <c r="K1528" s="47"/>
      <c r="L1528" s="47"/>
      <c r="M1528" s="47"/>
      <c r="N1528" s="47"/>
      <c r="O1528" s="47"/>
      <c r="P1528" s="47"/>
      <c r="Q1528" s="47"/>
      <c r="R1528" s="47"/>
      <c r="S1528" s="47"/>
      <c r="T1528" s="45"/>
      <c r="U1528" s="45"/>
      <c r="V1528" s="45"/>
      <c r="W1528" s="45"/>
      <c r="X1528" s="47"/>
      <c r="Y1528" s="45"/>
      <c r="Z1528" s="45"/>
      <c r="AA1528" s="48"/>
      <c r="AB1528" s="48"/>
      <c r="AC1528" s="47"/>
      <c r="AD1528" s="47"/>
      <c r="AE1528" s="47"/>
    </row>
    <row r="1529" spans="1:31" x14ac:dyDescent="0.35">
      <c r="A1529" s="41"/>
      <c r="B1529" s="41"/>
      <c r="C1529" s="42"/>
      <c r="D1529" s="43"/>
      <c r="E1529" s="43"/>
      <c r="F1529" s="43"/>
      <c r="G1529" s="43"/>
      <c r="H1529" s="43"/>
      <c r="I1529" s="43"/>
      <c r="J1529" s="43"/>
      <c r="K1529" s="43"/>
      <c r="L1529" s="43"/>
      <c r="M1529" s="43"/>
      <c r="N1529" s="43"/>
      <c r="O1529" s="43"/>
      <c r="P1529" s="43"/>
      <c r="Q1529" s="43"/>
      <c r="R1529" s="43"/>
      <c r="S1529" s="43"/>
      <c r="T1529" s="43"/>
      <c r="U1529" s="43"/>
      <c r="V1529" s="41"/>
      <c r="W1529" s="41"/>
      <c r="X1529" s="41"/>
      <c r="Y1529" s="41"/>
      <c r="Z1529" s="41"/>
      <c r="AA1529" s="44"/>
      <c r="AB1529" s="44"/>
      <c r="AC1529" s="43"/>
      <c r="AD1529" s="43"/>
      <c r="AE1529" s="43"/>
    </row>
    <row r="1530" spans="1:31" x14ac:dyDescent="0.35">
      <c r="C1530" s="33"/>
      <c r="D1530" s="34"/>
      <c r="E1530" s="34"/>
      <c r="F1530" s="34"/>
      <c r="G1530" s="34"/>
      <c r="H1530" s="34"/>
      <c r="I1530" s="34"/>
      <c r="J1530" s="34"/>
      <c r="K1530" s="34"/>
      <c r="L1530" s="34"/>
      <c r="M1530" s="34"/>
      <c r="N1530" s="34"/>
      <c r="O1530" s="34"/>
      <c r="AA1530" s="35"/>
      <c r="AB1530" s="35"/>
      <c r="AC1530" s="34"/>
      <c r="AD1530" s="34"/>
      <c r="AE1530" s="34"/>
    </row>
    <row r="1531" spans="1:31" ht="15" thickBot="1" x14ac:dyDescent="0.4">
      <c r="A1531" s="45"/>
      <c r="B1531" s="45"/>
      <c r="C1531" s="46"/>
      <c r="D1531" s="47"/>
      <c r="E1531" s="47"/>
      <c r="F1531" s="47"/>
      <c r="G1531" s="47"/>
      <c r="H1531" s="47"/>
      <c r="I1531" s="47"/>
      <c r="J1531" s="47"/>
      <c r="K1531" s="47"/>
      <c r="L1531" s="47"/>
      <c r="M1531" s="47"/>
      <c r="N1531" s="47"/>
      <c r="O1531" s="47"/>
      <c r="P1531" s="47"/>
      <c r="Q1531" s="47"/>
      <c r="R1531" s="47"/>
      <c r="S1531" s="47"/>
      <c r="T1531" s="45"/>
      <c r="U1531" s="45"/>
      <c r="V1531" s="45"/>
      <c r="W1531" s="45"/>
      <c r="X1531" s="47"/>
      <c r="Y1531" s="45"/>
      <c r="Z1531" s="45"/>
      <c r="AA1531" s="48"/>
      <c r="AB1531" s="48"/>
      <c r="AC1531" s="47"/>
      <c r="AD1531" s="47"/>
      <c r="AE1531" s="47"/>
    </row>
    <row r="1532" spans="1:31" x14ac:dyDescent="0.35">
      <c r="A1532" s="41"/>
      <c r="B1532" s="41"/>
      <c r="C1532" s="42"/>
      <c r="D1532" s="43"/>
      <c r="E1532" s="43"/>
      <c r="F1532" s="43"/>
      <c r="G1532" s="43"/>
      <c r="H1532" s="43"/>
      <c r="I1532" s="43"/>
      <c r="J1532" s="43"/>
      <c r="K1532" s="43"/>
      <c r="L1532" s="43"/>
      <c r="M1532" s="43"/>
      <c r="N1532" s="43"/>
      <c r="O1532" s="43"/>
      <c r="P1532" s="43"/>
      <c r="Q1532" s="43"/>
      <c r="R1532" s="43"/>
      <c r="S1532" s="43"/>
      <c r="T1532" s="43"/>
      <c r="U1532" s="43"/>
      <c r="V1532" s="41"/>
      <c r="W1532" s="41"/>
      <c r="X1532" s="41"/>
      <c r="Y1532" s="41"/>
      <c r="Z1532" s="41"/>
      <c r="AA1532" s="44"/>
      <c r="AB1532" s="44"/>
      <c r="AC1532" s="43"/>
      <c r="AD1532" s="43"/>
      <c r="AE1532" s="43"/>
    </row>
    <row r="1533" spans="1:31" x14ac:dyDescent="0.35">
      <c r="C1533" s="33"/>
      <c r="D1533" s="34"/>
      <c r="E1533" s="34"/>
      <c r="F1533" s="34"/>
      <c r="G1533" s="34"/>
      <c r="H1533" s="34"/>
      <c r="I1533" s="34"/>
      <c r="J1533" s="34"/>
      <c r="K1533" s="34"/>
      <c r="L1533" s="34"/>
      <c r="M1533" s="34"/>
      <c r="N1533" s="34"/>
      <c r="O1533" s="34"/>
      <c r="AA1533" s="35"/>
      <c r="AB1533" s="35"/>
      <c r="AC1533" s="34"/>
      <c r="AD1533" s="34"/>
      <c r="AE1533" s="34"/>
    </row>
    <row r="1534" spans="1:31" ht="15" thickBot="1" x14ac:dyDescent="0.4">
      <c r="A1534" s="45"/>
      <c r="B1534" s="45"/>
      <c r="C1534" s="46"/>
      <c r="D1534" s="47"/>
      <c r="E1534" s="47"/>
      <c r="F1534" s="47"/>
      <c r="G1534" s="47"/>
      <c r="H1534" s="47"/>
      <c r="I1534" s="47"/>
      <c r="J1534" s="47"/>
      <c r="K1534" s="47"/>
      <c r="L1534" s="47"/>
      <c r="M1534" s="47"/>
      <c r="N1534" s="47"/>
      <c r="O1534" s="47"/>
      <c r="P1534" s="47"/>
      <c r="Q1534" s="47"/>
      <c r="R1534" s="47"/>
      <c r="S1534" s="47"/>
      <c r="T1534" s="45"/>
      <c r="U1534" s="45"/>
      <c r="V1534" s="45"/>
      <c r="W1534" s="45"/>
      <c r="X1534" s="47"/>
      <c r="Y1534" s="45"/>
      <c r="Z1534" s="45"/>
      <c r="AA1534" s="48"/>
      <c r="AB1534" s="48"/>
      <c r="AC1534" s="47"/>
      <c r="AD1534" s="47"/>
      <c r="AE1534" s="47"/>
    </row>
    <row r="1535" spans="1:31" x14ac:dyDescent="0.35">
      <c r="A1535" s="41"/>
      <c r="B1535" s="41"/>
      <c r="C1535" s="42"/>
      <c r="D1535" s="43"/>
      <c r="E1535" s="43"/>
      <c r="F1535" s="43"/>
      <c r="G1535" s="43"/>
      <c r="H1535" s="43"/>
      <c r="I1535" s="43"/>
      <c r="J1535" s="43"/>
      <c r="K1535" s="43"/>
      <c r="L1535" s="43"/>
      <c r="M1535" s="43"/>
      <c r="N1535" s="43"/>
      <c r="O1535" s="43"/>
      <c r="P1535" s="43"/>
      <c r="Q1535" s="43"/>
      <c r="R1535" s="43"/>
      <c r="S1535" s="43"/>
      <c r="T1535" s="43"/>
      <c r="U1535" s="43"/>
      <c r="V1535" s="41"/>
      <c r="W1535" s="41"/>
      <c r="X1535" s="41"/>
      <c r="Y1535" s="41"/>
      <c r="Z1535" s="41"/>
      <c r="AA1535" s="44"/>
      <c r="AB1535" s="44"/>
      <c r="AC1535" s="43"/>
      <c r="AD1535" s="43"/>
      <c r="AE1535" s="43"/>
    </row>
    <row r="1536" spans="1:31" x14ac:dyDescent="0.35">
      <c r="C1536" s="33"/>
      <c r="D1536" s="34"/>
      <c r="E1536" s="34"/>
      <c r="F1536" s="34"/>
      <c r="G1536" s="34"/>
      <c r="H1536" s="34"/>
      <c r="I1536" s="34"/>
      <c r="J1536" s="34"/>
      <c r="K1536" s="34"/>
      <c r="L1536" s="34"/>
      <c r="M1536" s="34"/>
      <c r="N1536" s="34"/>
      <c r="O1536" s="34"/>
      <c r="AA1536" s="35"/>
      <c r="AB1536" s="35"/>
      <c r="AC1536" s="34"/>
      <c r="AD1536" s="34"/>
      <c r="AE1536" s="34"/>
    </row>
    <row r="1537" spans="1:31" ht="15" thickBot="1" x14ac:dyDescent="0.4">
      <c r="A1537" s="45"/>
      <c r="B1537" s="45"/>
      <c r="C1537" s="46"/>
      <c r="D1537" s="47"/>
      <c r="E1537" s="47"/>
      <c r="F1537" s="47"/>
      <c r="G1537" s="47"/>
      <c r="H1537" s="47"/>
      <c r="I1537" s="47"/>
      <c r="J1537" s="47"/>
      <c r="K1537" s="47"/>
      <c r="L1537" s="47"/>
      <c r="M1537" s="47"/>
      <c r="N1537" s="47"/>
      <c r="O1537" s="47"/>
      <c r="P1537" s="47"/>
      <c r="Q1537" s="47"/>
      <c r="R1537" s="47"/>
      <c r="S1537" s="47"/>
      <c r="T1537" s="45"/>
      <c r="U1537" s="45"/>
      <c r="V1537" s="45"/>
      <c r="W1537" s="45"/>
      <c r="X1537" s="47"/>
      <c r="Y1537" s="45"/>
      <c r="Z1537" s="45"/>
      <c r="AA1537" s="48"/>
      <c r="AB1537" s="48"/>
      <c r="AC1537" s="47"/>
      <c r="AD1537" s="47"/>
      <c r="AE1537" s="47"/>
    </row>
    <row r="1538" spans="1:31" x14ac:dyDescent="0.35">
      <c r="A1538" s="41"/>
      <c r="B1538" s="41"/>
      <c r="C1538" s="42"/>
      <c r="D1538" s="43"/>
      <c r="E1538" s="43"/>
      <c r="F1538" s="43"/>
      <c r="G1538" s="43"/>
      <c r="H1538" s="43"/>
      <c r="I1538" s="43"/>
      <c r="J1538" s="43"/>
      <c r="K1538" s="43"/>
      <c r="L1538" s="43"/>
      <c r="M1538" s="43"/>
      <c r="N1538" s="43"/>
      <c r="O1538" s="43"/>
      <c r="P1538" s="43"/>
      <c r="Q1538" s="43"/>
      <c r="R1538" s="43"/>
      <c r="S1538" s="43"/>
      <c r="T1538" s="43"/>
      <c r="U1538" s="43"/>
      <c r="V1538" s="41"/>
      <c r="W1538" s="41"/>
      <c r="X1538" s="41"/>
      <c r="Y1538" s="41"/>
      <c r="Z1538" s="41"/>
      <c r="AA1538" s="44"/>
      <c r="AB1538" s="44"/>
      <c r="AC1538" s="43"/>
      <c r="AD1538" s="43"/>
      <c r="AE1538" s="43"/>
    </row>
    <row r="1539" spans="1:31" x14ac:dyDescent="0.35">
      <c r="C1539" s="33"/>
      <c r="D1539" s="34"/>
      <c r="E1539" s="34"/>
      <c r="F1539" s="34"/>
      <c r="G1539" s="34"/>
      <c r="H1539" s="34"/>
      <c r="I1539" s="34"/>
      <c r="J1539" s="34"/>
      <c r="K1539" s="34"/>
      <c r="L1539" s="34"/>
      <c r="M1539" s="34"/>
      <c r="N1539" s="34"/>
      <c r="O1539" s="34"/>
      <c r="AA1539" s="35"/>
      <c r="AB1539" s="35"/>
      <c r="AC1539" s="34"/>
      <c r="AD1539" s="34"/>
      <c r="AE1539" s="34"/>
    </row>
    <row r="1540" spans="1:31" ht="15" thickBot="1" x14ac:dyDescent="0.4">
      <c r="A1540" s="45"/>
      <c r="B1540" s="45"/>
      <c r="C1540" s="46"/>
      <c r="D1540" s="47"/>
      <c r="E1540" s="47"/>
      <c r="F1540" s="47"/>
      <c r="G1540" s="47"/>
      <c r="H1540" s="47"/>
      <c r="I1540" s="47"/>
      <c r="J1540" s="47"/>
      <c r="K1540" s="47"/>
      <c r="L1540" s="47"/>
      <c r="M1540" s="47"/>
      <c r="N1540" s="47"/>
      <c r="O1540" s="47"/>
      <c r="P1540" s="47"/>
      <c r="Q1540" s="47"/>
      <c r="R1540" s="47"/>
      <c r="S1540" s="47"/>
      <c r="T1540" s="45"/>
      <c r="U1540" s="45"/>
      <c r="V1540" s="45"/>
      <c r="W1540" s="45"/>
      <c r="X1540" s="47"/>
      <c r="Y1540" s="45"/>
      <c r="Z1540" s="45"/>
      <c r="AA1540" s="48"/>
      <c r="AB1540" s="48"/>
      <c r="AC1540" s="47"/>
      <c r="AD1540" s="47"/>
      <c r="AE1540" s="47"/>
    </row>
    <row r="1541" spans="1:31" x14ac:dyDescent="0.35">
      <c r="A1541" s="41"/>
      <c r="B1541" s="41"/>
      <c r="C1541" s="42"/>
      <c r="D1541" s="43"/>
      <c r="E1541" s="43"/>
      <c r="F1541" s="43"/>
      <c r="G1541" s="43"/>
      <c r="H1541" s="43"/>
      <c r="I1541" s="43"/>
      <c r="J1541" s="43"/>
      <c r="K1541" s="43"/>
      <c r="L1541" s="43"/>
      <c r="M1541" s="43"/>
      <c r="N1541" s="43"/>
      <c r="O1541" s="43"/>
      <c r="P1541" s="43"/>
      <c r="Q1541" s="43"/>
      <c r="R1541" s="43"/>
      <c r="S1541" s="43"/>
      <c r="T1541" s="43"/>
      <c r="U1541" s="43"/>
      <c r="V1541" s="41"/>
      <c r="W1541" s="41"/>
      <c r="X1541" s="41"/>
      <c r="Y1541" s="41"/>
      <c r="Z1541" s="41"/>
      <c r="AA1541" s="44"/>
      <c r="AB1541" s="44"/>
      <c r="AC1541" s="43"/>
      <c r="AD1541" s="43"/>
      <c r="AE1541" s="43"/>
    </row>
    <row r="1542" spans="1:31" x14ac:dyDescent="0.35">
      <c r="C1542" s="33"/>
      <c r="D1542" s="34"/>
      <c r="E1542" s="34"/>
      <c r="F1542" s="34"/>
      <c r="G1542" s="34"/>
      <c r="H1542" s="34"/>
      <c r="I1542" s="34"/>
      <c r="J1542" s="34"/>
      <c r="K1542" s="34"/>
      <c r="L1542" s="34"/>
      <c r="M1542" s="34"/>
      <c r="N1542" s="34"/>
      <c r="O1542" s="34"/>
      <c r="AA1542" s="35"/>
      <c r="AB1542" s="35"/>
      <c r="AC1542" s="34"/>
      <c r="AD1542" s="34"/>
      <c r="AE1542" s="34"/>
    </row>
    <row r="1543" spans="1:31" ht="15" thickBot="1" x14ac:dyDescent="0.4">
      <c r="A1543" s="45"/>
      <c r="B1543" s="45"/>
      <c r="C1543" s="46"/>
      <c r="D1543" s="47"/>
      <c r="E1543" s="47"/>
      <c r="F1543" s="47"/>
      <c r="G1543" s="47"/>
      <c r="H1543" s="47"/>
      <c r="I1543" s="47"/>
      <c r="J1543" s="47"/>
      <c r="K1543" s="47"/>
      <c r="L1543" s="47"/>
      <c r="M1543" s="47"/>
      <c r="N1543" s="47"/>
      <c r="O1543" s="47"/>
      <c r="P1543" s="47"/>
      <c r="Q1543" s="47"/>
      <c r="R1543" s="47"/>
      <c r="S1543" s="47"/>
      <c r="T1543" s="45"/>
      <c r="U1543" s="45"/>
      <c r="V1543" s="45"/>
      <c r="W1543" s="45"/>
      <c r="X1543" s="47"/>
      <c r="Y1543" s="45"/>
      <c r="Z1543" s="45"/>
      <c r="AA1543" s="48"/>
      <c r="AB1543" s="48"/>
      <c r="AC1543" s="47"/>
      <c r="AD1543" s="47"/>
      <c r="AE1543" s="47"/>
    </row>
    <row r="1544" spans="1:31" x14ac:dyDescent="0.35">
      <c r="A1544" s="41"/>
      <c r="B1544" s="41"/>
      <c r="C1544" s="42"/>
      <c r="D1544" s="43"/>
      <c r="E1544" s="43"/>
      <c r="F1544" s="43"/>
      <c r="G1544" s="43"/>
      <c r="H1544" s="43"/>
      <c r="I1544" s="43"/>
      <c r="J1544" s="43"/>
      <c r="K1544" s="43"/>
      <c r="L1544" s="43"/>
      <c r="M1544" s="43"/>
      <c r="N1544" s="43"/>
      <c r="O1544" s="43"/>
      <c r="P1544" s="43"/>
      <c r="Q1544" s="43"/>
      <c r="R1544" s="43"/>
      <c r="S1544" s="43"/>
      <c r="T1544" s="43"/>
      <c r="U1544" s="43"/>
      <c r="V1544" s="41"/>
      <c r="W1544" s="41"/>
      <c r="X1544" s="41"/>
      <c r="Y1544" s="41"/>
      <c r="Z1544" s="41"/>
      <c r="AA1544" s="44"/>
      <c r="AB1544" s="44"/>
      <c r="AC1544" s="43"/>
      <c r="AD1544" s="43"/>
      <c r="AE1544" s="43"/>
    </row>
    <row r="1545" spans="1:31" x14ac:dyDescent="0.35">
      <c r="C1545" s="33"/>
      <c r="D1545" s="34"/>
      <c r="E1545" s="34"/>
      <c r="F1545" s="34"/>
      <c r="G1545" s="34"/>
      <c r="H1545" s="34"/>
      <c r="I1545" s="34"/>
      <c r="J1545" s="34"/>
      <c r="K1545" s="34"/>
      <c r="L1545" s="34"/>
      <c r="M1545" s="34"/>
      <c r="N1545" s="34"/>
      <c r="O1545" s="34"/>
      <c r="AA1545" s="35"/>
      <c r="AB1545" s="35"/>
      <c r="AC1545" s="34"/>
      <c r="AD1545" s="34"/>
      <c r="AE1545" s="34"/>
    </row>
    <row r="1546" spans="1:31" ht="15" thickBot="1" x14ac:dyDescent="0.4">
      <c r="A1546" s="45"/>
      <c r="B1546" s="45"/>
      <c r="C1546" s="46"/>
      <c r="D1546" s="47"/>
      <c r="E1546" s="47"/>
      <c r="F1546" s="47"/>
      <c r="G1546" s="47"/>
      <c r="H1546" s="47"/>
      <c r="I1546" s="47"/>
      <c r="J1546" s="47"/>
      <c r="K1546" s="47"/>
      <c r="L1546" s="47"/>
      <c r="M1546" s="47"/>
      <c r="N1546" s="47"/>
      <c r="O1546" s="47"/>
      <c r="P1546" s="47"/>
      <c r="Q1546" s="47"/>
      <c r="R1546" s="47"/>
      <c r="S1546" s="47"/>
      <c r="T1546" s="45"/>
      <c r="U1546" s="45"/>
      <c r="V1546" s="45"/>
      <c r="W1546" s="45"/>
      <c r="X1546" s="47"/>
      <c r="Y1546" s="45"/>
      <c r="Z1546" s="45"/>
      <c r="AA1546" s="48"/>
      <c r="AB1546" s="48"/>
      <c r="AC1546" s="47"/>
      <c r="AD1546" s="47"/>
      <c r="AE1546" s="47"/>
    </row>
    <row r="1547" spans="1:31" x14ac:dyDescent="0.35">
      <c r="A1547" s="41"/>
      <c r="B1547" s="41"/>
      <c r="C1547" s="42"/>
      <c r="D1547" s="43"/>
      <c r="E1547" s="43"/>
      <c r="F1547" s="43"/>
      <c r="G1547" s="43"/>
      <c r="H1547" s="43"/>
      <c r="I1547" s="43"/>
      <c r="J1547" s="43"/>
      <c r="K1547" s="43"/>
      <c r="L1547" s="43"/>
      <c r="M1547" s="43"/>
      <c r="N1547" s="43"/>
      <c r="O1547" s="43"/>
      <c r="P1547" s="43"/>
      <c r="Q1547" s="43"/>
      <c r="R1547" s="43"/>
      <c r="S1547" s="43"/>
      <c r="T1547" s="43"/>
      <c r="U1547" s="43"/>
      <c r="V1547" s="41"/>
      <c r="W1547" s="41"/>
      <c r="X1547" s="41"/>
      <c r="Y1547" s="41"/>
      <c r="Z1547" s="41"/>
      <c r="AA1547" s="44"/>
      <c r="AB1547" s="44"/>
      <c r="AC1547" s="43"/>
      <c r="AD1547" s="43"/>
      <c r="AE1547" s="43"/>
    </row>
    <row r="1548" spans="1:31" x14ac:dyDescent="0.35">
      <c r="C1548" s="33"/>
      <c r="D1548" s="34"/>
      <c r="E1548" s="34"/>
      <c r="F1548" s="34"/>
      <c r="G1548" s="34"/>
      <c r="H1548" s="34"/>
      <c r="I1548" s="34"/>
      <c r="J1548" s="34"/>
      <c r="K1548" s="34"/>
      <c r="L1548" s="34"/>
      <c r="M1548" s="34"/>
      <c r="N1548" s="34"/>
      <c r="O1548" s="34"/>
      <c r="AA1548" s="35"/>
      <c r="AB1548" s="35"/>
      <c r="AC1548" s="34"/>
      <c r="AD1548" s="34"/>
      <c r="AE1548" s="34"/>
    </row>
    <row r="1549" spans="1:31" ht="15" thickBot="1" x14ac:dyDescent="0.4">
      <c r="A1549" s="45"/>
      <c r="B1549" s="45"/>
      <c r="C1549" s="46"/>
      <c r="D1549" s="47"/>
      <c r="E1549" s="47"/>
      <c r="F1549" s="47"/>
      <c r="G1549" s="47"/>
      <c r="H1549" s="47"/>
      <c r="I1549" s="47"/>
      <c r="J1549" s="47"/>
      <c r="K1549" s="47"/>
      <c r="L1549" s="47"/>
      <c r="M1549" s="47"/>
      <c r="N1549" s="47"/>
      <c r="O1549" s="47"/>
      <c r="P1549" s="47"/>
      <c r="Q1549" s="47"/>
      <c r="R1549" s="47"/>
      <c r="S1549" s="47"/>
      <c r="T1549" s="45"/>
      <c r="U1549" s="45"/>
      <c r="V1549" s="45"/>
      <c r="W1549" s="45"/>
      <c r="X1549" s="47"/>
      <c r="Y1549" s="45"/>
      <c r="Z1549" s="45"/>
      <c r="AA1549" s="48"/>
      <c r="AB1549" s="48"/>
      <c r="AC1549" s="47"/>
      <c r="AD1549" s="47"/>
      <c r="AE1549" s="47"/>
    </row>
    <row r="1550" spans="1:31" x14ac:dyDescent="0.35">
      <c r="A1550" s="41"/>
      <c r="B1550" s="41"/>
      <c r="C1550" s="42"/>
      <c r="D1550" s="43"/>
      <c r="E1550" s="43"/>
      <c r="F1550" s="43"/>
      <c r="G1550" s="43"/>
      <c r="H1550" s="43"/>
      <c r="I1550" s="43"/>
      <c r="J1550" s="43"/>
      <c r="K1550" s="43"/>
      <c r="L1550" s="43"/>
      <c r="M1550" s="43"/>
      <c r="N1550" s="43"/>
      <c r="O1550" s="43"/>
      <c r="P1550" s="43"/>
      <c r="Q1550" s="43"/>
      <c r="R1550" s="43"/>
      <c r="S1550" s="43"/>
      <c r="T1550" s="43"/>
      <c r="U1550" s="43"/>
      <c r="V1550" s="41"/>
      <c r="W1550" s="41"/>
      <c r="X1550" s="41"/>
      <c r="Y1550" s="41"/>
      <c r="Z1550" s="41"/>
      <c r="AA1550" s="44"/>
      <c r="AB1550" s="44"/>
      <c r="AC1550" s="43"/>
      <c r="AD1550" s="43"/>
      <c r="AE1550" s="43"/>
    </row>
    <row r="1551" spans="1:31" x14ac:dyDescent="0.35">
      <c r="C1551" s="33"/>
      <c r="D1551" s="34"/>
      <c r="E1551" s="34"/>
      <c r="F1551" s="34"/>
      <c r="G1551" s="34"/>
      <c r="H1551" s="34"/>
      <c r="I1551" s="34"/>
      <c r="J1551" s="34"/>
      <c r="K1551" s="34"/>
      <c r="L1551" s="34"/>
      <c r="M1551" s="34"/>
      <c r="N1551" s="34"/>
      <c r="O1551" s="34"/>
      <c r="AA1551" s="35"/>
      <c r="AB1551" s="35"/>
      <c r="AC1551" s="34"/>
      <c r="AD1551" s="34"/>
      <c r="AE1551" s="34"/>
    </row>
    <row r="1552" spans="1:31" ht="15" thickBot="1" x14ac:dyDescent="0.4">
      <c r="A1552" s="45"/>
      <c r="B1552" s="45"/>
      <c r="C1552" s="46"/>
      <c r="D1552" s="47"/>
      <c r="E1552" s="47"/>
      <c r="F1552" s="47"/>
      <c r="G1552" s="47"/>
      <c r="H1552" s="47"/>
      <c r="I1552" s="47"/>
      <c r="J1552" s="47"/>
      <c r="K1552" s="47"/>
      <c r="L1552" s="47"/>
      <c r="M1552" s="47"/>
      <c r="N1552" s="47"/>
      <c r="O1552" s="47"/>
      <c r="P1552" s="47"/>
      <c r="Q1552" s="47"/>
      <c r="R1552" s="47"/>
      <c r="S1552" s="47"/>
      <c r="T1552" s="45"/>
      <c r="U1552" s="45"/>
      <c r="V1552" s="45"/>
      <c r="W1552" s="45"/>
      <c r="X1552" s="47"/>
      <c r="Y1552" s="45"/>
      <c r="Z1552" s="45"/>
      <c r="AA1552" s="48"/>
      <c r="AB1552" s="48"/>
      <c r="AC1552" s="47"/>
      <c r="AD1552" s="47"/>
      <c r="AE1552" s="47"/>
    </row>
    <row r="1553" spans="1:31" x14ac:dyDescent="0.35">
      <c r="A1553" s="41"/>
      <c r="B1553" s="41"/>
      <c r="C1553" s="42"/>
      <c r="D1553" s="43"/>
      <c r="E1553" s="43"/>
      <c r="F1553" s="43"/>
      <c r="G1553" s="43"/>
      <c r="H1553" s="43"/>
      <c r="I1553" s="43"/>
      <c r="J1553" s="43"/>
      <c r="K1553" s="43"/>
      <c r="L1553" s="43"/>
      <c r="M1553" s="43"/>
      <c r="N1553" s="43"/>
      <c r="O1553" s="43"/>
      <c r="P1553" s="43"/>
      <c r="Q1553" s="43"/>
      <c r="R1553" s="43"/>
      <c r="S1553" s="43"/>
      <c r="T1553" s="43"/>
      <c r="U1553" s="43"/>
      <c r="V1553" s="41"/>
      <c r="W1553" s="41"/>
      <c r="X1553" s="41"/>
      <c r="Y1553" s="41"/>
      <c r="Z1553" s="41"/>
      <c r="AA1553" s="44"/>
      <c r="AB1553" s="44"/>
      <c r="AC1553" s="43"/>
      <c r="AD1553" s="43"/>
      <c r="AE1553" s="43"/>
    </row>
    <row r="1554" spans="1:31" x14ac:dyDescent="0.35">
      <c r="C1554" s="33"/>
      <c r="D1554" s="34"/>
      <c r="E1554" s="34"/>
      <c r="F1554" s="34"/>
      <c r="G1554" s="34"/>
      <c r="H1554" s="34"/>
      <c r="I1554" s="34"/>
      <c r="J1554" s="34"/>
      <c r="K1554" s="34"/>
      <c r="L1554" s="34"/>
      <c r="M1554" s="34"/>
      <c r="N1554" s="34"/>
      <c r="O1554" s="34"/>
      <c r="AA1554" s="35"/>
      <c r="AB1554" s="35"/>
      <c r="AC1554" s="34"/>
      <c r="AD1554" s="34"/>
      <c r="AE1554" s="34"/>
    </row>
    <row r="1555" spans="1:31" ht="15" thickBot="1" x14ac:dyDescent="0.4">
      <c r="A1555" s="45"/>
      <c r="B1555" s="45"/>
      <c r="C1555" s="46"/>
      <c r="D1555" s="47"/>
      <c r="E1555" s="47"/>
      <c r="F1555" s="47"/>
      <c r="G1555" s="47"/>
      <c r="H1555" s="47"/>
      <c r="I1555" s="47"/>
      <c r="J1555" s="47"/>
      <c r="K1555" s="47"/>
      <c r="L1555" s="47"/>
      <c r="M1555" s="47"/>
      <c r="N1555" s="47"/>
      <c r="O1555" s="47"/>
      <c r="P1555" s="47"/>
      <c r="Q1555" s="47"/>
      <c r="R1555" s="47"/>
      <c r="S1555" s="47"/>
      <c r="T1555" s="45"/>
      <c r="U1555" s="45"/>
      <c r="V1555" s="45"/>
      <c r="W1555" s="45"/>
      <c r="X1555" s="47"/>
      <c r="Y1555" s="45"/>
      <c r="Z1555" s="45"/>
      <c r="AA1555" s="48"/>
      <c r="AB1555" s="48"/>
      <c r="AC1555" s="47"/>
      <c r="AD1555" s="47"/>
      <c r="AE1555" s="47"/>
    </row>
    <row r="1556" spans="1:31" x14ac:dyDescent="0.35">
      <c r="A1556" s="41"/>
      <c r="B1556" s="41"/>
      <c r="C1556" s="42"/>
      <c r="D1556" s="43"/>
      <c r="E1556" s="43"/>
      <c r="F1556" s="43"/>
      <c r="G1556" s="43"/>
      <c r="H1556" s="43"/>
      <c r="I1556" s="43"/>
      <c r="J1556" s="43"/>
      <c r="K1556" s="43"/>
      <c r="L1556" s="43"/>
      <c r="M1556" s="43"/>
      <c r="N1556" s="43"/>
      <c r="O1556" s="43"/>
      <c r="P1556" s="43"/>
      <c r="Q1556" s="43"/>
      <c r="R1556" s="43"/>
      <c r="S1556" s="43"/>
      <c r="T1556" s="43"/>
      <c r="U1556" s="43"/>
      <c r="V1556" s="41"/>
      <c r="W1556" s="41"/>
      <c r="X1556" s="41"/>
      <c r="Y1556" s="41"/>
      <c r="Z1556" s="41"/>
      <c r="AA1556" s="44"/>
      <c r="AB1556" s="44"/>
      <c r="AC1556" s="43"/>
      <c r="AD1556" s="43"/>
      <c r="AE1556" s="43"/>
    </row>
    <row r="1557" spans="1:31" x14ac:dyDescent="0.35">
      <c r="C1557" s="33"/>
      <c r="D1557" s="34"/>
      <c r="E1557" s="34"/>
      <c r="F1557" s="34"/>
      <c r="G1557" s="34"/>
      <c r="H1557" s="34"/>
      <c r="I1557" s="34"/>
      <c r="J1557" s="34"/>
      <c r="K1557" s="34"/>
      <c r="L1557" s="34"/>
      <c r="M1557" s="34"/>
      <c r="N1557" s="34"/>
      <c r="O1557" s="34"/>
      <c r="AA1557" s="35"/>
      <c r="AB1557" s="35"/>
      <c r="AC1557" s="34"/>
      <c r="AD1557" s="34"/>
      <c r="AE1557" s="34"/>
    </row>
    <row r="1558" spans="1:31" ht="15" thickBot="1" x14ac:dyDescent="0.4">
      <c r="A1558" s="45"/>
      <c r="B1558" s="45"/>
      <c r="C1558" s="46"/>
      <c r="D1558" s="47"/>
      <c r="E1558" s="47"/>
      <c r="F1558" s="47"/>
      <c r="G1558" s="47"/>
      <c r="H1558" s="47"/>
      <c r="I1558" s="47"/>
      <c r="J1558" s="47"/>
      <c r="K1558" s="47"/>
      <c r="L1558" s="47"/>
      <c r="M1558" s="47"/>
      <c r="N1558" s="47"/>
      <c r="O1558" s="47"/>
      <c r="P1558" s="47"/>
      <c r="Q1558" s="47"/>
      <c r="R1558" s="47"/>
      <c r="S1558" s="47"/>
      <c r="T1558" s="45"/>
      <c r="U1558" s="45"/>
      <c r="V1558" s="45"/>
      <c r="W1558" s="45"/>
      <c r="X1558" s="47"/>
      <c r="Y1558" s="45"/>
      <c r="Z1558" s="45"/>
      <c r="AA1558" s="48"/>
      <c r="AB1558" s="48"/>
      <c r="AC1558" s="47"/>
      <c r="AD1558" s="47"/>
      <c r="AE1558" s="47"/>
    </row>
    <row r="1559" spans="1:31" x14ac:dyDescent="0.35">
      <c r="A1559" s="41"/>
      <c r="B1559" s="41"/>
      <c r="C1559" s="42"/>
      <c r="D1559" s="43"/>
      <c r="E1559" s="43"/>
      <c r="F1559" s="43"/>
      <c r="G1559" s="43"/>
      <c r="H1559" s="43"/>
      <c r="I1559" s="43"/>
      <c r="J1559" s="43"/>
      <c r="K1559" s="43"/>
      <c r="L1559" s="43"/>
      <c r="M1559" s="43"/>
      <c r="N1559" s="43"/>
      <c r="O1559" s="43"/>
      <c r="P1559" s="43"/>
      <c r="Q1559" s="43"/>
      <c r="R1559" s="43"/>
      <c r="S1559" s="43"/>
      <c r="T1559" s="43"/>
      <c r="U1559" s="43"/>
      <c r="V1559" s="41"/>
      <c r="W1559" s="41"/>
      <c r="X1559" s="41"/>
      <c r="Y1559" s="41"/>
      <c r="Z1559" s="41"/>
      <c r="AA1559" s="44"/>
      <c r="AB1559" s="44"/>
      <c r="AC1559" s="43"/>
      <c r="AD1559" s="43"/>
      <c r="AE1559" s="43"/>
    </row>
    <row r="1560" spans="1:31" x14ac:dyDescent="0.35">
      <c r="C1560" s="33"/>
      <c r="D1560" s="34"/>
      <c r="E1560" s="34"/>
      <c r="F1560" s="34"/>
      <c r="G1560" s="34"/>
      <c r="H1560" s="34"/>
      <c r="I1560" s="34"/>
      <c r="J1560" s="34"/>
      <c r="K1560" s="34"/>
      <c r="L1560" s="34"/>
      <c r="M1560" s="34"/>
      <c r="N1560" s="34"/>
      <c r="O1560" s="34"/>
      <c r="AA1560" s="35"/>
      <c r="AB1560" s="35"/>
      <c r="AC1560" s="34"/>
      <c r="AD1560" s="34"/>
      <c r="AE1560" s="34"/>
    </row>
    <row r="1561" spans="1:31" ht="15" thickBot="1" x14ac:dyDescent="0.4">
      <c r="A1561" s="45"/>
      <c r="B1561" s="45"/>
      <c r="C1561" s="46"/>
      <c r="D1561" s="47"/>
      <c r="E1561" s="47"/>
      <c r="F1561" s="47"/>
      <c r="G1561" s="47"/>
      <c r="H1561" s="47"/>
      <c r="I1561" s="47"/>
      <c r="J1561" s="47"/>
      <c r="K1561" s="47"/>
      <c r="L1561" s="47"/>
      <c r="M1561" s="47"/>
      <c r="N1561" s="47"/>
      <c r="O1561" s="47"/>
      <c r="P1561" s="47"/>
      <c r="Q1561" s="47"/>
      <c r="R1561" s="47"/>
      <c r="S1561" s="47"/>
      <c r="T1561" s="45"/>
      <c r="U1561" s="45"/>
      <c r="V1561" s="45"/>
      <c r="W1561" s="45"/>
      <c r="X1561" s="47"/>
      <c r="Y1561" s="45"/>
      <c r="Z1561" s="45"/>
      <c r="AA1561" s="48"/>
      <c r="AB1561" s="48"/>
      <c r="AC1561" s="47"/>
      <c r="AD1561" s="47"/>
      <c r="AE1561" s="47"/>
    </row>
    <row r="1562" spans="1:31" x14ac:dyDescent="0.35">
      <c r="A1562" s="41"/>
      <c r="B1562" s="41"/>
      <c r="C1562" s="42"/>
      <c r="D1562" s="43"/>
      <c r="E1562" s="43"/>
      <c r="F1562" s="43"/>
      <c r="G1562" s="43"/>
      <c r="H1562" s="43"/>
      <c r="I1562" s="43"/>
      <c r="J1562" s="43"/>
      <c r="K1562" s="43"/>
      <c r="L1562" s="43"/>
      <c r="M1562" s="43"/>
      <c r="N1562" s="43"/>
      <c r="O1562" s="43"/>
      <c r="P1562" s="43"/>
      <c r="Q1562" s="43"/>
      <c r="R1562" s="43"/>
      <c r="S1562" s="43"/>
      <c r="T1562" s="43"/>
      <c r="U1562" s="43"/>
      <c r="V1562" s="41"/>
      <c r="W1562" s="41"/>
      <c r="X1562" s="41"/>
      <c r="Y1562" s="41"/>
      <c r="Z1562" s="41"/>
      <c r="AA1562" s="44"/>
      <c r="AB1562" s="44"/>
      <c r="AC1562" s="43"/>
      <c r="AD1562" s="43"/>
      <c r="AE1562" s="43"/>
    </row>
    <row r="1563" spans="1:31" x14ac:dyDescent="0.35">
      <c r="C1563" s="33"/>
      <c r="D1563" s="34"/>
      <c r="E1563" s="34"/>
      <c r="F1563" s="34"/>
      <c r="G1563" s="34"/>
      <c r="H1563" s="34"/>
      <c r="I1563" s="34"/>
      <c r="J1563" s="34"/>
      <c r="K1563" s="34"/>
      <c r="L1563" s="34"/>
      <c r="M1563" s="34"/>
      <c r="N1563" s="34"/>
      <c r="O1563" s="34"/>
      <c r="AA1563" s="35"/>
      <c r="AB1563" s="35"/>
      <c r="AC1563" s="34"/>
      <c r="AD1563" s="34"/>
      <c r="AE1563" s="34"/>
    </row>
    <row r="1564" spans="1:31" ht="15" thickBot="1" x14ac:dyDescent="0.4">
      <c r="A1564" s="45"/>
      <c r="B1564" s="45"/>
      <c r="C1564" s="46"/>
      <c r="D1564" s="47"/>
      <c r="E1564" s="47"/>
      <c r="F1564" s="47"/>
      <c r="G1564" s="47"/>
      <c r="H1564" s="47"/>
      <c r="I1564" s="47"/>
      <c r="J1564" s="47"/>
      <c r="K1564" s="47"/>
      <c r="L1564" s="47"/>
      <c r="M1564" s="47"/>
      <c r="N1564" s="47"/>
      <c r="O1564" s="47"/>
      <c r="P1564" s="47"/>
      <c r="Q1564" s="47"/>
      <c r="R1564" s="47"/>
      <c r="S1564" s="47"/>
      <c r="T1564" s="45"/>
      <c r="U1564" s="45"/>
      <c r="V1564" s="45"/>
      <c r="W1564" s="45"/>
      <c r="X1564" s="47"/>
      <c r="Y1564" s="45"/>
      <c r="Z1564" s="45"/>
      <c r="AA1564" s="48"/>
      <c r="AB1564" s="48"/>
      <c r="AC1564" s="47"/>
      <c r="AD1564" s="47"/>
      <c r="AE1564" s="47"/>
    </row>
    <row r="1565" spans="1:31" x14ac:dyDescent="0.35">
      <c r="A1565" s="41"/>
      <c r="B1565" s="41"/>
      <c r="C1565" s="42"/>
      <c r="D1565" s="43"/>
      <c r="E1565" s="43"/>
      <c r="F1565" s="43"/>
      <c r="G1565" s="43"/>
      <c r="H1565" s="43"/>
      <c r="I1565" s="43"/>
      <c r="J1565" s="43"/>
      <c r="K1565" s="43"/>
      <c r="L1565" s="43"/>
      <c r="M1565" s="43"/>
      <c r="N1565" s="43"/>
      <c r="O1565" s="43"/>
      <c r="P1565" s="43"/>
      <c r="Q1565" s="43"/>
      <c r="R1565" s="43"/>
      <c r="S1565" s="43"/>
      <c r="T1565" s="43"/>
      <c r="U1565" s="43"/>
      <c r="V1565" s="41"/>
      <c r="W1565" s="41"/>
      <c r="X1565" s="41"/>
      <c r="Y1565" s="41"/>
      <c r="Z1565" s="41"/>
      <c r="AA1565" s="44"/>
      <c r="AB1565" s="44"/>
      <c r="AC1565" s="43"/>
      <c r="AD1565" s="43"/>
      <c r="AE1565" s="43"/>
    </row>
    <row r="1566" spans="1:31" x14ac:dyDescent="0.35">
      <c r="C1566" s="33"/>
      <c r="D1566" s="34"/>
      <c r="E1566" s="34"/>
      <c r="F1566" s="34"/>
      <c r="G1566" s="34"/>
      <c r="H1566" s="34"/>
      <c r="I1566" s="34"/>
      <c r="J1566" s="34"/>
      <c r="K1566" s="34"/>
      <c r="L1566" s="34"/>
      <c r="M1566" s="34"/>
      <c r="N1566" s="34"/>
      <c r="O1566" s="34"/>
      <c r="AA1566" s="35"/>
      <c r="AB1566" s="35"/>
      <c r="AC1566" s="34"/>
      <c r="AD1566" s="34"/>
      <c r="AE1566" s="34"/>
    </row>
    <row r="1567" spans="1:31" ht="15" thickBot="1" x14ac:dyDescent="0.4">
      <c r="A1567" s="45"/>
      <c r="B1567" s="45"/>
      <c r="C1567" s="46"/>
      <c r="D1567" s="47"/>
      <c r="E1567" s="47"/>
      <c r="F1567" s="47"/>
      <c r="G1567" s="47"/>
      <c r="H1567" s="47"/>
      <c r="I1567" s="47"/>
      <c r="J1567" s="47"/>
      <c r="K1567" s="47"/>
      <c r="L1567" s="47"/>
      <c r="M1567" s="47"/>
      <c r="N1567" s="47"/>
      <c r="O1567" s="47"/>
      <c r="P1567" s="47"/>
      <c r="Q1567" s="47"/>
      <c r="R1567" s="47"/>
      <c r="S1567" s="47"/>
      <c r="T1567" s="45"/>
      <c r="U1567" s="45"/>
      <c r="V1567" s="45"/>
      <c r="W1567" s="45"/>
      <c r="X1567" s="47"/>
      <c r="Y1567" s="45"/>
      <c r="Z1567" s="45"/>
      <c r="AA1567" s="48"/>
      <c r="AB1567" s="48"/>
      <c r="AC1567" s="47"/>
      <c r="AD1567" s="47"/>
      <c r="AE1567" s="47"/>
    </row>
    <row r="1568" spans="1:31" x14ac:dyDescent="0.35">
      <c r="A1568" s="41"/>
      <c r="B1568" s="41"/>
      <c r="C1568" s="42"/>
      <c r="D1568" s="43"/>
      <c r="E1568" s="43"/>
      <c r="F1568" s="43"/>
      <c r="G1568" s="43"/>
      <c r="H1568" s="43"/>
      <c r="I1568" s="43"/>
      <c r="J1568" s="43"/>
      <c r="K1568" s="43"/>
      <c r="L1568" s="43"/>
      <c r="M1568" s="43"/>
      <c r="N1568" s="43"/>
      <c r="O1568" s="43"/>
      <c r="P1568" s="43"/>
      <c r="Q1568" s="43"/>
      <c r="R1568" s="43"/>
      <c r="S1568" s="43"/>
      <c r="T1568" s="43"/>
      <c r="U1568" s="43"/>
      <c r="V1568" s="41"/>
      <c r="W1568" s="41"/>
      <c r="X1568" s="41"/>
      <c r="Y1568" s="41"/>
      <c r="Z1568" s="41"/>
      <c r="AA1568" s="44"/>
      <c r="AB1568" s="44"/>
      <c r="AC1568" s="43"/>
      <c r="AD1568" s="43"/>
      <c r="AE1568" s="43"/>
    </row>
    <row r="1569" spans="1:31" x14ac:dyDescent="0.35">
      <c r="C1569" s="33"/>
      <c r="D1569" s="34"/>
      <c r="E1569" s="34"/>
      <c r="F1569" s="34"/>
      <c r="G1569" s="34"/>
      <c r="H1569" s="34"/>
      <c r="I1569" s="34"/>
      <c r="J1569" s="34"/>
      <c r="K1569" s="34"/>
      <c r="L1569" s="34"/>
      <c r="M1569" s="34"/>
      <c r="N1569" s="34"/>
      <c r="O1569" s="34"/>
      <c r="AA1569" s="35"/>
      <c r="AB1569" s="35"/>
      <c r="AC1569" s="34"/>
      <c r="AD1569" s="34"/>
      <c r="AE1569" s="34"/>
    </row>
    <row r="1570" spans="1:31" ht="15" thickBot="1" x14ac:dyDescent="0.4">
      <c r="A1570" s="45"/>
      <c r="B1570" s="45"/>
      <c r="C1570" s="46"/>
      <c r="D1570" s="47"/>
      <c r="E1570" s="47"/>
      <c r="F1570" s="47"/>
      <c r="G1570" s="47"/>
      <c r="H1570" s="47"/>
      <c r="I1570" s="47"/>
      <c r="J1570" s="47"/>
      <c r="K1570" s="47"/>
      <c r="L1570" s="47"/>
      <c r="M1570" s="47"/>
      <c r="N1570" s="47"/>
      <c r="O1570" s="47"/>
      <c r="P1570" s="47"/>
      <c r="Q1570" s="47"/>
      <c r="R1570" s="47"/>
      <c r="S1570" s="47"/>
      <c r="T1570" s="45"/>
      <c r="U1570" s="45"/>
      <c r="V1570" s="45"/>
      <c r="W1570" s="45"/>
      <c r="X1570" s="47"/>
      <c r="Y1570" s="45"/>
      <c r="Z1570" s="45"/>
      <c r="AA1570" s="48"/>
      <c r="AB1570" s="48"/>
      <c r="AC1570" s="47"/>
      <c r="AD1570" s="47"/>
      <c r="AE1570" s="47"/>
    </row>
    <row r="1571" spans="1:31" x14ac:dyDescent="0.35">
      <c r="A1571" s="41"/>
      <c r="B1571" s="41"/>
      <c r="C1571" s="42"/>
      <c r="D1571" s="43"/>
      <c r="E1571" s="43"/>
      <c r="F1571" s="43"/>
      <c r="G1571" s="43"/>
      <c r="H1571" s="43"/>
      <c r="I1571" s="43"/>
      <c r="J1571" s="43"/>
      <c r="K1571" s="43"/>
      <c r="L1571" s="43"/>
      <c r="M1571" s="43"/>
      <c r="N1571" s="43"/>
      <c r="O1571" s="43"/>
      <c r="P1571" s="43"/>
      <c r="Q1571" s="43"/>
      <c r="R1571" s="43"/>
      <c r="S1571" s="43"/>
      <c r="T1571" s="43"/>
      <c r="U1571" s="43"/>
      <c r="V1571" s="41"/>
      <c r="W1571" s="41"/>
      <c r="X1571" s="41"/>
      <c r="Y1571" s="41"/>
      <c r="Z1571" s="41"/>
      <c r="AA1571" s="44"/>
      <c r="AB1571" s="44"/>
      <c r="AC1571" s="43"/>
      <c r="AD1571" s="43"/>
      <c r="AE1571" s="43"/>
    </row>
    <row r="1572" spans="1:31" x14ac:dyDescent="0.35">
      <c r="C1572" s="33"/>
      <c r="D1572" s="34"/>
      <c r="E1572" s="34"/>
      <c r="F1572" s="34"/>
      <c r="G1572" s="34"/>
      <c r="H1572" s="34"/>
      <c r="I1572" s="34"/>
      <c r="J1572" s="34"/>
      <c r="K1572" s="34"/>
      <c r="L1572" s="34"/>
      <c r="M1572" s="34"/>
      <c r="N1572" s="34"/>
      <c r="O1572" s="34"/>
      <c r="AA1572" s="35"/>
      <c r="AB1572" s="35"/>
      <c r="AC1572" s="34"/>
      <c r="AD1572" s="34"/>
      <c r="AE1572" s="34"/>
    </row>
    <row r="1573" spans="1:31" ht="15" thickBot="1" x14ac:dyDescent="0.4">
      <c r="A1573" s="45"/>
      <c r="B1573" s="45"/>
      <c r="C1573" s="46"/>
      <c r="D1573" s="47"/>
      <c r="E1573" s="47"/>
      <c r="F1573" s="47"/>
      <c r="G1573" s="47"/>
      <c r="H1573" s="47"/>
      <c r="I1573" s="47"/>
      <c r="J1573" s="47"/>
      <c r="K1573" s="47"/>
      <c r="L1573" s="47"/>
      <c r="M1573" s="47"/>
      <c r="N1573" s="47"/>
      <c r="O1573" s="47"/>
      <c r="P1573" s="47"/>
      <c r="Q1573" s="47"/>
      <c r="R1573" s="47"/>
      <c r="S1573" s="47"/>
      <c r="T1573" s="45"/>
      <c r="U1573" s="45"/>
      <c r="V1573" s="45"/>
      <c r="W1573" s="45"/>
      <c r="X1573" s="47"/>
      <c r="Y1573" s="45"/>
      <c r="Z1573" s="45"/>
      <c r="AA1573" s="48"/>
      <c r="AB1573" s="48"/>
      <c r="AC1573" s="47"/>
      <c r="AD1573" s="47"/>
      <c r="AE1573" s="47"/>
    </row>
    <row r="1574" spans="1:31" x14ac:dyDescent="0.35">
      <c r="A1574" s="41"/>
      <c r="B1574" s="41"/>
      <c r="C1574" s="42"/>
      <c r="D1574" s="43"/>
      <c r="E1574" s="43"/>
      <c r="F1574" s="43"/>
      <c r="G1574" s="43"/>
      <c r="H1574" s="43"/>
      <c r="I1574" s="43"/>
      <c r="J1574" s="43"/>
      <c r="K1574" s="43"/>
      <c r="L1574" s="43"/>
      <c r="M1574" s="43"/>
      <c r="N1574" s="43"/>
      <c r="O1574" s="43"/>
      <c r="P1574" s="43"/>
      <c r="Q1574" s="43"/>
      <c r="R1574" s="43"/>
      <c r="S1574" s="43"/>
      <c r="T1574" s="43"/>
      <c r="U1574" s="43"/>
      <c r="V1574" s="41"/>
      <c r="W1574" s="41"/>
      <c r="X1574" s="41"/>
      <c r="Y1574" s="41"/>
      <c r="Z1574" s="41"/>
      <c r="AA1574" s="44"/>
      <c r="AB1574" s="44"/>
      <c r="AC1574" s="43"/>
      <c r="AD1574" s="43"/>
      <c r="AE1574" s="43"/>
    </row>
    <row r="1575" spans="1:31" x14ac:dyDescent="0.35">
      <c r="C1575" s="33"/>
      <c r="D1575" s="34"/>
      <c r="E1575" s="34"/>
      <c r="F1575" s="34"/>
      <c r="G1575" s="34"/>
      <c r="H1575" s="34"/>
      <c r="I1575" s="34"/>
      <c r="J1575" s="34"/>
      <c r="K1575" s="34"/>
      <c r="L1575" s="34"/>
      <c r="M1575" s="34"/>
      <c r="N1575" s="34"/>
      <c r="O1575" s="34"/>
      <c r="AA1575" s="35"/>
      <c r="AB1575" s="35"/>
      <c r="AC1575" s="34"/>
      <c r="AD1575" s="34"/>
      <c r="AE1575" s="34"/>
    </row>
    <row r="1576" spans="1:31" ht="15" thickBot="1" x14ac:dyDescent="0.4">
      <c r="A1576" s="45"/>
      <c r="B1576" s="45"/>
      <c r="C1576" s="46"/>
      <c r="D1576" s="47"/>
      <c r="E1576" s="47"/>
      <c r="F1576" s="47"/>
      <c r="G1576" s="47"/>
      <c r="H1576" s="47"/>
      <c r="I1576" s="47"/>
      <c r="J1576" s="47"/>
      <c r="K1576" s="47"/>
      <c r="L1576" s="47"/>
      <c r="M1576" s="47"/>
      <c r="N1576" s="47"/>
      <c r="O1576" s="47"/>
      <c r="P1576" s="47"/>
      <c r="Q1576" s="47"/>
      <c r="R1576" s="47"/>
      <c r="S1576" s="47"/>
      <c r="T1576" s="45"/>
      <c r="U1576" s="45"/>
      <c r="V1576" s="45"/>
      <c r="W1576" s="45"/>
      <c r="X1576" s="47"/>
      <c r="Y1576" s="45"/>
      <c r="Z1576" s="45"/>
      <c r="AA1576" s="48"/>
      <c r="AB1576" s="48"/>
      <c r="AC1576" s="47"/>
      <c r="AD1576" s="47"/>
      <c r="AE1576" s="47"/>
    </row>
    <row r="1577" spans="1:31" x14ac:dyDescent="0.35">
      <c r="A1577" s="41"/>
      <c r="B1577" s="41"/>
      <c r="C1577" s="42"/>
      <c r="D1577" s="43"/>
      <c r="E1577" s="43"/>
      <c r="F1577" s="43"/>
      <c r="G1577" s="43"/>
      <c r="H1577" s="43"/>
      <c r="I1577" s="43"/>
      <c r="J1577" s="43"/>
      <c r="K1577" s="43"/>
      <c r="L1577" s="43"/>
      <c r="M1577" s="43"/>
      <c r="N1577" s="43"/>
      <c r="O1577" s="43"/>
      <c r="P1577" s="43"/>
      <c r="Q1577" s="43"/>
      <c r="R1577" s="43"/>
      <c r="S1577" s="43"/>
      <c r="T1577" s="43"/>
      <c r="U1577" s="43"/>
      <c r="V1577" s="41"/>
      <c r="W1577" s="41"/>
      <c r="X1577" s="41"/>
      <c r="Y1577" s="41"/>
      <c r="Z1577" s="41"/>
      <c r="AA1577" s="44"/>
      <c r="AB1577" s="44"/>
      <c r="AC1577" s="43"/>
      <c r="AD1577" s="43"/>
      <c r="AE1577" s="43"/>
    </row>
    <row r="1578" spans="1:31" x14ac:dyDescent="0.35">
      <c r="C1578" s="33"/>
      <c r="D1578" s="34"/>
      <c r="E1578" s="34"/>
      <c r="F1578" s="34"/>
      <c r="G1578" s="34"/>
      <c r="H1578" s="34"/>
      <c r="I1578" s="34"/>
      <c r="J1578" s="34"/>
      <c r="K1578" s="34"/>
      <c r="L1578" s="34"/>
      <c r="M1578" s="34"/>
      <c r="N1578" s="34"/>
      <c r="O1578" s="34"/>
      <c r="AA1578" s="35"/>
      <c r="AB1578" s="35"/>
      <c r="AC1578" s="34"/>
      <c r="AD1578" s="34"/>
      <c r="AE1578" s="34"/>
    </row>
    <row r="1579" spans="1:31" ht="15" thickBot="1" x14ac:dyDescent="0.4">
      <c r="A1579" s="45"/>
      <c r="B1579" s="45"/>
      <c r="C1579" s="46"/>
      <c r="D1579" s="47"/>
      <c r="E1579" s="47"/>
      <c r="F1579" s="47"/>
      <c r="G1579" s="47"/>
      <c r="H1579" s="47"/>
      <c r="I1579" s="47"/>
      <c r="J1579" s="47"/>
      <c r="K1579" s="47"/>
      <c r="L1579" s="47"/>
      <c r="M1579" s="47"/>
      <c r="N1579" s="47"/>
      <c r="O1579" s="47"/>
      <c r="P1579" s="47"/>
      <c r="Q1579" s="47"/>
      <c r="R1579" s="47"/>
      <c r="S1579" s="47"/>
      <c r="T1579" s="45"/>
      <c r="U1579" s="45"/>
      <c r="V1579" s="45"/>
      <c r="W1579" s="45"/>
      <c r="X1579" s="47"/>
      <c r="Y1579" s="45"/>
      <c r="Z1579" s="45"/>
      <c r="AA1579" s="48"/>
      <c r="AB1579" s="48"/>
      <c r="AC1579" s="47"/>
      <c r="AD1579" s="47"/>
      <c r="AE1579" s="47"/>
    </row>
    <row r="1580" spans="1:31" x14ac:dyDescent="0.35">
      <c r="A1580" s="41"/>
      <c r="B1580" s="41"/>
      <c r="C1580" s="42"/>
      <c r="D1580" s="43"/>
      <c r="E1580" s="43"/>
      <c r="F1580" s="43"/>
      <c r="G1580" s="43"/>
      <c r="H1580" s="43"/>
      <c r="I1580" s="43"/>
      <c r="J1580" s="43"/>
      <c r="K1580" s="43"/>
      <c r="L1580" s="43"/>
      <c r="M1580" s="43"/>
      <c r="N1580" s="43"/>
      <c r="O1580" s="43"/>
      <c r="P1580" s="43"/>
      <c r="Q1580" s="43"/>
      <c r="R1580" s="43"/>
      <c r="S1580" s="43"/>
      <c r="T1580" s="43"/>
      <c r="U1580" s="43"/>
      <c r="V1580" s="41"/>
      <c r="W1580" s="41"/>
      <c r="X1580" s="41"/>
      <c r="Y1580" s="41"/>
      <c r="Z1580" s="41"/>
      <c r="AA1580" s="44"/>
      <c r="AB1580" s="44"/>
      <c r="AC1580" s="43"/>
      <c r="AD1580" s="43"/>
      <c r="AE1580" s="43"/>
    </row>
    <row r="1581" spans="1:31" x14ac:dyDescent="0.35">
      <c r="C1581" s="33"/>
      <c r="D1581" s="34"/>
      <c r="E1581" s="34"/>
      <c r="F1581" s="34"/>
      <c r="G1581" s="34"/>
      <c r="H1581" s="34"/>
      <c r="I1581" s="34"/>
      <c r="J1581" s="34"/>
      <c r="K1581" s="34"/>
      <c r="L1581" s="34"/>
      <c r="M1581" s="34"/>
      <c r="N1581" s="34"/>
      <c r="O1581" s="34"/>
      <c r="AA1581" s="35"/>
      <c r="AB1581" s="35"/>
      <c r="AC1581" s="34"/>
      <c r="AD1581" s="34"/>
      <c r="AE1581" s="34"/>
    </row>
    <row r="1582" spans="1:31" ht="15" thickBot="1" x14ac:dyDescent="0.4">
      <c r="A1582" s="45"/>
      <c r="B1582" s="45"/>
      <c r="C1582" s="46"/>
      <c r="D1582" s="47"/>
      <c r="E1582" s="47"/>
      <c r="F1582" s="47"/>
      <c r="G1582" s="47"/>
      <c r="H1582" s="47"/>
      <c r="I1582" s="47"/>
      <c r="J1582" s="47"/>
      <c r="K1582" s="47"/>
      <c r="L1582" s="47"/>
      <c r="M1582" s="47"/>
      <c r="N1582" s="47"/>
      <c r="O1582" s="47"/>
      <c r="P1582" s="47"/>
      <c r="Q1582" s="47"/>
      <c r="R1582" s="47"/>
      <c r="S1582" s="47"/>
      <c r="T1582" s="45"/>
      <c r="U1582" s="45"/>
      <c r="V1582" s="45"/>
      <c r="W1582" s="45"/>
      <c r="X1582" s="47"/>
      <c r="Y1582" s="45"/>
      <c r="Z1582" s="45"/>
      <c r="AA1582" s="48"/>
      <c r="AB1582" s="48"/>
      <c r="AC1582" s="47"/>
      <c r="AD1582" s="47"/>
      <c r="AE1582" s="47"/>
    </row>
    <row r="1583" spans="1:31" x14ac:dyDescent="0.35">
      <c r="A1583" s="41"/>
      <c r="B1583" s="41"/>
      <c r="C1583" s="42"/>
      <c r="D1583" s="43"/>
      <c r="E1583" s="43"/>
      <c r="F1583" s="43"/>
      <c r="G1583" s="43"/>
      <c r="H1583" s="43"/>
      <c r="I1583" s="43"/>
      <c r="J1583" s="43"/>
      <c r="K1583" s="43"/>
      <c r="L1583" s="43"/>
      <c r="M1583" s="43"/>
      <c r="N1583" s="43"/>
      <c r="O1583" s="43"/>
      <c r="P1583" s="43"/>
      <c r="Q1583" s="43"/>
      <c r="R1583" s="43"/>
      <c r="S1583" s="43"/>
      <c r="T1583" s="43"/>
      <c r="U1583" s="43"/>
      <c r="V1583" s="41"/>
      <c r="W1583" s="41"/>
      <c r="X1583" s="41"/>
      <c r="Y1583" s="41"/>
      <c r="Z1583" s="41"/>
      <c r="AA1583" s="44"/>
      <c r="AB1583" s="44"/>
      <c r="AC1583" s="43"/>
      <c r="AD1583" s="43"/>
      <c r="AE1583" s="43"/>
    </row>
    <row r="1584" spans="1:31" x14ac:dyDescent="0.35">
      <c r="C1584" s="33"/>
      <c r="D1584" s="34"/>
      <c r="E1584" s="34"/>
      <c r="F1584" s="34"/>
      <c r="G1584" s="34"/>
      <c r="H1584" s="34"/>
      <c r="I1584" s="34"/>
      <c r="J1584" s="34"/>
      <c r="K1584" s="34"/>
      <c r="L1584" s="34"/>
      <c r="M1584" s="34"/>
      <c r="N1584" s="34"/>
      <c r="O1584" s="34"/>
      <c r="AA1584" s="35"/>
      <c r="AB1584" s="35"/>
      <c r="AC1584" s="34"/>
      <c r="AD1584" s="34"/>
      <c r="AE1584" s="34"/>
    </row>
    <row r="1585" spans="1:31" ht="15" thickBot="1" x14ac:dyDescent="0.4">
      <c r="A1585" s="45"/>
      <c r="B1585" s="45"/>
      <c r="C1585" s="46"/>
      <c r="D1585" s="47"/>
      <c r="E1585" s="47"/>
      <c r="F1585" s="47"/>
      <c r="G1585" s="47"/>
      <c r="H1585" s="47"/>
      <c r="I1585" s="47"/>
      <c r="J1585" s="47"/>
      <c r="K1585" s="47"/>
      <c r="L1585" s="47"/>
      <c r="M1585" s="47"/>
      <c r="N1585" s="47"/>
      <c r="O1585" s="47"/>
      <c r="P1585" s="47"/>
      <c r="Q1585" s="47"/>
      <c r="R1585" s="47"/>
      <c r="S1585" s="47"/>
      <c r="T1585" s="45"/>
      <c r="U1585" s="45"/>
      <c r="V1585" s="45"/>
      <c r="W1585" s="45"/>
      <c r="X1585" s="47"/>
      <c r="Y1585" s="45"/>
      <c r="Z1585" s="45"/>
      <c r="AA1585" s="48"/>
      <c r="AB1585" s="48"/>
      <c r="AC1585" s="47"/>
      <c r="AD1585" s="47"/>
      <c r="AE1585" s="47"/>
    </row>
    <row r="1586" spans="1:31" x14ac:dyDescent="0.35">
      <c r="A1586" s="41"/>
      <c r="B1586" s="41"/>
      <c r="C1586" s="42"/>
      <c r="D1586" s="43"/>
      <c r="E1586" s="43"/>
      <c r="F1586" s="43"/>
      <c r="G1586" s="43"/>
      <c r="H1586" s="43"/>
      <c r="I1586" s="43"/>
      <c r="J1586" s="43"/>
      <c r="K1586" s="43"/>
      <c r="L1586" s="43"/>
      <c r="M1586" s="43"/>
      <c r="N1586" s="43"/>
      <c r="O1586" s="43"/>
      <c r="P1586" s="43"/>
      <c r="Q1586" s="43"/>
      <c r="R1586" s="43"/>
      <c r="S1586" s="43"/>
      <c r="T1586" s="43"/>
      <c r="U1586" s="43"/>
      <c r="V1586" s="41"/>
      <c r="W1586" s="41"/>
      <c r="X1586" s="41"/>
      <c r="Y1586" s="41"/>
      <c r="Z1586" s="41"/>
      <c r="AA1586" s="44"/>
      <c r="AB1586" s="44"/>
      <c r="AC1586" s="43"/>
      <c r="AD1586" s="43"/>
      <c r="AE1586" s="43"/>
    </row>
    <row r="1587" spans="1:31" x14ac:dyDescent="0.35">
      <c r="C1587" s="33"/>
      <c r="D1587" s="34"/>
      <c r="E1587" s="34"/>
      <c r="F1587" s="34"/>
      <c r="G1587" s="34"/>
      <c r="H1587" s="34"/>
      <c r="I1587" s="34"/>
      <c r="J1587" s="34"/>
      <c r="K1587" s="34"/>
      <c r="L1587" s="34"/>
      <c r="M1587" s="34"/>
      <c r="N1587" s="34"/>
      <c r="O1587" s="34"/>
      <c r="AA1587" s="35"/>
      <c r="AB1587" s="35"/>
      <c r="AC1587" s="34"/>
      <c r="AD1587" s="34"/>
      <c r="AE1587" s="34"/>
    </row>
    <row r="1588" spans="1:31" ht="15" thickBot="1" x14ac:dyDescent="0.4">
      <c r="A1588" s="45"/>
      <c r="B1588" s="45"/>
      <c r="C1588" s="46"/>
      <c r="D1588" s="47"/>
      <c r="E1588" s="47"/>
      <c r="F1588" s="47"/>
      <c r="G1588" s="47"/>
      <c r="H1588" s="47"/>
      <c r="I1588" s="47"/>
      <c r="J1588" s="47"/>
      <c r="K1588" s="47"/>
      <c r="L1588" s="47"/>
      <c r="M1588" s="47"/>
      <c r="N1588" s="47"/>
      <c r="O1588" s="47"/>
      <c r="P1588" s="47"/>
      <c r="Q1588" s="47"/>
      <c r="R1588" s="47"/>
      <c r="S1588" s="47"/>
      <c r="T1588" s="45"/>
      <c r="U1588" s="45"/>
      <c r="V1588" s="45"/>
      <c r="W1588" s="45"/>
      <c r="X1588" s="47"/>
      <c r="Y1588" s="45"/>
      <c r="Z1588" s="45"/>
      <c r="AA1588" s="48"/>
      <c r="AB1588" s="48"/>
      <c r="AC1588" s="47"/>
      <c r="AD1588" s="47"/>
      <c r="AE1588" s="47"/>
    </row>
    <row r="1589" spans="1:31" x14ac:dyDescent="0.35">
      <c r="A1589" s="41"/>
      <c r="B1589" s="41"/>
      <c r="C1589" s="42"/>
      <c r="D1589" s="43"/>
      <c r="E1589" s="43"/>
      <c r="F1589" s="43"/>
      <c r="G1589" s="43"/>
      <c r="H1589" s="43"/>
      <c r="I1589" s="43"/>
      <c r="J1589" s="43"/>
      <c r="K1589" s="43"/>
      <c r="L1589" s="43"/>
      <c r="M1589" s="43"/>
      <c r="N1589" s="43"/>
      <c r="O1589" s="43"/>
      <c r="P1589" s="43"/>
      <c r="Q1589" s="43"/>
      <c r="R1589" s="43"/>
      <c r="S1589" s="43"/>
      <c r="T1589" s="43"/>
      <c r="U1589" s="43"/>
      <c r="V1589" s="41"/>
      <c r="W1589" s="41"/>
      <c r="X1589" s="41"/>
      <c r="Y1589" s="41"/>
      <c r="Z1589" s="41"/>
      <c r="AA1589" s="44"/>
      <c r="AB1589" s="44"/>
      <c r="AC1589" s="43"/>
      <c r="AD1589" s="43"/>
      <c r="AE1589" s="43"/>
    </row>
    <row r="1590" spans="1:31" x14ac:dyDescent="0.35">
      <c r="C1590" s="33"/>
      <c r="D1590" s="34"/>
      <c r="E1590" s="34"/>
      <c r="F1590" s="34"/>
      <c r="G1590" s="34"/>
      <c r="H1590" s="34"/>
      <c r="I1590" s="34"/>
      <c r="J1590" s="34"/>
      <c r="K1590" s="34"/>
      <c r="L1590" s="34"/>
      <c r="M1590" s="34"/>
      <c r="N1590" s="34"/>
      <c r="O1590" s="34"/>
      <c r="AA1590" s="35"/>
      <c r="AB1590" s="35"/>
      <c r="AC1590" s="34"/>
      <c r="AD1590" s="34"/>
      <c r="AE1590" s="34"/>
    </row>
    <row r="1591" spans="1:31" ht="15" thickBot="1" x14ac:dyDescent="0.4">
      <c r="A1591" s="45"/>
      <c r="B1591" s="45"/>
      <c r="C1591" s="46"/>
      <c r="D1591" s="47"/>
      <c r="E1591" s="47"/>
      <c r="F1591" s="47"/>
      <c r="G1591" s="47"/>
      <c r="H1591" s="47"/>
      <c r="I1591" s="47"/>
      <c r="J1591" s="47"/>
      <c r="K1591" s="47"/>
      <c r="L1591" s="47"/>
      <c r="M1591" s="47"/>
      <c r="N1591" s="47"/>
      <c r="O1591" s="47"/>
      <c r="P1591" s="47"/>
      <c r="Q1591" s="47"/>
      <c r="R1591" s="47"/>
      <c r="S1591" s="47"/>
      <c r="T1591" s="45"/>
      <c r="U1591" s="45"/>
      <c r="V1591" s="45"/>
      <c r="W1591" s="45"/>
      <c r="X1591" s="47"/>
      <c r="Y1591" s="45"/>
      <c r="Z1591" s="45"/>
      <c r="AA1591" s="48"/>
      <c r="AB1591" s="48"/>
      <c r="AC1591" s="47"/>
      <c r="AD1591" s="47"/>
      <c r="AE1591" s="47"/>
    </row>
    <row r="1592" spans="1:31" x14ac:dyDescent="0.35">
      <c r="A1592" s="41"/>
      <c r="B1592" s="41"/>
      <c r="C1592" s="42"/>
      <c r="D1592" s="43"/>
      <c r="E1592" s="43"/>
      <c r="F1592" s="43"/>
      <c r="G1592" s="43"/>
      <c r="H1592" s="43"/>
      <c r="I1592" s="43"/>
      <c r="J1592" s="43"/>
      <c r="K1592" s="43"/>
      <c r="L1592" s="43"/>
      <c r="M1592" s="43"/>
      <c r="N1592" s="43"/>
      <c r="O1592" s="43"/>
      <c r="P1592" s="43"/>
      <c r="Q1592" s="43"/>
      <c r="R1592" s="43"/>
      <c r="S1592" s="43"/>
      <c r="T1592" s="43"/>
      <c r="U1592" s="43"/>
      <c r="V1592" s="41"/>
      <c r="W1592" s="41"/>
      <c r="X1592" s="41"/>
      <c r="Y1592" s="41"/>
      <c r="Z1592" s="41"/>
      <c r="AA1592" s="44"/>
      <c r="AB1592" s="44"/>
      <c r="AC1592" s="43"/>
      <c r="AD1592" s="43"/>
      <c r="AE1592" s="43"/>
    </row>
    <row r="1593" spans="1:31" x14ac:dyDescent="0.35">
      <c r="C1593" s="33"/>
      <c r="D1593" s="34"/>
      <c r="E1593" s="34"/>
      <c r="F1593" s="34"/>
      <c r="G1593" s="34"/>
      <c r="H1593" s="34"/>
      <c r="I1593" s="34"/>
      <c r="J1593" s="34"/>
      <c r="K1593" s="34"/>
      <c r="L1593" s="34"/>
      <c r="M1593" s="34"/>
      <c r="N1593" s="34"/>
      <c r="O1593" s="34"/>
      <c r="AA1593" s="35"/>
      <c r="AB1593" s="35"/>
      <c r="AC1593" s="34"/>
      <c r="AD1593" s="34"/>
      <c r="AE1593" s="34"/>
    </row>
    <row r="1594" spans="1:31" ht="15" thickBot="1" x14ac:dyDescent="0.4">
      <c r="A1594" s="45"/>
      <c r="B1594" s="45"/>
      <c r="C1594" s="46"/>
      <c r="D1594" s="47"/>
      <c r="E1594" s="47"/>
      <c r="F1594" s="47"/>
      <c r="G1594" s="47"/>
      <c r="H1594" s="47"/>
      <c r="I1594" s="47"/>
      <c r="J1594" s="47"/>
      <c r="K1594" s="47"/>
      <c r="L1594" s="47"/>
      <c r="M1594" s="47"/>
      <c r="N1594" s="47"/>
      <c r="O1594" s="47"/>
      <c r="P1594" s="47"/>
      <c r="Q1594" s="47"/>
      <c r="R1594" s="47"/>
      <c r="S1594" s="47"/>
      <c r="T1594" s="45"/>
      <c r="U1594" s="45"/>
      <c r="V1594" s="45"/>
      <c r="W1594" s="45"/>
      <c r="X1594" s="47"/>
      <c r="Y1594" s="45"/>
      <c r="Z1594" s="45"/>
      <c r="AA1594" s="48"/>
      <c r="AB1594" s="48"/>
      <c r="AC1594" s="47"/>
      <c r="AD1594" s="47"/>
      <c r="AE1594" s="47"/>
    </row>
    <row r="1595" spans="1:31" x14ac:dyDescent="0.35">
      <c r="A1595" s="41"/>
      <c r="B1595" s="41"/>
      <c r="C1595" s="42"/>
      <c r="D1595" s="43"/>
      <c r="E1595" s="43"/>
      <c r="F1595" s="43"/>
      <c r="G1595" s="43"/>
      <c r="H1595" s="43"/>
      <c r="I1595" s="43"/>
      <c r="J1595" s="43"/>
      <c r="K1595" s="43"/>
      <c r="L1595" s="43"/>
      <c r="M1595" s="43"/>
      <c r="N1595" s="43"/>
      <c r="O1595" s="43"/>
      <c r="P1595" s="43"/>
      <c r="Q1595" s="43"/>
      <c r="R1595" s="43"/>
      <c r="S1595" s="43"/>
      <c r="T1595" s="43"/>
      <c r="U1595" s="43"/>
      <c r="V1595" s="41"/>
      <c r="W1595" s="41"/>
      <c r="X1595" s="41"/>
      <c r="Y1595" s="41"/>
      <c r="Z1595" s="41"/>
      <c r="AA1595" s="44"/>
      <c r="AB1595" s="44"/>
      <c r="AC1595" s="43"/>
      <c r="AD1595" s="43"/>
      <c r="AE1595" s="43"/>
    </row>
    <row r="1596" spans="1:31" x14ac:dyDescent="0.35">
      <c r="C1596" s="33"/>
      <c r="D1596" s="34"/>
      <c r="E1596" s="34"/>
      <c r="F1596" s="34"/>
      <c r="G1596" s="34"/>
      <c r="H1596" s="34"/>
      <c r="I1596" s="34"/>
      <c r="J1596" s="34"/>
      <c r="K1596" s="34"/>
      <c r="L1596" s="34"/>
      <c r="M1596" s="34"/>
      <c r="N1596" s="34"/>
      <c r="O1596" s="34"/>
      <c r="AA1596" s="35"/>
      <c r="AB1596" s="35"/>
      <c r="AC1596" s="34"/>
      <c r="AD1596" s="34"/>
      <c r="AE1596" s="34"/>
    </row>
    <row r="1597" spans="1:31" ht="15" thickBot="1" x14ac:dyDescent="0.4">
      <c r="A1597" s="45"/>
      <c r="B1597" s="45"/>
      <c r="C1597" s="46"/>
      <c r="D1597" s="47"/>
      <c r="E1597" s="47"/>
      <c r="F1597" s="47"/>
      <c r="G1597" s="47"/>
      <c r="H1597" s="47"/>
      <c r="I1597" s="47"/>
      <c r="J1597" s="47"/>
      <c r="K1597" s="47"/>
      <c r="L1597" s="47"/>
      <c r="M1597" s="47"/>
      <c r="N1597" s="47"/>
      <c r="O1597" s="47"/>
      <c r="P1597" s="47"/>
      <c r="Q1597" s="47"/>
      <c r="R1597" s="47"/>
      <c r="S1597" s="47"/>
      <c r="T1597" s="45"/>
      <c r="U1597" s="45"/>
      <c r="V1597" s="45"/>
      <c r="W1597" s="45"/>
      <c r="X1597" s="47"/>
      <c r="Y1597" s="45"/>
      <c r="Z1597" s="45"/>
      <c r="AA1597" s="48"/>
      <c r="AB1597" s="48"/>
      <c r="AC1597" s="47"/>
      <c r="AD1597" s="47"/>
      <c r="AE1597" s="47"/>
    </row>
    <row r="1598" spans="1:31" x14ac:dyDescent="0.35">
      <c r="A1598" s="41"/>
      <c r="B1598" s="41"/>
      <c r="C1598" s="42"/>
      <c r="D1598" s="43"/>
      <c r="E1598" s="43"/>
      <c r="F1598" s="43"/>
      <c r="G1598" s="43"/>
      <c r="H1598" s="43"/>
      <c r="I1598" s="43"/>
      <c r="J1598" s="43"/>
      <c r="K1598" s="43"/>
      <c r="L1598" s="43"/>
      <c r="M1598" s="43"/>
      <c r="N1598" s="43"/>
      <c r="O1598" s="43"/>
      <c r="P1598" s="43"/>
      <c r="Q1598" s="43"/>
      <c r="R1598" s="43"/>
      <c r="S1598" s="43"/>
      <c r="T1598" s="43"/>
      <c r="U1598" s="43"/>
      <c r="V1598" s="41"/>
      <c r="W1598" s="41"/>
      <c r="X1598" s="41"/>
      <c r="Y1598" s="41"/>
      <c r="Z1598" s="41"/>
      <c r="AA1598" s="44"/>
      <c r="AB1598" s="44"/>
      <c r="AC1598" s="43"/>
      <c r="AD1598" s="43"/>
      <c r="AE1598" s="43"/>
    </row>
    <row r="1599" spans="1:31" x14ac:dyDescent="0.35">
      <c r="C1599" s="33"/>
      <c r="D1599" s="34"/>
      <c r="E1599" s="34"/>
      <c r="F1599" s="34"/>
      <c r="G1599" s="34"/>
      <c r="H1599" s="34"/>
      <c r="I1599" s="34"/>
      <c r="J1599" s="34"/>
      <c r="K1599" s="34"/>
      <c r="L1599" s="34"/>
      <c r="M1599" s="34"/>
      <c r="N1599" s="34"/>
      <c r="O1599" s="34"/>
      <c r="AA1599" s="35"/>
      <c r="AB1599" s="35"/>
      <c r="AC1599" s="34"/>
      <c r="AD1599" s="34"/>
      <c r="AE1599" s="34"/>
    </row>
    <row r="1600" spans="1:31" ht="15" thickBot="1" x14ac:dyDescent="0.4">
      <c r="A1600" s="45"/>
      <c r="B1600" s="45"/>
      <c r="C1600" s="46"/>
      <c r="D1600" s="47"/>
      <c r="E1600" s="47"/>
      <c r="F1600" s="47"/>
      <c r="G1600" s="47"/>
      <c r="H1600" s="47"/>
      <c r="I1600" s="47"/>
      <c r="J1600" s="47"/>
      <c r="K1600" s="47"/>
      <c r="L1600" s="47"/>
      <c r="M1600" s="47"/>
      <c r="N1600" s="47"/>
      <c r="O1600" s="47"/>
      <c r="P1600" s="47"/>
      <c r="Q1600" s="47"/>
      <c r="R1600" s="47"/>
      <c r="S1600" s="47"/>
      <c r="T1600" s="45"/>
      <c r="U1600" s="45"/>
      <c r="V1600" s="45"/>
      <c r="W1600" s="45"/>
      <c r="X1600" s="47"/>
      <c r="Y1600" s="45"/>
      <c r="Z1600" s="45"/>
      <c r="AA1600" s="48"/>
      <c r="AB1600" s="48"/>
      <c r="AC1600" s="47"/>
      <c r="AD1600" s="47"/>
      <c r="AE1600" s="47"/>
    </row>
    <row r="1601" spans="1:31" x14ac:dyDescent="0.35">
      <c r="A1601" s="41"/>
      <c r="B1601" s="41"/>
      <c r="C1601" s="42"/>
      <c r="D1601" s="43"/>
      <c r="E1601" s="43"/>
      <c r="F1601" s="43"/>
      <c r="G1601" s="43"/>
      <c r="H1601" s="43"/>
      <c r="I1601" s="43"/>
      <c r="J1601" s="43"/>
      <c r="K1601" s="43"/>
      <c r="L1601" s="43"/>
      <c r="M1601" s="43"/>
      <c r="N1601" s="43"/>
      <c r="O1601" s="43"/>
      <c r="P1601" s="43"/>
      <c r="Q1601" s="43"/>
      <c r="R1601" s="43"/>
      <c r="S1601" s="43"/>
      <c r="T1601" s="43"/>
      <c r="U1601" s="43"/>
      <c r="V1601" s="41"/>
      <c r="W1601" s="41"/>
      <c r="X1601" s="41"/>
      <c r="Y1601" s="41"/>
      <c r="Z1601" s="41"/>
      <c r="AA1601" s="44"/>
      <c r="AB1601" s="44"/>
      <c r="AC1601" s="43"/>
      <c r="AD1601" s="43"/>
      <c r="AE1601" s="43"/>
    </row>
    <row r="1602" spans="1:31" x14ac:dyDescent="0.35">
      <c r="C1602" s="33"/>
      <c r="D1602" s="34"/>
      <c r="E1602" s="34"/>
      <c r="F1602" s="34"/>
      <c r="G1602" s="34"/>
      <c r="H1602" s="34"/>
      <c r="I1602" s="34"/>
      <c r="J1602" s="34"/>
      <c r="K1602" s="34"/>
      <c r="L1602" s="34"/>
      <c r="M1602" s="34"/>
      <c r="N1602" s="34"/>
      <c r="O1602" s="34"/>
      <c r="AA1602" s="35"/>
      <c r="AB1602" s="35"/>
      <c r="AC1602" s="34"/>
      <c r="AD1602" s="34"/>
      <c r="AE1602" s="34"/>
    </row>
    <row r="1603" spans="1:31" ht="15" thickBot="1" x14ac:dyDescent="0.4">
      <c r="A1603" s="45"/>
      <c r="B1603" s="45"/>
      <c r="C1603" s="46"/>
      <c r="D1603" s="47"/>
      <c r="E1603" s="47"/>
      <c r="F1603" s="47"/>
      <c r="G1603" s="47"/>
      <c r="H1603" s="47"/>
      <c r="I1603" s="47"/>
      <c r="J1603" s="47"/>
      <c r="K1603" s="47"/>
      <c r="L1603" s="47"/>
      <c r="M1603" s="47"/>
      <c r="N1603" s="47"/>
      <c r="O1603" s="47"/>
      <c r="P1603" s="47"/>
      <c r="Q1603" s="47"/>
      <c r="R1603" s="47"/>
      <c r="S1603" s="47"/>
      <c r="T1603" s="45"/>
      <c r="U1603" s="45"/>
      <c r="V1603" s="45"/>
      <c r="W1603" s="45"/>
      <c r="X1603" s="47"/>
      <c r="Y1603" s="45"/>
      <c r="Z1603" s="45"/>
      <c r="AA1603" s="48"/>
      <c r="AB1603" s="48"/>
      <c r="AC1603" s="47"/>
      <c r="AD1603" s="47"/>
      <c r="AE1603" s="47"/>
    </row>
    <row r="1604" spans="1:31" x14ac:dyDescent="0.35">
      <c r="A1604" s="41"/>
      <c r="B1604" s="41"/>
      <c r="C1604" s="42"/>
      <c r="D1604" s="43"/>
      <c r="E1604" s="43"/>
      <c r="F1604" s="43"/>
      <c r="G1604" s="43"/>
      <c r="H1604" s="43"/>
      <c r="I1604" s="43"/>
      <c r="J1604" s="43"/>
      <c r="K1604" s="43"/>
      <c r="L1604" s="43"/>
      <c r="M1604" s="43"/>
      <c r="N1604" s="43"/>
      <c r="O1604" s="43"/>
      <c r="P1604" s="43"/>
      <c r="Q1604" s="43"/>
      <c r="R1604" s="43"/>
      <c r="S1604" s="43"/>
      <c r="T1604" s="43"/>
      <c r="U1604" s="43"/>
      <c r="V1604" s="41"/>
      <c r="W1604" s="41"/>
      <c r="X1604" s="41"/>
      <c r="Y1604" s="41"/>
      <c r="Z1604" s="41"/>
      <c r="AA1604" s="44"/>
      <c r="AB1604" s="44"/>
      <c r="AC1604" s="43"/>
      <c r="AD1604" s="43"/>
      <c r="AE1604" s="43"/>
    </row>
    <row r="1605" spans="1:31" x14ac:dyDescent="0.35">
      <c r="C1605" s="33"/>
      <c r="D1605" s="34"/>
      <c r="E1605" s="34"/>
      <c r="F1605" s="34"/>
      <c r="G1605" s="34"/>
      <c r="H1605" s="34"/>
      <c r="I1605" s="34"/>
      <c r="J1605" s="34"/>
      <c r="K1605" s="34"/>
      <c r="L1605" s="34"/>
      <c r="M1605" s="34"/>
      <c r="N1605" s="34"/>
      <c r="O1605" s="34"/>
      <c r="AA1605" s="35"/>
      <c r="AB1605" s="35"/>
      <c r="AC1605" s="34"/>
      <c r="AD1605" s="34"/>
      <c r="AE1605" s="34"/>
    </row>
    <row r="1606" spans="1:31" ht="15" thickBot="1" x14ac:dyDescent="0.4">
      <c r="A1606" s="45"/>
      <c r="B1606" s="45"/>
      <c r="C1606" s="46"/>
      <c r="D1606" s="47"/>
      <c r="E1606" s="47"/>
      <c r="F1606" s="47"/>
      <c r="G1606" s="47"/>
      <c r="H1606" s="47"/>
      <c r="I1606" s="47"/>
      <c r="J1606" s="47"/>
      <c r="K1606" s="47"/>
      <c r="L1606" s="47"/>
      <c r="M1606" s="47"/>
      <c r="N1606" s="47"/>
      <c r="O1606" s="47"/>
      <c r="P1606" s="47"/>
      <c r="Q1606" s="47"/>
      <c r="R1606" s="47"/>
      <c r="S1606" s="47"/>
      <c r="T1606" s="45"/>
      <c r="U1606" s="45"/>
      <c r="V1606" s="45"/>
      <c r="W1606" s="45"/>
      <c r="X1606" s="47"/>
      <c r="Y1606" s="45"/>
      <c r="Z1606" s="45"/>
      <c r="AA1606" s="48"/>
      <c r="AB1606" s="48"/>
      <c r="AC1606" s="47"/>
      <c r="AD1606" s="47"/>
      <c r="AE1606" s="47"/>
    </row>
    <row r="1607" spans="1:31" x14ac:dyDescent="0.35">
      <c r="A1607" s="41"/>
      <c r="B1607" s="41"/>
      <c r="C1607" s="42"/>
      <c r="D1607" s="43"/>
      <c r="E1607" s="43"/>
      <c r="F1607" s="43"/>
      <c r="G1607" s="43"/>
      <c r="H1607" s="43"/>
      <c r="I1607" s="43"/>
      <c r="J1607" s="43"/>
      <c r="K1607" s="43"/>
      <c r="L1607" s="43"/>
      <c r="M1607" s="43"/>
      <c r="N1607" s="43"/>
      <c r="O1607" s="43"/>
      <c r="P1607" s="43"/>
      <c r="Q1607" s="43"/>
      <c r="R1607" s="43"/>
      <c r="S1607" s="43"/>
      <c r="T1607" s="43"/>
      <c r="U1607" s="43"/>
      <c r="V1607" s="41"/>
      <c r="W1607" s="41"/>
      <c r="X1607" s="41"/>
      <c r="Y1607" s="41"/>
      <c r="Z1607" s="41"/>
      <c r="AA1607" s="44"/>
      <c r="AB1607" s="44"/>
      <c r="AC1607" s="43"/>
      <c r="AD1607" s="43"/>
      <c r="AE1607" s="43"/>
    </row>
    <row r="1608" spans="1:31" x14ac:dyDescent="0.35">
      <c r="C1608" s="33"/>
      <c r="D1608" s="34"/>
      <c r="E1608" s="34"/>
      <c r="F1608" s="34"/>
      <c r="G1608" s="34"/>
      <c r="H1608" s="34"/>
      <c r="I1608" s="34"/>
      <c r="J1608" s="34"/>
      <c r="K1608" s="34"/>
      <c r="L1608" s="34"/>
      <c r="M1608" s="34"/>
      <c r="N1608" s="34"/>
      <c r="O1608" s="34"/>
      <c r="AA1608" s="35"/>
      <c r="AB1608" s="35"/>
      <c r="AC1608" s="34"/>
      <c r="AD1608" s="34"/>
      <c r="AE1608" s="34"/>
    </row>
    <row r="1609" spans="1:31" ht="15" thickBot="1" x14ac:dyDescent="0.4">
      <c r="A1609" s="45"/>
      <c r="B1609" s="45"/>
      <c r="C1609" s="46"/>
      <c r="D1609" s="47"/>
      <c r="E1609" s="47"/>
      <c r="F1609" s="47"/>
      <c r="G1609" s="47"/>
      <c r="H1609" s="47"/>
      <c r="I1609" s="47"/>
      <c r="J1609" s="47"/>
      <c r="K1609" s="47"/>
      <c r="L1609" s="47"/>
      <c r="M1609" s="47"/>
      <c r="N1609" s="47"/>
      <c r="O1609" s="47"/>
      <c r="P1609" s="47"/>
      <c r="Q1609" s="47"/>
      <c r="R1609" s="47"/>
      <c r="S1609" s="47"/>
      <c r="T1609" s="45"/>
      <c r="U1609" s="45"/>
      <c r="V1609" s="45"/>
      <c r="W1609" s="45"/>
      <c r="X1609" s="47"/>
      <c r="Y1609" s="45"/>
      <c r="Z1609" s="45"/>
      <c r="AA1609" s="48"/>
      <c r="AB1609" s="48"/>
      <c r="AC1609" s="47"/>
      <c r="AD1609" s="47"/>
      <c r="AE1609" s="47"/>
    </row>
    <row r="1610" spans="1:31" x14ac:dyDescent="0.35">
      <c r="A1610" s="41"/>
      <c r="B1610" s="41"/>
      <c r="C1610" s="42"/>
      <c r="D1610" s="43"/>
      <c r="E1610" s="43"/>
      <c r="F1610" s="43"/>
      <c r="G1610" s="43"/>
      <c r="H1610" s="43"/>
      <c r="I1610" s="43"/>
      <c r="J1610" s="43"/>
      <c r="K1610" s="43"/>
      <c r="L1610" s="43"/>
      <c r="M1610" s="43"/>
      <c r="N1610" s="43"/>
      <c r="O1610" s="43"/>
      <c r="P1610" s="43"/>
      <c r="Q1610" s="43"/>
      <c r="R1610" s="43"/>
      <c r="S1610" s="43"/>
      <c r="T1610" s="43"/>
      <c r="U1610" s="43"/>
      <c r="V1610" s="41"/>
      <c r="W1610" s="41"/>
      <c r="X1610" s="41"/>
      <c r="Y1610" s="41"/>
      <c r="Z1610" s="41"/>
      <c r="AA1610" s="44"/>
      <c r="AB1610" s="44"/>
      <c r="AC1610" s="43"/>
      <c r="AD1610" s="43"/>
      <c r="AE1610" s="43"/>
    </row>
    <row r="1611" spans="1:31" x14ac:dyDescent="0.35">
      <c r="C1611" s="33"/>
      <c r="D1611" s="34"/>
      <c r="E1611" s="34"/>
      <c r="F1611" s="34"/>
      <c r="G1611" s="34"/>
      <c r="H1611" s="34"/>
      <c r="I1611" s="34"/>
      <c r="J1611" s="34"/>
      <c r="K1611" s="34"/>
      <c r="L1611" s="34"/>
      <c r="M1611" s="34"/>
      <c r="N1611" s="34"/>
      <c r="O1611" s="34"/>
      <c r="AA1611" s="35"/>
      <c r="AB1611" s="35"/>
      <c r="AC1611" s="34"/>
      <c r="AD1611" s="34"/>
      <c r="AE1611" s="34"/>
    </row>
    <row r="1612" spans="1:31" ht="15" thickBot="1" x14ac:dyDescent="0.4">
      <c r="A1612" s="45"/>
      <c r="B1612" s="45"/>
      <c r="C1612" s="46"/>
      <c r="D1612" s="47"/>
      <c r="E1612" s="47"/>
      <c r="F1612" s="47"/>
      <c r="G1612" s="47"/>
      <c r="H1612" s="47"/>
      <c r="I1612" s="47"/>
      <c r="J1612" s="47"/>
      <c r="K1612" s="47"/>
      <c r="L1612" s="47"/>
      <c r="M1612" s="47"/>
      <c r="N1612" s="47"/>
      <c r="O1612" s="47"/>
      <c r="P1612" s="47"/>
      <c r="Q1612" s="47"/>
      <c r="R1612" s="47"/>
      <c r="S1612" s="47"/>
      <c r="T1612" s="45"/>
      <c r="U1612" s="45"/>
      <c r="V1612" s="45"/>
      <c r="W1612" s="45"/>
      <c r="X1612" s="47"/>
      <c r="Y1612" s="45"/>
      <c r="Z1612" s="45"/>
      <c r="AA1612" s="48"/>
      <c r="AB1612" s="48"/>
      <c r="AC1612" s="47"/>
      <c r="AD1612" s="47"/>
      <c r="AE1612" s="47"/>
    </row>
    <row r="1613" spans="1:31" x14ac:dyDescent="0.35">
      <c r="A1613" s="41"/>
      <c r="B1613" s="41"/>
      <c r="C1613" s="42"/>
      <c r="D1613" s="43"/>
      <c r="E1613" s="43"/>
      <c r="F1613" s="43"/>
      <c r="G1613" s="43"/>
      <c r="H1613" s="43"/>
      <c r="I1613" s="43"/>
      <c r="J1613" s="43"/>
      <c r="K1613" s="43"/>
      <c r="L1613" s="43"/>
      <c r="M1613" s="43"/>
      <c r="N1613" s="43"/>
      <c r="O1613" s="43"/>
      <c r="P1613" s="43"/>
      <c r="Q1613" s="43"/>
      <c r="R1613" s="43"/>
      <c r="S1613" s="43"/>
      <c r="T1613" s="43"/>
      <c r="U1613" s="43"/>
      <c r="V1613" s="41"/>
      <c r="W1613" s="41"/>
      <c r="X1613" s="41"/>
      <c r="Y1613" s="41"/>
      <c r="Z1613" s="41"/>
      <c r="AA1613" s="44"/>
      <c r="AB1613" s="44"/>
      <c r="AC1613" s="43"/>
      <c r="AD1613" s="43"/>
      <c r="AE1613" s="43"/>
    </row>
    <row r="1614" spans="1:31" x14ac:dyDescent="0.35">
      <c r="C1614" s="33"/>
      <c r="D1614" s="34"/>
      <c r="E1614" s="34"/>
      <c r="F1614" s="34"/>
      <c r="G1614" s="34"/>
      <c r="H1614" s="34"/>
      <c r="I1614" s="34"/>
      <c r="J1614" s="34"/>
      <c r="K1614" s="34"/>
      <c r="L1614" s="34"/>
      <c r="M1614" s="34"/>
      <c r="N1614" s="34"/>
      <c r="O1614" s="34"/>
      <c r="AA1614" s="35"/>
      <c r="AB1614" s="35"/>
      <c r="AC1614" s="34"/>
      <c r="AD1614" s="34"/>
      <c r="AE1614" s="34"/>
    </row>
    <row r="1615" spans="1:31" ht="15" thickBot="1" x14ac:dyDescent="0.4">
      <c r="A1615" s="45"/>
      <c r="B1615" s="45"/>
      <c r="C1615" s="46"/>
      <c r="D1615" s="47"/>
      <c r="E1615" s="47"/>
      <c r="F1615" s="47"/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  <c r="S1615" s="47"/>
      <c r="T1615" s="45"/>
      <c r="U1615" s="45"/>
      <c r="V1615" s="45"/>
      <c r="W1615" s="45"/>
      <c r="X1615" s="47"/>
      <c r="Y1615" s="45"/>
      <c r="Z1615" s="45"/>
      <c r="AA1615" s="48"/>
      <c r="AB1615" s="48"/>
      <c r="AC1615" s="47"/>
      <c r="AD1615" s="47"/>
      <c r="AE1615" s="47"/>
    </row>
    <row r="1616" spans="1:31" x14ac:dyDescent="0.35">
      <c r="A1616" s="41"/>
      <c r="B1616" s="41"/>
      <c r="C1616" s="42"/>
      <c r="D1616" s="43"/>
      <c r="E1616" s="43"/>
      <c r="F1616" s="43"/>
      <c r="G1616" s="43"/>
      <c r="H1616" s="43"/>
      <c r="I1616" s="43"/>
      <c r="J1616" s="43"/>
      <c r="K1616" s="43"/>
      <c r="L1616" s="43"/>
      <c r="M1616" s="43"/>
      <c r="N1616" s="43"/>
      <c r="O1616" s="43"/>
      <c r="P1616" s="43"/>
      <c r="Q1616" s="43"/>
      <c r="R1616" s="43"/>
      <c r="S1616" s="43"/>
      <c r="T1616" s="43"/>
      <c r="U1616" s="43"/>
      <c r="V1616" s="41"/>
      <c r="W1616" s="41"/>
      <c r="X1616" s="41"/>
      <c r="Y1616" s="41"/>
      <c r="Z1616" s="41"/>
      <c r="AA1616" s="44"/>
      <c r="AB1616" s="44"/>
      <c r="AC1616" s="43"/>
      <c r="AD1616" s="43"/>
      <c r="AE1616" s="43"/>
    </row>
    <row r="1617" spans="1:31" x14ac:dyDescent="0.35">
      <c r="C1617" s="33"/>
      <c r="D1617" s="34"/>
      <c r="E1617" s="34"/>
      <c r="F1617" s="34"/>
      <c r="G1617" s="34"/>
      <c r="H1617" s="34"/>
      <c r="I1617" s="34"/>
      <c r="J1617" s="34"/>
      <c r="K1617" s="34"/>
      <c r="L1617" s="34"/>
      <c r="M1617" s="34"/>
      <c r="N1617" s="34"/>
      <c r="O1617" s="34"/>
      <c r="AA1617" s="35"/>
      <c r="AB1617" s="35"/>
      <c r="AC1617" s="34"/>
      <c r="AD1617" s="34"/>
      <c r="AE1617" s="34"/>
    </row>
    <row r="1618" spans="1:31" ht="15" thickBot="1" x14ac:dyDescent="0.4">
      <c r="A1618" s="45"/>
      <c r="B1618" s="45"/>
      <c r="C1618" s="46"/>
      <c r="D1618" s="47"/>
      <c r="E1618" s="47"/>
      <c r="F1618" s="47"/>
      <c r="G1618" s="47"/>
      <c r="H1618" s="47"/>
      <c r="I1618" s="47"/>
      <c r="J1618" s="47"/>
      <c r="K1618" s="47"/>
      <c r="L1618" s="47"/>
      <c r="M1618" s="47"/>
      <c r="N1618" s="47"/>
      <c r="O1618" s="47"/>
      <c r="P1618" s="47"/>
      <c r="Q1618" s="47"/>
      <c r="R1618" s="47"/>
      <c r="S1618" s="47"/>
      <c r="T1618" s="45"/>
      <c r="U1618" s="45"/>
      <c r="V1618" s="45"/>
      <c r="W1618" s="45"/>
      <c r="X1618" s="47"/>
      <c r="Y1618" s="45"/>
      <c r="Z1618" s="45"/>
      <c r="AA1618" s="48"/>
      <c r="AB1618" s="48"/>
      <c r="AC1618" s="47"/>
      <c r="AD1618" s="47"/>
      <c r="AE1618" s="47"/>
    </row>
    <row r="1619" spans="1:31" x14ac:dyDescent="0.35">
      <c r="A1619" s="41"/>
      <c r="B1619" s="41"/>
      <c r="C1619" s="42"/>
      <c r="D1619" s="43"/>
      <c r="E1619" s="43"/>
      <c r="F1619" s="43"/>
      <c r="G1619" s="43"/>
      <c r="H1619" s="43"/>
      <c r="I1619" s="43"/>
      <c r="J1619" s="43"/>
      <c r="K1619" s="43"/>
      <c r="L1619" s="43"/>
      <c r="M1619" s="43"/>
      <c r="N1619" s="43"/>
      <c r="O1619" s="43"/>
      <c r="P1619" s="43"/>
      <c r="Q1619" s="43"/>
      <c r="R1619" s="43"/>
      <c r="S1619" s="43"/>
      <c r="T1619" s="43"/>
      <c r="U1619" s="43"/>
      <c r="V1619" s="41"/>
      <c r="W1619" s="41"/>
      <c r="X1619" s="41"/>
      <c r="Y1619" s="41"/>
      <c r="Z1619" s="41"/>
      <c r="AA1619" s="44"/>
      <c r="AB1619" s="44"/>
      <c r="AC1619" s="43"/>
      <c r="AD1619" s="43"/>
      <c r="AE1619" s="43"/>
    </row>
    <row r="1620" spans="1:31" x14ac:dyDescent="0.35">
      <c r="C1620" s="33"/>
      <c r="D1620" s="34"/>
      <c r="E1620" s="34"/>
      <c r="F1620" s="34"/>
      <c r="G1620" s="34"/>
      <c r="H1620" s="34"/>
      <c r="I1620" s="34"/>
      <c r="J1620" s="34"/>
      <c r="K1620" s="34"/>
      <c r="L1620" s="34"/>
      <c r="M1620" s="34"/>
      <c r="N1620" s="34"/>
      <c r="O1620" s="34"/>
      <c r="AA1620" s="35"/>
      <c r="AB1620" s="35"/>
      <c r="AC1620" s="34"/>
      <c r="AD1620" s="34"/>
      <c r="AE1620" s="34"/>
    </row>
    <row r="1621" spans="1:31" ht="15" thickBot="1" x14ac:dyDescent="0.4">
      <c r="A1621" s="45"/>
      <c r="B1621" s="45"/>
      <c r="C1621" s="46"/>
      <c r="D1621" s="47"/>
      <c r="E1621" s="47"/>
      <c r="F1621" s="47"/>
      <c r="G1621" s="47"/>
      <c r="H1621" s="47"/>
      <c r="I1621" s="47"/>
      <c r="J1621" s="47"/>
      <c r="K1621" s="47"/>
      <c r="L1621" s="47"/>
      <c r="M1621" s="47"/>
      <c r="N1621" s="47"/>
      <c r="O1621" s="47"/>
      <c r="P1621" s="47"/>
      <c r="Q1621" s="47"/>
      <c r="R1621" s="47"/>
      <c r="S1621" s="47"/>
      <c r="T1621" s="45"/>
      <c r="U1621" s="45"/>
      <c r="V1621" s="45"/>
      <c r="W1621" s="45"/>
      <c r="X1621" s="47"/>
      <c r="Y1621" s="45"/>
      <c r="Z1621" s="45"/>
      <c r="AA1621" s="48"/>
      <c r="AB1621" s="48"/>
      <c r="AC1621" s="47"/>
      <c r="AD1621" s="47"/>
      <c r="AE1621" s="47"/>
    </row>
    <row r="1622" spans="1:31" x14ac:dyDescent="0.35">
      <c r="A1622" s="41"/>
      <c r="B1622" s="41"/>
      <c r="C1622" s="42"/>
      <c r="D1622" s="43"/>
      <c r="E1622" s="43"/>
      <c r="F1622" s="43"/>
      <c r="G1622" s="43"/>
      <c r="H1622" s="43"/>
      <c r="I1622" s="43"/>
      <c r="J1622" s="43"/>
      <c r="K1622" s="43"/>
      <c r="L1622" s="43"/>
      <c r="M1622" s="43"/>
      <c r="N1622" s="43"/>
      <c r="O1622" s="43"/>
      <c r="P1622" s="43"/>
      <c r="Q1622" s="43"/>
      <c r="R1622" s="43"/>
      <c r="S1622" s="43"/>
      <c r="T1622" s="43"/>
      <c r="U1622" s="43"/>
      <c r="V1622" s="41"/>
      <c r="W1622" s="41"/>
      <c r="X1622" s="41"/>
      <c r="Y1622" s="41"/>
      <c r="Z1622" s="41"/>
      <c r="AA1622" s="44"/>
      <c r="AB1622" s="44"/>
      <c r="AC1622" s="43"/>
      <c r="AD1622" s="43"/>
      <c r="AE1622" s="43"/>
    </row>
    <row r="1623" spans="1:31" x14ac:dyDescent="0.35">
      <c r="C1623" s="33"/>
      <c r="D1623" s="34"/>
      <c r="E1623" s="34"/>
      <c r="F1623" s="34"/>
      <c r="G1623" s="34"/>
      <c r="H1623" s="34"/>
      <c r="I1623" s="34"/>
      <c r="J1623" s="34"/>
      <c r="K1623" s="34"/>
      <c r="L1623" s="34"/>
      <c r="M1623" s="34"/>
      <c r="N1623" s="34"/>
      <c r="O1623" s="34"/>
      <c r="AA1623" s="35"/>
      <c r="AB1623" s="35"/>
      <c r="AC1623" s="34"/>
      <c r="AD1623" s="34"/>
      <c r="AE1623" s="34"/>
    </row>
    <row r="1624" spans="1:31" ht="15" thickBot="1" x14ac:dyDescent="0.4">
      <c r="A1624" s="45"/>
      <c r="B1624" s="45"/>
      <c r="C1624" s="46"/>
      <c r="D1624" s="47"/>
      <c r="E1624" s="47"/>
      <c r="F1624" s="47"/>
      <c r="G1624" s="47"/>
      <c r="H1624" s="47"/>
      <c r="I1624" s="47"/>
      <c r="J1624" s="47"/>
      <c r="K1624" s="47"/>
      <c r="L1624" s="47"/>
      <c r="M1624" s="47"/>
      <c r="N1624" s="47"/>
      <c r="O1624" s="47"/>
      <c r="P1624" s="47"/>
      <c r="Q1624" s="47"/>
      <c r="R1624" s="47"/>
      <c r="S1624" s="47"/>
      <c r="T1624" s="45"/>
      <c r="U1624" s="45"/>
      <c r="V1624" s="45"/>
      <c r="W1624" s="45"/>
      <c r="X1624" s="47"/>
      <c r="Y1624" s="45"/>
      <c r="Z1624" s="45"/>
      <c r="AA1624" s="48"/>
      <c r="AB1624" s="48"/>
      <c r="AC1624" s="47"/>
      <c r="AD1624" s="47"/>
      <c r="AE1624" s="47"/>
    </row>
    <row r="1625" spans="1:31" x14ac:dyDescent="0.35">
      <c r="A1625" s="41"/>
      <c r="B1625" s="41"/>
      <c r="C1625" s="42"/>
      <c r="D1625" s="43"/>
      <c r="E1625" s="43"/>
      <c r="F1625" s="43"/>
      <c r="G1625" s="43"/>
      <c r="H1625" s="43"/>
      <c r="I1625" s="43"/>
      <c r="J1625" s="43"/>
      <c r="K1625" s="43"/>
      <c r="L1625" s="43"/>
      <c r="M1625" s="43"/>
      <c r="N1625" s="43"/>
      <c r="O1625" s="43"/>
      <c r="P1625" s="43"/>
      <c r="Q1625" s="43"/>
      <c r="R1625" s="43"/>
      <c r="S1625" s="43"/>
      <c r="T1625" s="43"/>
      <c r="U1625" s="43"/>
      <c r="V1625" s="41"/>
      <c r="W1625" s="41"/>
      <c r="X1625" s="41"/>
      <c r="Y1625" s="41"/>
      <c r="Z1625" s="41"/>
      <c r="AA1625" s="44"/>
      <c r="AB1625" s="44"/>
      <c r="AC1625" s="43"/>
      <c r="AD1625" s="43"/>
      <c r="AE1625" s="43"/>
    </row>
    <row r="1626" spans="1:31" x14ac:dyDescent="0.35">
      <c r="C1626" s="33"/>
      <c r="D1626" s="34"/>
      <c r="E1626" s="34"/>
      <c r="F1626" s="34"/>
      <c r="G1626" s="34"/>
      <c r="H1626" s="34"/>
      <c r="I1626" s="34"/>
      <c r="J1626" s="34"/>
      <c r="K1626" s="34"/>
      <c r="L1626" s="34"/>
      <c r="M1626" s="34"/>
      <c r="N1626" s="34"/>
      <c r="O1626" s="34"/>
      <c r="AA1626" s="35"/>
      <c r="AB1626" s="35"/>
      <c r="AC1626" s="34"/>
      <c r="AD1626" s="34"/>
      <c r="AE1626" s="34"/>
    </row>
    <row r="1627" spans="1:31" ht="15" thickBot="1" x14ac:dyDescent="0.4">
      <c r="A1627" s="45"/>
      <c r="B1627" s="45"/>
      <c r="C1627" s="46"/>
      <c r="D1627" s="47"/>
      <c r="E1627" s="47"/>
      <c r="F1627" s="47"/>
      <c r="G1627" s="47"/>
      <c r="H1627" s="47"/>
      <c r="I1627" s="47"/>
      <c r="J1627" s="47"/>
      <c r="K1627" s="47"/>
      <c r="L1627" s="47"/>
      <c r="M1627" s="47"/>
      <c r="N1627" s="47"/>
      <c r="O1627" s="47"/>
      <c r="P1627" s="47"/>
      <c r="Q1627" s="47"/>
      <c r="R1627" s="47"/>
      <c r="S1627" s="47"/>
      <c r="T1627" s="45"/>
      <c r="U1627" s="45"/>
      <c r="V1627" s="45"/>
      <c r="W1627" s="45"/>
      <c r="X1627" s="47"/>
      <c r="Y1627" s="45"/>
      <c r="Z1627" s="45"/>
      <c r="AA1627" s="48"/>
      <c r="AB1627" s="48"/>
      <c r="AC1627" s="47"/>
      <c r="AD1627" s="47"/>
      <c r="AE1627" s="47"/>
    </row>
    <row r="1628" spans="1:31" x14ac:dyDescent="0.35">
      <c r="A1628" s="41"/>
      <c r="B1628" s="41"/>
      <c r="C1628" s="42"/>
      <c r="D1628" s="43"/>
      <c r="E1628" s="43"/>
      <c r="F1628" s="43"/>
      <c r="G1628" s="43"/>
      <c r="H1628" s="43"/>
      <c r="I1628" s="43"/>
      <c r="J1628" s="43"/>
      <c r="K1628" s="43"/>
      <c r="L1628" s="43"/>
      <c r="M1628" s="43"/>
      <c r="N1628" s="43"/>
      <c r="O1628" s="43"/>
      <c r="P1628" s="43"/>
      <c r="Q1628" s="43"/>
      <c r="R1628" s="43"/>
      <c r="S1628" s="43"/>
      <c r="T1628" s="43"/>
      <c r="U1628" s="43"/>
      <c r="V1628" s="41"/>
      <c r="W1628" s="41"/>
      <c r="X1628" s="41"/>
      <c r="Y1628" s="41"/>
      <c r="Z1628" s="41"/>
      <c r="AA1628" s="44"/>
      <c r="AB1628" s="44"/>
      <c r="AC1628" s="43"/>
      <c r="AD1628" s="43"/>
      <c r="AE1628" s="43"/>
    </row>
    <row r="1629" spans="1:31" x14ac:dyDescent="0.35">
      <c r="C1629" s="33"/>
      <c r="D1629" s="34"/>
      <c r="E1629" s="34"/>
      <c r="F1629" s="34"/>
      <c r="G1629" s="34"/>
      <c r="H1629" s="34"/>
      <c r="I1629" s="34"/>
      <c r="J1629" s="34"/>
      <c r="K1629" s="34"/>
      <c r="L1629" s="34"/>
      <c r="M1629" s="34"/>
      <c r="N1629" s="34"/>
      <c r="O1629" s="34"/>
      <c r="AA1629" s="35"/>
      <c r="AB1629" s="35"/>
      <c r="AC1629" s="34"/>
      <c r="AD1629" s="34"/>
      <c r="AE1629" s="34"/>
    </row>
    <row r="1630" spans="1:31" ht="15" thickBot="1" x14ac:dyDescent="0.4">
      <c r="A1630" s="45"/>
      <c r="B1630" s="45"/>
      <c r="C1630" s="46"/>
      <c r="D1630" s="47"/>
      <c r="E1630" s="47"/>
      <c r="F1630" s="47"/>
      <c r="G1630" s="47"/>
      <c r="H1630" s="47"/>
      <c r="I1630" s="47"/>
      <c r="J1630" s="47"/>
      <c r="K1630" s="47"/>
      <c r="L1630" s="47"/>
      <c r="M1630" s="47"/>
      <c r="N1630" s="47"/>
      <c r="O1630" s="47"/>
      <c r="P1630" s="47"/>
      <c r="Q1630" s="47"/>
      <c r="R1630" s="47"/>
      <c r="S1630" s="47"/>
      <c r="T1630" s="45"/>
      <c r="U1630" s="45"/>
      <c r="V1630" s="45"/>
      <c r="W1630" s="45"/>
      <c r="X1630" s="47"/>
      <c r="Y1630" s="45"/>
      <c r="Z1630" s="45"/>
      <c r="AA1630" s="48"/>
      <c r="AB1630" s="48"/>
      <c r="AC1630" s="47"/>
      <c r="AD1630" s="47"/>
      <c r="AE1630" s="47"/>
    </row>
    <row r="1631" spans="1:31" x14ac:dyDescent="0.35">
      <c r="A1631" s="41"/>
      <c r="B1631" s="41"/>
      <c r="C1631" s="42"/>
      <c r="D1631" s="43"/>
      <c r="E1631" s="43"/>
      <c r="F1631" s="43"/>
      <c r="G1631" s="43"/>
      <c r="H1631" s="43"/>
      <c r="I1631" s="43"/>
      <c r="J1631" s="43"/>
      <c r="K1631" s="43"/>
      <c r="L1631" s="43"/>
      <c r="M1631" s="43"/>
      <c r="N1631" s="43"/>
      <c r="O1631" s="43"/>
      <c r="P1631" s="43"/>
      <c r="Q1631" s="43"/>
      <c r="R1631" s="43"/>
      <c r="S1631" s="43"/>
      <c r="T1631" s="43"/>
      <c r="U1631" s="43"/>
      <c r="V1631" s="41"/>
      <c r="W1631" s="41"/>
      <c r="X1631" s="41"/>
      <c r="Y1631" s="41"/>
      <c r="Z1631" s="41"/>
      <c r="AA1631" s="44"/>
      <c r="AB1631" s="44"/>
      <c r="AC1631" s="43"/>
      <c r="AD1631" s="43"/>
      <c r="AE1631" s="43"/>
    </row>
    <row r="1632" spans="1:31" x14ac:dyDescent="0.35">
      <c r="C1632" s="33"/>
      <c r="D1632" s="34"/>
      <c r="E1632" s="34"/>
      <c r="F1632" s="34"/>
      <c r="G1632" s="34"/>
      <c r="H1632" s="34"/>
      <c r="I1632" s="34"/>
      <c r="J1632" s="34"/>
      <c r="K1632" s="34"/>
      <c r="L1632" s="34"/>
      <c r="M1632" s="34"/>
      <c r="N1632" s="34"/>
      <c r="O1632" s="34"/>
      <c r="AA1632" s="35"/>
      <c r="AB1632" s="35"/>
      <c r="AC1632" s="34"/>
      <c r="AD1632" s="34"/>
      <c r="AE1632" s="34"/>
    </row>
    <row r="1633" spans="1:31" ht="15" thickBot="1" x14ac:dyDescent="0.4">
      <c r="A1633" s="45"/>
      <c r="B1633" s="45"/>
      <c r="C1633" s="46"/>
      <c r="D1633" s="47"/>
      <c r="E1633" s="47"/>
      <c r="F1633" s="47"/>
      <c r="G1633" s="47"/>
      <c r="H1633" s="47"/>
      <c r="I1633" s="47"/>
      <c r="J1633" s="47"/>
      <c r="K1633" s="47"/>
      <c r="L1633" s="47"/>
      <c r="M1633" s="47"/>
      <c r="N1633" s="47"/>
      <c r="O1633" s="47"/>
      <c r="P1633" s="47"/>
      <c r="Q1633" s="47"/>
      <c r="R1633" s="47"/>
      <c r="S1633" s="47"/>
      <c r="T1633" s="45"/>
      <c r="U1633" s="45"/>
      <c r="V1633" s="45"/>
      <c r="W1633" s="45"/>
      <c r="X1633" s="47"/>
      <c r="Y1633" s="45"/>
      <c r="Z1633" s="45"/>
      <c r="AA1633" s="48"/>
      <c r="AB1633" s="48"/>
      <c r="AC1633" s="47"/>
      <c r="AD1633" s="47"/>
      <c r="AE1633" s="47"/>
    </row>
    <row r="1634" spans="1:31" x14ac:dyDescent="0.35">
      <c r="A1634" s="41"/>
      <c r="B1634" s="41"/>
      <c r="C1634" s="42"/>
      <c r="D1634" s="43"/>
      <c r="E1634" s="43"/>
      <c r="F1634" s="43"/>
      <c r="G1634" s="43"/>
      <c r="H1634" s="43"/>
      <c r="I1634" s="43"/>
      <c r="J1634" s="43"/>
      <c r="K1634" s="43"/>
      <c r="L1634" s="43"/>
      <c r="M1634" s="43"/>
      <c r="N1634" s="43"/>
      <c r="O1634" s="43"/>
      <c r="P1634" s="43"/>
      <c r="Q1634" s="43"/>
      <c r="R1634" s="43"/>
      <c r="S1634" s="43"/>
      <c r="T1634" s="43"/>
      <c r="U1634" s="43"/>
      <c r="V1634" s="41"/>
      <c r="W1634" s="41"/>
      <c r="X1634" s="41"/>
      <c r="Y1634" s="41"/>
      <c r="Z1634" s="41"/>
      <c r="AA1634" s="44"/>
      <c r="AB1634" s="44"/>
      <c r="AC1634" s="43"/>
      <c r="AD1634" s="43"/>
      <c r="AE1634" s="43"/>
    </row>
    <row r="1635" spans="1:31" x14ac:dyDescent="0.35">
      <c r="C1635" s="33"/>
      <c r="D1635" s="34"/>
      <c r="E1635" s="34"/>
      <c r="F1635" s="34"/>
      <c r="G1635" s="34"/>
      <c r="H1635" s="34"/>
      <c r="I1635" s="34"/>
      <c r="J1635" s="34"/>
      <c r="K1635" s="34"/>
      <c r="L1635" s="34"/>
      <c r="M1635" s="34"/>
      <c r="N1635" s="34"/>
      <c r="O1635" s="34"/>
      <c r="AA1635" s="35"/>
      <c r="AB1635" s="35"/>
      <c r="AC1635" s="34"/>
      <c r="AD1635" s="34"/>
      <c r="AE1635" s="34"/>
    </row>
    <row r="1636" spans="1:31" ht="15" thickBot="1" x14ac:dyDescent="0.4">
      <c r="A1636" s="45"/>
      <c r="B1636" s="45"/>
      <c r="C1636" s="46"/>
      <c r="D1636" s="47"/>
      <c r="E1636" s="47"/>
      <c r="F1636" s="47"/>
      <c r="G1636" s="47"/>
      <c r="H1636" s="47"/>
      <c r="I1636" s="47"/>
      <c r="J1636" s="47"/>
      <c r="K1636" s="47"/>
      <c r="L1636" s="47"/>
      <c r="M1636" s="47"/>
      <c r="N1636" s="47"/>
      <c r="O1636" s="47"/>
      <c r="P1636" s="47"/>
      <c r="Q1636" s="47"/>
      <c r="R1636" s="47"/>
      <c r="S1636" s="47"/>
      <c r="T1636" s="45"/>
      <c r="U1636" s="45"/>
      <c r="V1636" s="45"/>
      <c r="W1636" s="45"/>
      <c r="X1636" s="47"/>
      <c r="Y1636" s="45"/>
      <c r="Z1636" s="45"/>
      <c r="AA1636" s="48"/>
      <c r="AB1636" s="48"/>
      <c r="AC1636" s="47"/>
      <c r="AD1636" s="47"/>
      <c r="AE1636" s="47"/>
    </row>
    <row r="1637" spans="1:31" x14ac:dyDescent="0.35">
      <c r="A1637" s="41"/>
      <c r="B1637" s="41"/>
      <c r="C1637" s="42"/>
      <c r="D1637" s="43"/>
      <c r="E1637" s="43"/>
      <c r="F1637" s="43"/>
      <c r="G1637" s="43"/>
      <c r="H1637" s="43"/>
      <c r="I1637" s="43"/>
      <c r="J1637" s="43"/>
      <c r="K1637" s="43"/>
      <c r="L1637" s="43"/>
      <c r="M1637" s="43"/>
      <c r="N1637" s="43"/>
      <c r="O1637" s="43"/>
      <c r="P1637" s="43"/>
      <c r="Q1637" s="43"/>
      <c r="R1637" s="43"/>
      <c r="S1637" s="43"/>
      <c r="T1637" s="43"/>
      <c r="U1637" s="43"/>
      <c r="V1637" s="41"/>
      <c r="W1637" s="41"/>
      <c r="X1637" s="41"/>
      <c r="Y1637" s="41"/>
      <c r="Z1637" s="41"/>
      <c r="AA1637" s="44"/>
      <c r="AB1637" s="44"/>
      <c r="AC1637" s="43"/>
      <c r="AD1637" s="43"/>
      <c r="AE1637" s="43"/>
    </row>
    <row r="1638" spans="1:31" x14ac:dyDescent="0.35">
      <c r="C1638" s="33"/>
      <c r="D1638" s="34"/>
      <c r="E1638" s="34"/>
      <c r="F1638" s="34"/>
      <c r="G1638" s="34"/>
      <c r="H1638" s="34"/>
      <c r="I1638" s="34"/>
      <c r="J1638" s="34"/>
      <c r="K1638" s="34"/>
      <c r="L1638" s="34"/>
      <c r="M1638" s="34"/>
      <c r="N1638" s="34"/>
      <c r="O1638" s="34"/>
      <c r="AA1638" s="35"/>
      <c r="AB1638" s="35"/>
      <c r="AC1638" s="34"/>
      <c r="AD1638" s="34"/>
      <c r="AE1638" s="34"/>
    </row>
    <row r="1639" spans="1:31" ht="15" thickBot="1" x14ac:dyDescent="0.4">
      <c r="A1639" s="45"/>
      <c r="B1639" s="45"/>
      <c r="C1639" s="46"/>
      <c r="D1639" s="47"/>
      <c r="E1639" s="47"/>
      <c r="F1639" s="47"/>
      <c r="G1639" s="47"/>
      <c r="H1639" s="47"/>
      <c r="I1639" s="47"/>
      <c r="J1639" s="47"/>
      <c r="K1639" s="47"/>
      <c r="L1639" s="47"/>
      <c r="M1639" s="47"/>
      <c r="N1639" s="47"/>
      <c r="O1639" s="47"/>
      <c r="P1639" s="47"/>
      <c r="Q1639" s="47"/>
      <c r="R1639" s="47"/>
      <c r="S1639" s="47"/>
      <c r="T1639" s="45"/>
      <c r="U1639" s="45"/>
      <c r="V1639" s="45"/>
      <c r="W1639" s="45"/>
      <c r="X1639" s="47"/>
      <c r="Y1639" s="45"/>
      <c r="Z1639" s="45"/>
      <c r="AA1639" s="48"/>
      <c r="AB1639" s="48"/>
      <c r="AC1639" s="47"/>
      <c r="AD1639" s="47"/>
      <c r="AE1639" s="47"/>
    </row>
    <row r="1640" spans="1:31" x14ac:dyDescent="0.35">
      <c r="A1640" s="41"/>
      <c r="B1640" s="41"/>
      <c r="C1640" s="42"/>
      <c r="D1640" s="43"/>
      <c r="E1640" s="43"/>
      <c r="F1640" s="43"/>
      <c r="G1640" s="43"/>
      <c r="H1640" s="43"/>
      <c r="I1640" s="43"/>
      <c r="J1640" s="43"/>
      <c r="K1640" s="43"/>
      <c r="L1640" s="43"/>
      <c r="M1640" s="43"/>
      <c r="N1640" s="43"/>
      <c r="O1640" s="43"/>
      <c r="P1640" s="43"/>
      <c r="Q1640" s="43"/>
      <c r="R1640" s="43"/>
      <c r="S1640" s="43"/>
      <c r="T1640" s="43"/>
      <c r="U1640" s="43"/>
      <c r="V1640" s="41"/>
      <c r="W1640" s="41"/>
      <c r="X1640" s="41"/>
      <c r="Y1640" s="41"/>
      <c r="Z1640" s="41"/>
      <c r="AA1640" s="44"/>
      <c r="AB1640" s="44"/>
      <c r="AC1640" s="43"/>
      <c r="AD1640" s="43"/>
      <c r="AE1640" s="43"/>
    </row>
    <row r="1641" spans="1:31" x14ac:dyDescent="0.35">
      <c r="C1641" s="33"/>
      <c r="D1641" s="34"/>
      <c r="E1641" s="34"/>
      <c r="F1641" s="34"/>
      <c r="G1641" s="34"/>
      <c r="H1641" s="34"/>
      <c r="I1641" s="34"/>
      <c r="J1641" s="34"/>
      <c r="K1641" s="34"/>
      <c r="L1641" s="34"/>
      <c r="M1641" s="34"/>
      <c r="N1641" s="34"/>
      <c r="O1641" s="34"/>
      <c r="AA1641" s="35"/>
      <c r="AB1641" s="35"/>
      <c r="AC1641" s="34"/>
      <c r="AD1641" s="34"/>
      <c r="AE1641" s="34"/>
    </row>
    <row r="1642" spans="1:31" ht="15" thickBot="1" x14ac:dyDescent="0.4">
      <c r="A1642" s="45"/>
      <c r="B1642" s="45"/>
      <c r="C1642" s="46"/>
      <c r="D1642" s="47"/>
      <c r="E1642" s="47"/>
      <c r="F1642" s="47"/>
      <c r="G1642" s="47"/>
      <c r="H1642" s="47"/>
      <c r="I1642" s="47"/>
      <c r="J1642" s="47"/>
      <c r="K1642" s="47"/>
      <c r="L1642" s="47"/>
      <c r="M1642" s="47"/>
      <c r="N1642" s="47"/>
      <c r="O1642" s="47"/>
      <c r="P1642" s="47"/>
      <c r="Q1642" s="47"/>
      <c r="R1642" s="47"/>
      <c r="S1642" s="47"/>
      <c r="T1642" s="45"/>
      <c r="U1642" s="45"/>
      <c r="V1642" s="45"/>
      <c r="W1642" s="45"/>
      <c r="X1642" s="47"/>
      <c r="Y1642" s="45"/>
      <c r="Z1642" s="45"/>
      <c r="AA1642" s="48"/>
      <c r="AB1642" s="48"/>
      <c r="AC1642" s="47"/>
      <c r="AD1642" s="47"/>
      <c r="AE1642" s="47"/>
    </row>
    <row r="1643" spans="1:31" x14ac:dyDescent="0.35">
      <c r="A1643" s="41"/>
      <c r="B1643" s="41"/>
      <c r="C1643" s="42"/>
      <c r="D1643" s="43"/>
      <c r="E1643" s="43"/>
      <c r="F1643" s="43"/>
      <c r="G1643" s="43"/>
      <c r="H1643" s="43"/>
      <c r="I1643" s="43"/>
      <c r="J1643" s="43"/>
      <c r="K1643" s="43"/>
      <c r="L1643" s="43"/>
      <c r="M1643" s="43"/>
      <c r="N1643" s="43"/>
      <c r="O1643" s="43"/>
      <c r="P1643" s="43"/>
      <c r="Q1643" s="43"/>
      <c r="R1643" s="43"/>
      <c r="S1643" s="43"/>
      <c r="T1643" s="43"/>
      <c r="U1643" s="43"/>
      <c r="V1643" s="41"/>
      <c r="W1643" s="41"/>
      <c r="X1643" s="41"/>
      <c r="Y1643" s="41"/>
      <c r="Z1643" s="41"/>
      <c r="AA1643" s="44"/>
      <c r="AB1643" s="44"/>
      <c r="AC1643" s="43"/>
      <c r="AD1643" s="43"/>
      <c r="AE1643" s="43"/>
    </row>
    <row r="1644" spans="1:31" x14ac:dyDescent="0.35">
      <c r="C1644" s="33"/>
      <c r="D1644" s="34"/>
      <c r="E1644" s="34"/>
      <c r="F1644" s="34"/>
      <c r="G1644" s="34"/>
      <c r="H1644" s="34"/>
      <c r="I1644" s="34"/>
      <c r="J1644" s="34"/>
      <c r="K1644" s="34"/>
      <c r="L1644" s="34"/>
      <c r="M1644" s="34"/>
      <c r="N1644" s="34"/>
      <c r="O1644" s="34"/>
      <c r="AA1644" s="35"/>
      <c r="AB1644" s="35"/>
      <c r="AC1644" s="34"/>
      <c r="AD1644" s="34"/>
      <c r="AE1644" s="34"/>
    </row>
    <row r="1645" spans="1:31" ht="15" thickBot="1" x14ac:dyDescent="0.4">
      <c r="A1645" s="45"/>
      <c r="B1645" s="45"/>
      <c r="C1645" s="46"/>
      <c r="D1645" s="47"/>
      <c r="E1645" s="47"/>
      <c r="F1645" s="47"/>
      <c r="G1645" s="47"/>
      <c r="H1645" s="47"/>
      <c r="I1645" s="47"/>
      <c r="J1645" s="47"/>
      <c r="K1645" s="47"/>
      <c r="L1645" s="47"/>
      <c r="M1645" s="47"/>
      <c r="N1645" s="47"/>
      <c r="O1645" s="47"/>
      <c r="P1645" s="47"/>
      <c r="Q1645" s="47"/>
      <c r="R1645" s="47"/>
      <c r="S1645" s="47"/>
      <c r="T1645" s="45"/>
      <c r="U1645" s="45"/>
      <c r="V1645" s="45"/>
      <c r="W1645" s="45"/>
      <c r="X1645" s="47"/>
      <c r="Y1645" s="45"/>
      <c r="Z1645" s="45"/>
      <c r="AA1645" s="48"/>
      <c r="AB1645" s="48"/>
      <c r="AC1645" s="47"/>
      <c r="AD1645" s="47"/>
      <c r="AE1645" s="47"/>
    </row>
    <row r="1646" spans="1:31" x14ac:dyDescent="0.35">
      <c r="A1646" s="41"/>
      <c r="B1646" s="41"/>
      <c r="C1646" s="42"/>
      <c r="D1646" s="43"/>
      <c r="E1646" s="43"/>
      <c r="F1646" s="43"/>
      <c r="G1646" s="43"/>
      <c r="H1646" s="43"/>
      <c r="I1646" s="43"/>
      <c r="J1646" s="43"/>
      <c r="K1646" s="43"/>
      <c r="L1646" s="43"/>
      <c r="M1646" s="43"/>
      <c r="N1646" s="43"/>
      <c r="O1646" s="43"/>
      <c r="P1646" s="43"/>
      <c r="Q1646" s="43"/>
      <c r="R1646" s="43"/>
      <c r="S1646" s="43"/>
      <c r="T1646" s="43"/>
      <c r="U1646" s="43"/>
      <c r="V1646" s="41"/>
      <c r="W1646" s="41"/>
      <c r="X1646" s="41"/>
      <c r="Y1646" s="41"/>
      <c r="Z1646" s="41"/>
      <c r="AA1646" s="44"/>
      <c r="AB1646" s="44"/>
      <c r="AC1646" s="43"/>
      <c r="AD1646" s="43"/>
      <c r="AE1646" s="43"/>
    </row>
    <row r="1647" spans="1:31" x14ac:dyDescent="0.35">
      <c r="C1647" s="33"/>
      <c r="D1647" s="34"/>
      <c r="E1647" s="34"/>
      <c r="F1647" s="34"/>
      <c r="G1647" s="34"/>
      <c r="H1647" s="34"/>
      <c r="I1647" s="34"/>
      <c r="J1647" s="34"/>
      <c r="K1647" s="34"/>
      <c r="L1647" s="34"/>
      <c r="M1647" s="34"/>
      <c r="N1647" s="34"/>
      <c r="O1647" s="34"/>
      <c r="AA1647" s="35"/>
      <c r="AB1647" s="35"/>
      <c r="AC1647" s="34"/>
      <c r="AD1647" s="34"/>
      <c r="AE1647" s="34"/>
    </row>
    <row r="1648" spans="1:31" ht="15" thickBot="1" x14ac:dyDescent="0.4">
      <c r="A1648" s="45"/>
      <c r="B1648" s="45"/>
      <c r="C1648" s="46"/>
      <c r="D1648" s="47"/>
      <c r="E1648" s="47"/>
      <c r="F1648" s="47"/>
      <c r="G1648" s="47"/>
      <c r="H1648" s="47"/>
      <c r="I1648" s="47"/>
      <c r="J1648" s="47"/>
      <c r="K1648" s="47"/>
      <c r="L1648" s="47"/>
      <c r="M1648" s="47"/>
      <c r="N1648" s="47"/>
      <c r="O1648" s="47"/>
      <c r="P1648" s="47"/>
      <c r="Q1648" s="47"/>
      <c r="R1648" s="47"/>
      <c r="S1648" s="47"/>
      <c r="T1648" s="45"/>
      <c r="U1648" s="45"/>
      <c r="V1648" s="45"/>
      <c r="W1648" s="45"/>
      <c r="X1648" s="47"/>
      <c r="Y1648" s="45"/>
      <c r="Z1648" s="45"/>
      <c r="AA1648" s="48"/>
      <c r="AB1648" s="48"/>
      <c r="AC1648" s="47"/>
      <c r="AD1648" s="47"/>
      <c r="AE1648" s="47"/>
    </row>
    <row r="1649" spans="1:31" x14ac:dyDescent="0.35">
      <c r="A1649" s="41"/>
      <c r="B1649" s="41"/>
      <c r="C1649" s="42"/>
      <c r="D1649" s="43"/>
      <c r="E1649" s="43"/>
      <c r="F1649" s="43"/>
      <c r="G1649" s="43"/>
      <c r="H1649" s="43"/>
      <c r="I1649" s="43"/>
      <c r="J1649" s="43"/>
      <c r="K1649" s="43"/>
      <c r="L1649" s="43"/>
      <c r="M1649" s="43"/>
      <c r="N1649" s="43"/>
      <c r="O1649" s="43"/>
      <c r="P1649" s="43"/>
      <c r="Q1649" s="43"/>
      <c r="R1649" s="43"/>
      <c r="S1649" s="43"/>
      <c r="T1649" s="43"/>
      <c r="U1649" s="43"/>
      <c r="V1649" s="41"/>
      <c r="W1649" s="41"/>
      <c r="X1649" s="41"/>
      <c r="Y1649" s="41"/>
      <c r="Z1649" s="41"/>
      <c r="AA1649" s="44"/>
      <c r="AB1649" s="44"/>
      <c r="AC1649" s="43"/>
      <c r="AD1649" s="43"/>
      <c r="AE1649" s="43"/>
    </row>
    <row r="1650" spans="1:31" x14ac:dyDescent="0.35">
      <c r="C1650" s="33"/>
      <c r="D1650" s="34"/>
      <c r="E1650" s="34"/>
      <c r="F1650" s="34"/>
      <c r="G1650" s="34"/>
      <c r="H1650" s="34"/>
      <c r="I1650" s="34"/>
      <c r="J1650" s="34"/>
      <c r="K1650" s="34"/>
      <c r="L1650" s="34"/>
      <c r="M1650" s="34"/>
      <c r="N1650" s="34"/>
      <c r="O1650" s="34"/>
      <c r="AA1650" s="35"/>
      <c r="AB1650" s="35"/>
      <c r="AC1650" s="34"/>
      <c r="AD1650" s="34"/>
      <c r="AE1650" s="34"/>
    </row>
    <row r="1651" spans="1:31" ht="15" thickBot="1" x14ac:dyDescent="0.4">
      <c r="A1651" s="45"/>
      <c r="B1651" s="45"/>
      <c r="C1651" s="46"/>
      <c r="D1651" s="47"/>
      <c r="E1651" s="47"/>
      <c r="F1651" s="47"/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  <c r="S1651" s="47"/>
      <c r="T1651" s="45"/>
      <c r="U1651" s="45"/>
      <c r="V1651" s="45"/>
      <c r="W1651" s="45"/>
      <c r="X1651" s="47"/>
      <c r="Y1651" s="45"/>
      <c r="Z1651" s="45"/>
      <c r="AA1651" s="48"/>
      <c r="AB1651" s="48"/>
      <c r="AC1651" s="47"/>
      <c r="AD1651" s="47"/>
      <c r="AE1651" s="47"/>
    </row>
    <row r="1652" spans="1:31" x14ac:dyDescent="0.35">
      <c r="A1652" s="41"/>
      <c r="B1652" s="41"/>
      <c r="C1652" s="42"/>
      <c r="D1652" s="43"/>
      <c r="E1652" s="43"/>
      <c r="F1652" s="43"/>
      <c r="G1652" s="43"/>
      <c r="H1652" s="43"/>
      <c r="I1652" s="43"/>
      <c r="J1652" s="43"/>
      <c r="K1652" s="43"/>
      <c r="L1652" s="43"/>
      <c r="M1652" s="43"/>
      <c r="N1652" s="43"/>
      <c r="O1652" s="43"/>
      <c r="P1652" s="43"/>
      <c r="Q1652" s="43"/>
      <c r="R1652" s="43"/>
      <c r="S1652" s="43"/>
      <c r="T1652" s="43"/>
      <c r="U1652" s="43"/>
      <c r="V1652" s="41"/>
      <c r="W1652" s="41"/>
      <c r="X1652" s="41"/>
      <c r="Y1652" s="41"/>
      <c r="Z1652" s="41"/>
      <c r="AA1652" s="44"/>
      <c r="AB1652" s="44"/>
      <c r="AC1652" s="43"/>
      <c r="AD1652" s="43"/>
      <c r="AE1652" s="43"/>
    </row>
    <row r="1653" spans="1:31" x14ac:dyDescent="0.35">
      <c r="C1653" s="33"/>
      <c r="D1653" s="34"/>
      <c r="E1653" s="34"/>
      <c r="F1653" s="34"/>
      <c r="G1653" s="34"/>
      <c r="H1653" s="34"/>
      <c r="I1653" s="34"/>
      <c r="J1653" s="34"/>
      <c r="K1653" s="34"/>
      <c r="L1653" s="34"/>
      <c r="M1653" s="34"/>
      <c r="N1653" s="34"/>
      <c r="O1653" s="34"/>
      <c r="AA1653" s="35"/>
      <c r="AB1653" s="35"/>
      <c r="AC1653" s="34"/>
      <c r="AD1653" s="34"/>
      <c r="AE1653" s="34"/>
    </row>
    <row r="1654" spans="1:31" ht="15" thickBot="1" x14ac:dyDescent="0.4">
      <c r="A1654" s="45"/>
      <c r="B1654" s="45"/>
      <c r="C1654" s="46"/>
      <c r="D1654" s="47"/>
      <c r="E1654" s="47"/>
      <c r="F1654" s="47"/>
      <c r="G1654" s="47"/>
      <c r="H1654" s="47"/>
      <c r="I1654" s="47"/>
      <c r="J1654" s="47"/>
      <c r="K1654" s="47"/>
      <c r="L1654" s="47"/>
      <c r="M1654" s="47"/>
      <c r="N1654" s="47"/>
      <c r="O1654" s="47"/>
      <c r="P1654" s="47"/>
      <c r="Q1654" s="47"/>
      <c r="R1654" s="47"/>
      <c r="S1654" s="47"/>
      <c r="T1654" s="45"/>
      <c r="U1654" s="45"/>
      <c r="V1654" s="45"/>
      <c r="W1654" s="45"/>
      <c r="X1654" s="47"/>
      <c r="Y1654" s="45"/>
      <c r="Z1654" s="45"/>
      <c r="AA1654" s="48"/>
      <c r="AB1654" s="48"/>
      <c r="AC1654" s="47"/>
      <c r="AD1654" s="47"/>
      <c r="AE1654" s="47"/>
    </row>
    <row r="1655" spans="1:31" x14ac:dyDescent="0.35">
      <c r="A1655" s="41"/>
      <c r="B1655" s="41"/>
      <c r="C1655" s="42"/>
      <c r="D1655" s="43"/>
      <c r="E1655" s="43"/>
      <c r="F1655" s="43"/>
      <c r="G1655" s="43"/>
      <c r="H1655" s="43"/>
      <c r="I1655" s="43"/>
      <c r="J1655" s="43"/>
      <c r="K1655" s="43"/>
      <c r="L1655" s="43"/>
      <c r="M1655" s="43"/>
      <c r="N1655" s="43"/>
      <c r="O1655" s="43"/>
      <c r="P1655" s="43"/>
      <c r="Q1655" s="43"/>
      <c r="R1655" s="43"/>
      <c r="S1655" s="43"/>
      <c r="T1655" s="43"/>
      <c r="U1655" s="43"/>
      <c r="V1655" s="41"/>
      <c r="W1655" s="41"/>
      <c r="X1655" s="41"/>
      <c r="Y1655" s="41"/>
      <c r="Z1655" s="41"/>
      <c r="AA1655" s="44"/>
      <c r="AB1655" s="44"/>
      <c r="AC1655" s="43"/>
      <c r="AD1655" s="43"/>
      <c r="AE1655" s="43"/>
    </row>
    <row r="1656" spans="1:31" x14ac:dyDescent="0.35">
      <c r="C1656" s="33"/>
      <c r="D1656" s="34"/>
      <c r="E1656" s="34"/>
      <c r="F1656" s="34"/>
      <c r="G1656" s="34"/>
      <c r="H1656" s="34"/>
      <c r="I1656" s="34"/>
      <c r="J1656" s="34"/>
      <c r="K1656" s="34"/>
      <c r="L1656" s="34"/>
      <c r="M1656" s="34"/>
      <c r="N1656" s="34"/>
      <c r="O1656" s="34"/>
      <c r="AA1656" s="35"/>
      <c r="AB1656" s="35"/>
      <c r="AC1656" s="34"/>
      <c r="AD1656" s="34"/>
      <c r="AE1656" s="34"/>
    </row>
    <row r="1657" spans="1:31" ht="15" thickBot="1" x14ac:dyDescent="0.4">
      <c r="A1657" s="45"/>
      <c r="B1657" s="45"/>
      <c r="C1657" s="46"/>
      <c r="D1657" s="47"/>
      <c r="E1657" s="47"/>
      <c r="F1657" s="47"/>
      <c r="G1657" s="47"/>
      <c r="H1657" s="47"/>
      <c r="I1657" s="47"/>
      <c r="J1657" s="47"/>
      <c r="K1657" s="47"/>
      <c r="L1657" s="47"/>
      <c r="M1657" s="47"/>
      <c r="N1657" s="47"/>
      <c r="O1657" s="47"/>
      <c r="P1657" s="47"/>
      <c r="Q1657" s="47"/>
      <c r="R1657" s="47"/>
      <c r="S1657" s="47"/>
      <c r="T1657" s="45"/>
      <c r="U1657" s="45"/>
      <c r="V1657" s="45"/>
      <c r="W1657" s="45"/>
      <c r="X1657" s="47"/>
      <c r="Y1657" s="45"/>
      <c r="Z1657" s="45"/>
      <c r="AA1657" s="48"/>
      <c r="AB1657" s="48"/>
      <c r="AC1657" s="47"/>
      <c r="AD1657" s="47"/>
      <c r="AE1657" s="47"/>
    </row>
    <row r="1658" spans="1:31" x14ac:dyDescent="0.35">
      <c r="A1658" s="41"/>
      <c r="B1658" s="41"/>
      <c r="C1658" s="42"/>
      <c r="D1658" s="43"/>
      <c r="E1658" s="43"/>
      <c r="F1658" s="43"/>
      <c r="G1658" s="43"/>
      <c r="H1658" s="43"/>
      <c r="I1658" s="43"/>
      <c r="J1658" s="43"/>
      <c r="K1658" s="43"/>
      <c r="L1658" s="43"/>
      <c r="M1658" s="43"/>
      <c r="N1658" s="43"/>
      <c r="O1658" s="43"/>
      <c r="P1658" s="43"/>
      <c r="Q1658" s="43"/>
      <c r="R1658" s="43"/>
      <c r="S1658" s="43"/>
      <c r="T1658" s="43"/>
      <c r="U1658" s="43"/>
      <c r="V1658" s="41"/>
      <c r="W1658" s="41"/>
      <c r="X1658" s="41"/>
      <c r="Y1658" s="41"/>
      <c r="Z1658" s="41"/>
      <c r="AA1658" s="44"/>
      <c r="AB1658" s="44"/>
      <c r="AC1658" s="43"/>
      <c r="AD1658" s="43"/>
      <c r="AE1658" s="43"/>
    </row>
    <row r="1659" spans="1:31" x14ac:dyDescent="0.35">
      <c r="C1659" s="33"/>
      <c r="D1659" s="34"/>
      <c r="E1659" s="34"/>
      <c r="F1659" s="34"/>
      <c r="G1659" s="34"/>
      <c r="H1659" s="34"/>
      <c r="I1659" s="34"/>
      <c r="J1659" s="34"/>
      <c r="K1659" s="34"/>
      <c r="L1659" s="34"/>
      <c r="M1659" s="34"/>
      <c r="N1659" s="34"/>
      <c r="O1659" s="34"/>
      <c r="AA1659" s="35"/>
      <c r="AB1659" s="35"/>
      <c r="AC1659" s="34"/>
      <c r="AD1659" s="34"/>
      <c r="AE1659" s="34"/>
    </row>
    <row r="1660" spans="1:31" ht="15" thickBot="1" x14ac:dyDescent="0.4">
      <c r="A1660" s="45"/>
      <c r="B1660" s="45"/>
      <c r="C1660" s="46"/>
      <c r="D1660" s="47"/>
      <c r="E1660" s="47"/>
      <c r="F1660" s="47"/>
      <c r="G1660" s="47"/>
      <c r="H1660" s="47"/>
      <c r="I1660" s="47"/>
      <c r="J1660" s="47"/>
      <c r="K1660" s="47"/>
      <c r="L1660" s="47"/>
      <c r="M1660" s="47"/>
      <c r="N1660" s="47"/>
      <c r="O1660" s="47"/>
      <c r="P1660" s="47"/>
      <c r="Q1660" s="47"/>
      <c r="R1660" s="47"/>
      <c r="S1660" s="47"/>
      <c r="T1660" s="45"/>
      <c r="U1660" s="45"/>
      <c r="V1660" s="45"/>
      <c r="W1660" s="45"/>
      <c r="X1660" s="47"/>
      <c r="Y1660" s="45"/>
      <c r="Z1660" s="45"/>
      <c r="AA1660" s="48"/>
      <c r="AB1660" s="48"/>
      <c r="AC1660" s="47"/>
      <c r="AD1660" s="47"/>
      <c r="AE1660" s="47"/>
    </row>
    <row r="1661" spans="1:31" x14ac:dyDescent="0.35">
      <c r="A1661" s="41"/>
      <c r="B1661" s="41"/>
      <c r="C1661" s="42"/>
      <c r="D1661" s="43"/>
      <c r="E1661" s="43"/>
      <c r="F1661" s="43"/>
      <c r="G1661" s="43"/>
      <c r="H1661" s="43"/>
      <c r="I1661" s="43"/>
      <c r="J1661" s="43"/>
      <c r="K1661" s="43"/>
      <c r="L1661" s="43"/>
      <c r="M1661" s="43"/>
      <c r="N1661" s="43"/>
      <c r="O1661" s="43"/>
      <c r="P1661" s="43"/>
      <c r="Q1661" s="43"/>
      <c r="R1661" s="43"/>
      <c r="S1661" s="43"/>
      <c r="T1661" s="43"/>
      <c r="U1661" s="43"/>
      <c r="V1661" s="41"/>
      <c r="W1661" s="41"/>
      <c r="X1661" s="41"/>
      <c r="Y1661" s="41"/>
      <c r="Z1661" s="41"/>
      <c r="AA1661" s="44"/>
      <c r="AB1661" s="44"/>
      <c r="AC1661" s="43"/>
      <c r="AD1661" s="43"/>
      <c r="AE1661" s="43"/>
    </row>
    <row r="1662" spans="1:31" x14ac:dyDescent="0.35">
      <c r="C1662" s="33"/>
      <c r="D1662" s="34"/>
      <c r="E1662" s="34"/>
      <c r="F1662" s="34"/>
      <c r="G1662" s="34"/>
      <c r="H1662" s="34"/>
      <c r="I1662" s="34"/>
      <c r="J1662" s="34"/>
      <c r="K1662" s="34"/>
      <c r="L1662" s="34"/>
      <c r="M1662" s="34"/>
      <c r="N1662" s="34"/>
      <c r="O1662" s="34"/>
      <c r="AA1662" s="35"/>
      <c r="AB1662" s="35"/>
      <c r="AC1662" s="34"/>
      <c r="AD1662" s="34"/>
      <c r="AE1662" s="34"/>
    </row>
    <row r="1663" spans="1:31" ht="15" thickBot="1" x14ac:dyDescent="0.4">
      <c r="A1663" s="45"/>
      <c r="B1663" s="45"/>
      <c r="C1663" s="46"/>
      <c r="D1663" s="47"/>
      <c r="E1663" s="47"/>
      <c r="F1663" s="47"/>
      <c r="G1663" s="47"/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R1663" s="47"/>
      <c r="S1663" s="47"/>
      <c r="T1663" s="45"/>
      <c r="U1663" s="45"/>
      <c r="V1663" s="45"/>
      <c r="W1663" s="45"/>
      <c r="X1663" s="47"/>
      <c r="Y1663" s="45"/>
      <c r="Z1663" s="45"/>
      <c r="AA1663" s="48"/>
      <c r="AB1663" s="48"/>
      <c r="AC1663" s="47"/>
      <c r="AD1663" s="47"/>
      <c r="AE1663" s="47"/>
    </row>
    <row r="1664" spans="1:31" x14ac:dyDescent="0.35">
      <c r="A1664" s="41"/>
      <c r="B1664" s="41"/>
      <c r="C1664" s="42"/>
      <c r="D1664" s="43"/>
      <c r="E1664" s="43"/>
      <c r="F1664" s="43"/>
      <c r="G1664" s="43"/>
      <c r="H1664" s="43"/>
      <c r="I1664" s="43"/>
      <c r="J1664" s="43"/>
      <c r="K1664" s="43"/>
      <c r="L1664" s="43"/>
      <c r="M1664" s="43"/>
      <c r="N1664" s="43"/>
      <c r="O1664" s="43"/>
      <c r="P1664" s="43"/>
      <c r="Q1664" s="43"/>
      <c r="R1664" s="43"/>
      <c r="S1664" s="43"/>
      <c r="T1664" s="43"/>
      <c r="U1664" s="43"/>
      <c r="V1664" s="41"/>
      <c r="W1664" s="41"/>
      <c r="X1664" s="41"/>
      <c r="Y1664" s="41"/>
      <c r="Z1664" s="41"/>
      <c r="AA1664" s="44"/>
      <c r="AB1664" s="44"/>
      <c r="AC1664" s="43"/>
      <c r="AD1664" s="43"/>
      <c r="AE1664" s="43"/>
    </row>
    <row r="1665" spans="1:31" x14ac:dyDescent="0.35">
      <c r="C1665" s="33"/>
      <c r="D1665" s="34"/>
      <c r="E1665" s="34"/>
      <c r="F1665" s="34"/>
      <c r="G1665" s="34"/>
      <c r="H1665" s="34"/>
      <c r="I1665" s="34"/>
      <c r="J1665" s="34"/>
      <c r="K1665" s="34"/>
      <c r="L1665" s="34"/>
      <c r="M1665" s="34"/>
      <c r="N1665" s="34"/>
      <c r="O1665" s="34"/>
      <c r="AA1665" s="35"/>
      <c r="AB1665" s="35"/>
      <c r="AC1665" s="34"/>
      <c r="AD1665" s="34"/>
      <c r="AE1665" s="34"/>
    </row>
    <row r="1666" spans="1:31" ht="15" thickBot="1" x14ac:dyDescent="0.4">
      <c r="A1666" s="45"/>
      <c r="B1666" s="45"/>
      <c r="C1666" s="46"/>
      <c r="D1666" s="47"/>
      <c r="E1666" s="47"/>
      <c r="F1666" s="47"/>
      <c r="G1666" s="47"/>
      <c r="H1666" s="47"/>
      <c r="I1666" s="47"/>
      <c r="J1666" s="47"/>
      <c r="K1666" s="47"/>
      <c r="L1666" s="47"/>
      <c r="M1666" s="47"/>
      <c r="N1666" s="47"/>
      <c r="O1666" s="47"/>
      <c r="P1666" s="47"/>
      <c r="Q1666" s="47"/>
      <c r="R1666" s="47"/>
      <c r="S1666" s="47"/>
      <c r="T1666" s="45"/>
      <c r="U1666" s="45"/>
      <c r="V1666" s="45"/>
      <c r="W1666" s="45"/>
      <c r="X1666" s="47"/>
      <c r="Y1666" s="45"/>
      <c r="Z1666" s="45"/>
      <c r="AA1666" s="48"/>
      <c r="AB1666" s="48"/>
      <c r="AC1666" s="47"/>
      <c r="AD1666" s="47"/>
      <c r="AE1666" s="47"/>
    </row>
    <row r="1667" spans="1:31" x14ac:dyDescent="0.35">
      <c r="A1667" s="41"/>
      <c r="B1667" s="41"/>
      <c r="C1667" s="42"/>
      <c r="D1667" s="43"/>
      <c r="E1667" s="43"/>
      <c r="F1667" s="43"/>
      <c r="G1667" s="43"/>
      <c r="H1667" s="43"/>
      <c r="I1667" s="43"/>
      <c r="J1667" s="43"/>
      <c r="K1667" s="43"/>
      <c r="L1667" s="43"/>
      <c r="M1667" s="43"/>
      <c r="N1667" s="43"/>
      <c r="O1667" s="43"/>
      <c r="P1667" s="43"/>
      <c r="Q1667" s="43"/>
      <c r="R1667" s="43"/>
      <c r="S1667" s="43"/>
      <c r="T1667" s="43"/>
      <c r="U1667" s="43"/>
      <c r="V1667" s="41"/>
      <c r="W1667" s="41"/>
      <c r="X1667" s="41"/>
      <c r="Y1667" s="41"/>
      <c r="Z1667" s="41"/>
      <c r="AA1667" s="44"/>
      <c r="AB1667" s="44"/>
      <c r="AC1667" s="43"/>
      <c r="AD1667" s="43"/>
      <c r="AE1667" s="43"/>
    </row>
    <row r="1668" spans="1:31" x14ac:dyDescent="0.35">
      <c r="C1668" s="33"/>
      <c r="D1668" s="34"/>
      <c r="E1668" s="34"/>
      <c r="F1668" s="34"/>
      <c r="G1668" s="34"/>
      <c r="H1668" s="34"/>
      <c r="I1668" s="34"/>
      <c r="J1668" s="34"/>
      <c r="K1668" s="34"/>
      <c r="L1668" s="34"/>
      <c r="M1668" s="34"/>
      <c r="N1668" s="34"/>
      <c r="O1668" s="34"/>
      <c r="AA1668" s="35"/>
      <c r="AB1668" s="35"/>
      <c r="AC1668" s="34"/>
      <c r="AD1668" s="34"/>
      <c r="AE1668" s="34"/>
    </row>
    <row r="1669" spans="1:31" ht="15" thickBot="1" x14ac:dyDescent="0.4">
      <c r="A1669" s="45"/>
      <c r="B1669" s="45"/>
      <c r="C1669" s="46"/>
      <c r="D1669" s="47"/>
      <c r="E1669" s="47"/>
      <c r="F1669" s="47"/>
      <c r="G1669" s="47"/>
      <c r="H1669" s="47"/>
      <c r="I1669" s="47"/>
      <c r="J1669" s="47"/>
      <c r="K1669" s="47"/>
      <c r="L1669" s="47"/>
      <c r="M1669" s="47"/>
      <c r="N1669" s="47"/>
      <c r="O1669" s="47"/>
      <c r="P1669" s="47"/>
      <c r="Q1669" s="47"/>
      <c r="R1669" s="47"/>
      <c r="S1669" s="47"/>
      <c r="T1669" s="45"/>
      <c r="U1669" s="45"/>
      <c r="V1669" s="45"/>
      <c r="W1669" s="45"/>
      <c r="X1669" s="47"/>
      <c r="Y1669" s="45"/>
      <c r="Z1669" s="45"/>
      <c r="AA1669" s="48"/>
      <c r="AB1669" s="48"/>
      <c r="AC1669" s="47"/>
      <c r="AD1669" s="47"/>
      <c r="AE1669" s="47"/>
    </row>
    <row r="1670" spans="1:31" x14ac:dyDescent="0.35">
      <c r="A1670" s="41"/>
      <c r="B1670" s="41"/>
      <c r="C1670" s="42"/>
      <c r="D1670" s="43"/>
      <c r="E1670" s="43"/>
      <c r="F1670" s="43"/>
      <c r="G1670" s="43"/>
      <c r="H1670" s="43"/>
      <c r="I1670" s="43"/>
      <c r="J1670" s="43"/>
      <c r="K1670" s="43"/>
      <c r="L1670" s="43"/>
      <c r="M1670" s="43"/>
      <c r="N1670" s="43"/>
      <c r="O1670" s="43"/>
      <c r="P1670" s="43"/>
      <c r="Q1670" s="43"/>
      <c r="R1670" s="43"/>
      <c r="S1670" s="43"/>
      <c r="T1670" s="43"/>
      <c r="U1670" s="43"/>
      <c r="V1670" s="41"/>
      <c r="W1670" s="41"/>
      <c r="X1670" s="41"/>
      <c r="Y1670" s="41"/>
      <c r="Z1670" s="41"/>
      <c r="AA1670" s="44"/>
      <c r="AB1670" s="44"/>
      <c r="AC1670" s="43"/>
      <c r="AD1670" s="43"/>
      <c r="AE1670" s="43"/>
    </row>
    <row r="1671" spans="1:31" x14ac:dyDescent="0.35">
      <c r="C1671" s="33"/>
      <c r="D1671" s="34"/>
      <c r="E1671" s="34"/>
      <c r="F1671" s="34"/>
      <c r="G1671" s="34"/>
      <c r="H1671" s="34"/>
      <c r="I1671" s="34"/>
      <c r="J1671" s="34"/>
      <c r="K1671" s="34"/>
      <c r="L1671" s="34"/>
      <c r="M1671" s="34"/>
      <c r="N1671" s="34"/>
      <c r="O1671" s="34"/>
      <c r="AA1671" s="35"/>
      <c r="AB1671" s="35"/>
      <c r="AC1671" s="34"/>
      <c r="AD1671" s="34"/>
      <c r="AE1671" s="34"/>
    </row>
    <row r="1672" spans="1:31" ht="15" thickBot="1" x14ac:dyDescent="0.4">
      <c r="A1672" s="45"/>
      <c r="B1672" s="45"/>
      <c r="C1672" s="46"/>
      <c r="D1672" s="47"/>
      <c r="E1672" s="47"/>
      <c r="F1672" s="47"/>
      <c r="G1672" s="47"/>
      <c r="H1672" s="47"/>
      <c r="I1672" s="47"/>
      <c r="J1672" s="47"/>
      <c r="K1672" s="47"/>
      <c r="L1672" s="47"/>
      <c r="M1672" s="47"/>
      <c r="N1672" s="47"/>
      <c r="O1672" s="47"/>
      <c r="P1672" s="47"/>
      <c r="Q1672" s="47"/>
      <c r="R1672" s="47"/>
      <c r="S1672" s="47"/>
      <c r="T1672" s="45"/>
      <c r="U1672" s="45"/>
      <c r="V1672" s="45"/>
      <c r="W1672" s="45"/>
      <c r="X1672" s="47"/>
      <c r="Y1672" s="45"/>
      <c r="Z1672" s="45"/>
      <c r="AA1672" s="48"/>
      <c r="AB1672" s="48"/>
      <c r="AC1672" s="47"/>
      <c r="AD1672" s="47"/>
      <c r="AE1672" s="47"/>
    </row>
    <row r="1673" spans="1:31" x14ac:dyDescent="0.35">
      <c r="A1673" s="41"/>
      <c r="B1673" s="41"/>
      <c r="C1673" s="42"/>
      <c r="D1673" s="43"/>
      <c r="E1673" s="43"/>
      <c r="F1673" s="43"/>
      <c r="G1673" s="43"/>
      <c r="H1673" s="43"/>
      <c r="I1673" s="43"/>
      <c r="J1673" s="43"/>
      <c r="K1673" s="43"/>
      <c r="L1673" s="43"/>
      <c r="M1673" s="43"/>
      <c r="N1673" s="43"/>
      <c r="O1673" s="43"/>
      <c r="P1673" s="43"/>
      <c r="Q1673" s="43"/>
      <c r="R1673" s="43"/>
      <c r="S1673" s="43"/>
      <c r="T1673" s="43"/>
      <c r="U1673" s="43"/>
      <c r="V1673" s="41"/>
      <c r="W1673" s="41"/>
      <c r="X1673" s="41"/>
      <c r="Y1673" s="41"/>
      <c r="Z1673" s="41"/>
      <c r="AA1673" s="44"/>
      <c r="AB1673" s="44"/>
      <c r="AC1673" s="43"/>
      <c r="AD1673" s="43"/>
      <c r="AE1673" s="43"/>
    </row>
    <row r="1674" spans="1:31" x14ac:dyDescent="0.35">
      <c r="C1674" s="33"/>
      <c r="D1674" s="34"/>
      <c r="E1674" s="34"/>
      <c r="F1674" s="34"/>
      <c r="G1674" s="34"/>
      <c r="H1674" s="34"/>
      <c r="I1674" s="34"/>
      <c r="J1674" s="34"/>
      <c r="K1674" s="34"/>
      <c r="L1674" s="34"/>
      <c r="M1674" s="34"/>
      <c r="N1674" s="34"/>
      <c r="O1674" s="34"/>
      <c r="AA1674" s="35"/>
      <c r="AB1674" s="35"/>
      <c r="AC1674" s="34"/>
      <c r="AD1674" s="34"/>
      <c r="AE1674" s="34"/>
    </row>
    <row r="1675" spans="1:31" ht="15" thickBot="1" x14ac:dyDescent="0.4">
      <c r="A1675" s="45"/>
      <c r="B1675" s="45"/>
      <c r="C1675" s="46"/>
      <c r="D1675" s="47"/>
      <c r="E1675" s="47"/>
      <c r="F1675" s="47"/>
      <c r="G1675" s="47"/>
      <c r="H1675" s="47"/>
      <c r="I1675" s="47"/>
      <c r="J1675" s="47"/>
      <c r="K1675" s="47"/>
      <c r="L1675" s="47"/>
      <c r="M1675" s="47"/>
      <c r="N1675" s="47"/>
      <c r="O1675" s="47"/>
      <c r="P1675" s="47"/>
      <c r="Q1675" s="47"/>
      <c r="R1675" s="47"/>
      <c r="S1675" s="47"/>
      <c r="T1675" s="45"/>
      <c r="U1675" s="45"/>
      <c r="V1675" s="45"/>
      <c r="W1675" s="45"/>
      <c r="X1675" s="47"/>
      <c r="Y1675" s="45"/>
      <c r="Z1675" s="45"/>
      <c r="AA1675" s="48"/>
      <c r="AB1675" s="48"/>
      <c r="AC1675" s="47"/>
      <c r="AD1675" s="47"/>
      <c r="AE1675" s="47"/>
    </row>
    <row r="1676" spans="1:31" x14ac:dyDescent="0.35">
      <c r="A1676" s="41"/>
      <c r="B1676" s="41"/>
      <c r="C1676" s="42"/>
      <c r="D1676" s="43"/>
      <c r="E1676" s="43"/>
      <c r="F1676" s="43"/>
      <c r="G1676" s="43"/>
      <c r="H1676" s="43"/>
      <c r="I1676" s="43"/>
      <c r="J1676" s="43"/>
      <c r="K1676" s="43"/>
      <c r="L1676" s="43"/>
      <c r="M1676" s="43"/>
      <c r="N1676" s="43"/>
      <c r="O1676" s="43"/>
      <c r="P1676" s="43"/>
      <c r="Q1676" s="43"/>
      <c r="R1676" s="43"/>
      <c r="S1676" s="43"/>
      <c r="T1676" s="43"/>
      <c r="U1676" s="43"/>
      <c r="V1676" s="41"/>
      <c r="W1676" s="41"/>
      <c r="X1676" s="41"/>
      <c r="Y1676" s="41"/>
      <c r="Z1676" s="41"/>
      <c r="AA1676" s="44"/>
      <c r="AB1676" s="44"/>
      <c r="AC1676" s="43"/>
      <c r="AD1676" s="43"/>
      <c r="AE1676" s="43"/>
    </row>
    <row r="1677" spans="1:31" x14ac:dyDescent="0.35">
      <c r="C1677" s="33"/>
      <c r="D1677" s="34"/>
      <c r="E1677" s="34"/>
      <c r="F1677" s="34"/>
      <c r="G1677" s="34"/>
      <c r="H1677" s="34"/>
      <c r="I1677" s="34"/>
      <c r="J1677" s="34"/>
      <c r="K1677" s="34"/>
      <c r="L1677" s="34"/>
      <c r="M1677" s="34"/>
      <c r="N1677" s="34"/>
      <c r="O1677" s="34"/>
      <c r="AA1677" s="35"/>
      <c r="AB1677" s="35"/>
      <c r="AC1677" s="34"/>
      <c r="AD1677" s="34"/>
      <c r="AE1677" s="34"/>
    </row>
    <row r="1678" spans="1:31" ht="15" thickBot="1" x14ac:dyDescent="0.4">
      <c r="A1678" s="45"/>
      <c r="B1678" s="45"/>
      <c r="C1678" s="46"/>
      <c r="D1678" s="47"/>
      <c r="E1678" s="47"/>
      <c r="F1678" s="47"/>
      <c r="G1678" s="47"/>
      <c r="H1678" s="47"/>
      <c r="I1678" s="47"/>
      <c r="J1678" s="47"/>
      <c r="K1678" s="47"/>
      <c r="L1678" s="47"/>
      <c r="M1678" s="47"/>
      <c r="N1678" s="47"/>
      <c r="O1678" s="47"/>
      <c r="P1678" s="47"/>
      <c r="Q1678" s="47"/>
      <c r="R1678" s="47"/>
      <c r="S1678" s="47"/>
      <c r="T1678" s="45"/>
      <c r="U1678" s="45"/>
      <c r="V1678" s="45"/>
      <c r="W1678" s="45"/>
      <c r="X1678" s="47"/>
      <c r="Y1678" s="45"/>
      <c r="Z1678" s="45"/>
      <c r="AA1678" s="48"/>
      <c r="AB1678" s="48"/>
      <c r="AC1678" s="47"/>
      <c r="AD1678" s="47"/>
      <c r="AE1678" s="47"/>
    </row>
    <row r="1679" spans="1:31" x14ac:dyDescent="0.35">
      <c r="A1679" s="41"/>
      <c r="B1679" s="41"/>
      <c r="C1679" s="42"/>
      <c r="D1679" s="43"/>
      <c r="E1679" s="43"/>
      <c r="F1679" s="43"/>
      <c r="G1679" s="43"/>
      <c r="H1679" s="43"/>
      <c r="I1679" s="43"/>
      <c r="J1679" s="43"/>
      <c r="K1679" s="43"/>
      <c r="L1679" s="43"/>
      <c r="M1679" s="43"/>
      <c r="N1679" s="43"/>
      <c r="O1679" s="43"/>
      <c r="P1679" s="43"/>
      <c r="Q1679" s="43"/>
      <c r="R1679" s="43"/>
      <c r="S1679" s="43"/>
      <c r="T1679" s="43"/>
      <c r="U1679" s="43"/>
      <c r="V1679" s="41"/>
      <c r="W1679" s="41"/>
      <c r="X1679" s="41"/>
      <c r="Y1679" s="41"/>
      <c r="Z1679" s="41"/>
      <c r="AA1679" s="44"/>
      <c r="AB1679" s="44"/>
      <c r="AC1679" s="43"/>
      <c r="AD1679" s="43"/>
      <c r="AE1679" s="43"/>
    </row>
    <row r="1680" spans="1:31" x14ac:dyDescent="0.35">
      <c r="C1680" s="33"/>
      <c r="D1680" s="34"/>
      <c r="E1680" s="34"/>
      <c r="F1680" s="34"/>
      <c r="G1680" s="34"/>
      <c r="H1680" s="34"/>
      <c r="I1680" s="34"/>
      <c r="J1680" s="34"/>
      <c r="K1680" s="34"/>
      <c r="L1680" s="34"/>
      <c r="M1680" s="34"/>
      <c r="N1680" s="34"/>
      <c r="O1680" s="34"/>
      <c r="AA1680" s="35"/>
      <c r="AB1680" s="35"/>
      <c r="AC1680" s="34"/>
      <c r="AD1680" s="34"/>
      <c r="AE1680" s="34"/>
    </row>
    <row r="1681" spans="1:31" ht="15" thickBot="1" x14ac:dyDescent="0.4">
      <c r="A1681" s="45"/>
      <c r="B1681" s="45"/>
      <c r="C1681" s="46"/>
      <c r="D1681" s="47"/>
      <c r="E1681" s="47"/>
      <c r="F1681" s="47"/>
      <c r="G1681" s="47"/>
      <c r="H1681" s="47"/>
      <c r="I1681" s="47"/>
      <c r="J1681" s="47"/>
      <c r="K1681" s="47"/>
      <c r="L1681" s="47"/>
      <c r="M1681" s="47"/>
      <c r="N1681" s="47"/>
      <c r="O1681" s="47"/>
      <c r="P1681" s="47"/>
      <c r="Q1681" s="47"/>
      <c r="R1681" s="47"/>
      <c r="S1681" s="47"/>
      <c r="T1681" s="45"/>
      <c r="U1681" s="45"/>
      <c r="V1681" s="45"/>
      <c r="W1681" s="45"/>
      <c r="X1681" s="47"/>
      <c r="Y1681" s="45"/>
      <c r="Z1681" s="45"/>
      <c r="AA1681" s="48"/>
      <c r="AB1681" s="48"/>
      <c r="AC1681" s="47"/>
      <c r="AD1681" s="47"/>
      <c r="AE1681" s="47"/>
    </row>
    <row r="1682" spans="1:31" x14ac:dyDescent="0.35">
      <c r="A1682" s="41"/>
      <c r="B1682" s="41"/>
      <c r="C1682" s="42"/>
      <c r="D1682" s="43"/>
      <c r="E1682" s="43"/>
      <c r="F1682" s="43"/>
      <c r="G1682" s="43"/>
      <c r="H1682" s="43"/>
      <c r="I1682" s="43"/>
      <c r="J1682" s="43"/>
      <c r="K1682" s="43"/>
      <c r="L1682" s="43"/>
      <c r="M1682" s="43"/>
      <c r="N1682" s="43"/>
      <c r="O1682" s="43"/>
      <c r="P1682" s="43"/>
      <c r="Q1682" s="43"/>
      <c r="R1682" s="43"/>
      <c r="S1682" s="43"/>
      <c r="T1682" s="43"/>
      <c r="U1682" s="43"/>
      <c r="V1682" s="41"/>
      <c r="W1682" s="41"/>
      <c r="X1682" s="41"/>
      <c r="Y1682" s="41"/>
      <c r="Z1682" s="41"/>
      <c r="AA1682" s="44"/>
      <c r="AB1682" s="44"/>
      <c r="AC1682" s="43"/>
      <c r="AD1682" s="43"/>
      <c r="AE1682" s="43"/>
    </row>
    <row r="1683" spans="1:31" x14ac:dyDescent="0.35">
      <c r="C1683" s="33"/>
      <c r="D1683" s="34"/>
      <c r="E1683" s="34"/>
      <c r="F1683" s="34"/>
      <c r="G1683" s="34"/>
      <c r="H1683" s="34"/>
      <c r="I1683" s="34"/>
      <c r="J1683" s="34"/>
      <c r="K1683" s="34"/>
      <c r="L1683" s="34"/>
      <c r="M1683" s="34"/>
      <c r="N1683" s="34"/>
      <c r="O1683" s="34"/>
      <c r="AA1683" s="35"/>
      <c r="AB1683" s="35"/>
      <c r="AC1683" s="34"/>
      <c r="AD1683" s="34"/>
      <c r="AE1683" s="34"/>
    </row>
    <row r="1684" spans="1:31" ht="15" thickBot="1" x14ac:dyDescent="0.4">
      <c r="A1684" s="45"/>
      <c r="B1684" s="45"/>
      <c r="C1684" s="46"/>
      <c r="D1684" s="47"/>
      <c r="E1684" s="47"/>
      <c r="F1684" s="47"/>
      <c r="G1684" s="47"/>
      <c r="H1684" s="47"/>
      <c r="I1684" s="47"/>
      <c r="J1684" s="47"/>
      <c r="K1684" s="47"/>
      <c r="L1684" s="47"/>
      <c r="M1684" s="47"/>
      <c r="N1684" s="47"/>
      <c r="O1684" s="47"/>
      <c r="P1684" s="47"/>
      <c r="Q1684" s="47"/>
      <c r="R1684" s="47"/>
      <c r="S1684" s="47"/>
      <c r="T1684" s="45"/>
      <c r="U1684" s="45"/>
      <c r="V1684" s="45"/>
      <c r="W1684" s="45"/>
      <c r="X1684" s="47"/>
      <c r="Y1684" s="45"/>
      <c r="Z1684" s="45"/>
      <c r="AA1684" s="48"/>
      <c r="AB1684" s="48"/>
      <c r="AC1684" s="47"/>
      <c r="AD1684" s="47"/>
      <c r="AE1684" s="47"/>
    </row>
    <row r="1685" spans="1:31" x14ac:dyDescent="0.35">
      <c r="A1685" s="41"/>
      <c r="B1685" s="41"/>
      <c r="C1685" s="42"/>
      <c r="D1685" s="43"/>
      <c r="E1685" s="43"/>
      <c r="F1685" s="43"/>
      <c r="G1685" s="43"/>
      <c r="H1685" s="43"/>
      <c r="I1685" s="43"/>
      <c r="J1685" s="43"/>
      <c r="K1685" s="43"/>
      <c r="L1685" s="43"/>
      <c r="M1685" s="43"/>
      <c r="N1685" s="43"/>
      <c r="O1685" s="43"/>
      <c r="P1685" s="43"/>
      <c r="Q1685" s="43"/>
      <c r="R1685" s="43"/>
      <c r="S1685" s="43"/>
      <c r="T1685" s="43"/>
      <c r="U1685" s="43"/>
      <c r="V1685" s="41"/>
      <c r="W1685" s="41"/>
      <c r="X1685" s="41"/>
      <c r="Y1685" s="41"/>
      <c r="Z1685" s="41"/>
      <c r="AA1685" s="44"/>
      <c r="AB1685" s="44"/>
      <c r="AC1685" s="43"/>
      <c r="AD1685" s="43"/>
      <c r="AE1685" s="43"/>
    </row>
    <row r="1686" spans="1:31" x14ac:dyDescent="0.35">
      <c r="C1686" s="33"/>
      <c r="D1686" s="34"/>
      <c r="E1686" s="34"/>
      <c r="F1686" s="34"/>
      <c r="G1686" s="34"/>
      <c r="H1686" s="34"/>
      <c r="I1686" s="34"/>
      <c r="J1686" s="34"/>
      <c r="K1686" s="34"/>
      <c r="L1686" s="34"/>
      <c r="M1686" s="34"/>
      <c r="N1686" s="34"/>
      <c r="O1686" s="34"/>
      <c r="AA1686" s="35"/>
      <c r="AB1686" s="35"/>
      <c r="AC1686" s="34"/>
      <c r="AD1686" s="34"/>
      <c r="AE1686" s="34"/>
    </row>
    <row r="1687" spans="1:31" ht="15" thickBot="1" x14ac:dyDescent="0.4">
      <c r="A1687" s="45"/>
      <c r="B1687" s="45"/>
      <c r="C1687" s="46"/>
      <c r="D1687" s="47"/>
      <c r="E1687" s="47"/>
      <c r="F1687" s="47"/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  <c r="S1687" s="47"/>
      <c r="T1687" s="45"/>
      <c r="U1687" s="45"/>
      <c r="V1687" s="45"/>
      <c r="W1687" s="45"/>
      <c r="X1687" s="47"/>
      <c r="Y1687" s="45"/>
      <c r="Z1687" s="45"/>
      <c r="AA1687" s="48"/>
      <c r="AB1687" s="48"/>
      <c r="AC1687" s="47"/>
      <c r="AD1687" s="47"/>
      <c r="AE1687" s="47"/>
    </row>
    <row r="1688" spans="1:31" x14ac:dyDescent="0.35">
      <c r="A1688" s="41"/>
      <c r="B1688" s="41"/>
      <c r="C1688" s="42"/>
      <c r="D1688" s="43"/>
      <c r="E1688" s="43"/>
      <c r="F1688" s="43"/>
      <c r="G1688" s="43"/>
      <c r="H1688" s="43"/>
      <c r="I1688" s="43"/>
      <c r="J1688" s="43"/>
      <c r="K1688" s="43"/>
      <c r="L1688" s="43"/>
      <c r="M1688" s="43"/>
      <c r="N1688" s="43"/>
      <c r="O1688" s="43"/>
      <c r="P1688" s="43"/>
      <c r="Q1688" s="43"/>
      <c r="R1688" s="43"/>
      <c r="S1688" s="43"/>
      <c r="T1688" s="43"/>
      <c r="U1688" s="43"/>
      <c r="V1688" s="41"/>
      <c r="W1688" s="41"/>
      <c r="X1688" s="41"/>
      <c r="Y1688" s="41"/>
      <c r="Z1688" s="41"/>
      <c r="AA1688" s="44"/>
      <c r="AB1688" s="44"/>
      <c r="AC1688" s="43"/>
      <c r="AD1688" s="43"/>
      <c r="AE1688" s="43"/>
    </row>
    <row r="1689" spans="1:31" x14ac:dyDescent="0.35">
      <c r="C1689" s="33"/>
      <c r="D1689" s="34"/>
      <c r="E1689" s="34"/>
      <c r="F1689" s="34"/>
      <c r="G1689" s="34"/>
      <c r="H1689" s="34"/>
      <c r="I1689" s="34"/>
      <c r="J1689" s="34"/>
      <c r="K1689" s="34"/>
      <c r="L1689" s="34"/>
      <c r="M1689" s="34"/>
      <c r="N1689" s="34"/>
      <c r="O1689" s="34"/>
      <c r="AA1689" s="35"/>
      <c r="AB1689" s="35"/>
      <c r="AC1689" s="34"/>
      <c r="AD1689" s="34"/>
      <c r="AE1689" s="34"/>
    </row>
    <row r="1690" spans="1:31" ht="15" thickBot="1" x14ac:dyDescent="0.4">
      <c r="A1690" s="45"/>
      <c r="B1690" s="45"/>
      <c r="C1690" s="46"/>
      <c r="D1690" s="47"/>
      <c r="E1690" s="47"/>
      <c r="F1690" s="47"/>
      <c r="G1690" s="47"/>
      <c r="H1690" s="47"/>
      <c r="I1690" s="47"/>
      <c r="J1690" s="47"/>
      <c r="K1690" s="47"/>
      <c r="L1690" s="47"/>
      <c r="M1690" s="47"/>
      <c r="N1690" s="47"/>
      <c r="O1690" s="47"/>
      <c r="P1690" s="47"/>
      <c r="Q1690" s="47"/>
      <c r="R1690" s="47"/>
      <c r="S1690" s="47"/>
      <c r="T1690" s="45"/>
      <c r="U1690" s="45"/>
      <c r="V1690" s="45"/>
      <c r="W1690" s="45"/>
      <c r="X1690" s="47"/>
      <c r="Y1690" s="45"/>
      <c r="Z1690" s="45"/>
      <c r="AA1690" s="48"/>
      <c r="AB1690" s="48"/>
      <c r="AC1690" s="47"/>
      <c r="AD1690" s="47"/>
      <c r="AE1690" s="47"/>
    </row>
    <row r="1691" spans="1:31" x14ac:dyDescent="0.35">
      <c r="A1691" s="41"/>
      <c r="B1691" s="41"/>
      <c r="C1691" s="42"/>
      <c r="D1691" s="43"/>
      <c r="E1691" s="43"/>
      <c r="F1691" s="43"/>
      <c r="G1691" s="43"/>
      <c r="H1691" s="43"/>
      <c r="I1691" s="43"/>
      <c r="J1691" s="43"/>
      <c r="K1691" s="43"/>
      <c r="L1691" s="43"/>
      <c r="M1691" s="43"/>
      <c r="N1691" s="43"/>
      <c r="O1691" s="43"/>
      <c r="P1691" s="43"/>
      <c r="Q1691" s="43"/>
      <c r="R1691" s="43"/>
      <c r="S1691" s="43"/>
      <c r="T1691" s="43"/>
      <c r="U1691" s="43"/>
      <c r="V1691" s="41"/>
      <c r="W1691" s="41"/>
      <c r="X1691" s="41"/>
      <c r="Y1691" s="41"/>
      <c r="Z1691" s="41"/>
      <c r="AA1691" s="44"/>
      <c r="AB1691" s="44"/>
      <c r="AC1691" s="43"/>
      <c r="AD1691" s="43"/>
      <c r="AE1691" s="43"/>
    </row>
    <row r="1692" spans="1:31" x14ac:dyDescent="0.35">
      <c r="C1692" s="33"/>
      <c r="D1692" s="34"/>
      <c r="E1692" s="34"/>
      <c r="F1692" s="34"/>
      <c r="G1692" s="34"/>
      <c r="H1692" s="34"/>
      <c r="I1692" s="34"/>
      <c r="J1692" s="34"/>
      <c r="K1692" s="34"/>
      <c r="L1692" s="34"/>
      <c r="M1692" s="34"/>
      <c r="N1692" s="34"/>
      <c r="O1692" s="34"/>
      <c r="AA1692" s="35"/>
      <c r="AB1692" s="35"/>
      <c r="AC1692" s="34"/>
      <c r="AD1692" s="34"/>
      <c r="AE1692" s="34"/>
    </row>
    <row r="1693" spans="1:31" ht="15" thickBot="1" x14ac:dyDescent="0.4">
      <c r="A1693" s="45"/>
      <c r="B1693" s="45"/>
      <c r="C1693" s="46"/>
      <c r="D1693" s="47"/>
      <c r="E1693" s="47"/>
      <c r="F1693" s="47"/>
      <c r="G1693" s="47"/>
      <c r="H1693" s="47"/>
      <c r="I1693" s="47"/>
      <c r="J1693" s="47"/>
      <c r="K1693" s="47"/>
      <c r="L1693" s="47"/>
      <c r="M1693" s="47"/>
      <c r="N1693" s="47"/>
      <c r="O1693" s="47"/>
      <c r="P1693" s="47"/>
      <c r="Q1693" s="47"/>
      <c r="R1693" s="47"/>
      <c r="S1693" s="47"/>
      <c r="T1693" s="45"/>
      <c r="U1693" s="45"/>
      <c r="V1693" s="45"/>
      <c r="W1693" s="45"/>
      <c r="X1693" s="47"/>
      <c r="Y1693" s="45"/>
      <c r="Z1693" s="45"/>
      <c r="AA1693" s="48"/>
      <c r="AB1693" s="48"/>
      <c r="AC1693" s="47"/>
      <c r="AD1693" s="47"/>
      <c r="AE1693" s="47"/>
    </row>
    <row r="1694" spans="1:31" x14ac:dyDescent="0.35">
      <c r="A1694" s="41"/>
      <c r="B1694" s="41"/>
      <c r="C1694" s="42"/>
      <c r="D1694" s="43"/>
      <c r="E1694" s="43"/>
      <c r="F1694" s="43"/>
      <c r="G1694" s="43"/>
      <c r="H1694" s="43"/>
      <c r="I1694" s="43"/>
      <c r="J1694" s="43"/>
      <c r="K1694" s="43"/>
      <c r="L1694" s="43"/>
      <c r="M1694" s="43"/>
      <c r="N1694" s="43"/>
      <c r="O1694" s="43"/>
      <c r="P1694" s="43"/>
      <c r="Q1694" s="43"/>
      <c r="R1694" s="43"/>
      <c r="S1694" s="43"/>
      <c r="T1694" s="43"/>
      <c r="U1694" s="43"/>
      <c r="V1694" s="41"/>
      <c r="W1694" s="41"/>
      <c r="X1694" s="41"/>
      <c r="Y1694" s="41"/>
      <c r="Z1694" s="41"/>
      <c r="AA1694" s="44"/>
      <c r="AB1694" s="44"/>
      <c r="AC1694" s="43"/>
      <c r="AD1694" s="43"/>
      <c r="AE1694" s="43"/>
    </row>
    <row r="1695" spans="1:31" x14ac:dyDescent="0.35">
      <c r="C1695" s="33"/>
      <c r="D1695" s="34"/>
      <c r="E1695" s="34"/>
      <c r="F1695" s="34"/>
      <c r="G1695" s="34"/>
      <c r="H1695" s="34"/>
      <c r="I1695" s="34"/>
      <c r="J1695" s="34"/>
      <c r="K1695" s="34"/>
      <c r="L1695" s="34"/>
      <c r="M1695" s="34"/>
      <c r="N1695" s="34"/>
      <c r="O1695" s="34"/>
      <c r="AA1695" s="35"/>
      <c r="AB1695" s="35"/>
      <c r="AC1695" s="34"/>
      <c r="AD1695" s="34"/>
      <c r="AE1695" s="34"/>
    </row>
    <row r="1696" spans="1:31" ht="15" thickBot="1" x14ac:dyDescent="0.4">
      <c r="A1696" s="45"/>
      <c r="B1696" s="45"/>
      <c r="C1696" s="46"/>
      <c r="D1696" s="47"/>
      <c r="E1696" s="47"/>
      <c r="F1696" s="47"/>
      <c r="G1696" s="47"/>
      <c r="H1696" s="47"/>
      <c r="I1696" s="47"/>
      <c r="J1696" s="47"/>
      <c r="K1696" s="47"/>
      <c r="L1696" s="47"/>
      <c r="M1696" s="47"/>
      <c r="N1696" s="47"/>
      <c r="O1696" s="47"/>
      <c r="P1696" s="47"/>
      <c r="Q1696" s="47"/>
      <c r="R1696" s="47"/>
      <c r="S1696" s="47"/>
      <c r="T1696" s="45"/>
      <c r="U1696" s="45"/>
      <c r="V1696" s="45"/>
      <c r="W1696" s="45"/>
      <c r="X1696" s="47"/>
      <c r="Y1696" s="45"/>
      <c r="Z1696" s="45"/>
      <c r="AA1696" s="48"/>
      <c r="AB1696" s="48"/>
      <c r="AC1696" s="47"/>
      <c r="AD1696" s="47"/>
      <c r="AE1696" s="47"/>
    </row>
    <row r="1697" spans="1:31" x14ac:dyDescent="0.35">
      <c r="A1697" s="41"/>
      <c r="B1697" s="41"/>
      <c r="C1697" s="42"/>
      <c r="D1697" s="43"/>
      <c r="E1697" s="43"/>
      <c r="F1697" s="43"/>
      <c r="G1697" s="43"/>
      <c r="H1697" s="43"/>
      <c r="I1697" s="43"/>
      <c r="J1697" s="43"/>
      <c r="K1697" s="43"/>
      <c r="L1697" s="43"/>
      <c r="M1697" s="43"/>
      <c r="N1697" s="43"/>
      <c r="O1697" s="43"/>
      <c r="P1697" s="43"/>
      <c r="Q1697" s="43"/>
      <c r="R1697" s="43"/>
      <c r="S1697" s="43"/>
      <c r="T1697" s="43"/>
      <c r="U1697" s="43"/>
      <c r="V1697" s="41"/>
      <c r="W1697" s="41"/>
      <c r="X1697" s="41"/>
      <c r="Y1697" s="41"/>
      <c r="Z1697" s="41"/>
      <c r="AA1697" s="44"/>
      <c r="AB1697" s="44"/>
      <c r="AC1697" s="43"/>
      <c r="AD1697" s="43"/>
      <c r="AE1697" s="43"/>
    </row>
    <row r="1698" spans="1:31" x14ac:dyDescent="0.35">
      <c r="C1698" s="33"/>
      <c r="D1698" s="34"/>
      <c r="E1698" s="34"/>
      <c r="F1698" s="34"/>
      <c r="G1698" s="34"/>
      <c r="H1698" s="34"/>
      <c r="I1698" s="34"/>
      <c r="J1698" s="34"/>
      <c r="K1698" s="34"/>
      <c r="L1698" s="34"/>
      <c r="M1698" s="34"/>
      <c r="N1698" s="34"/>
      <c r="O1698" s="34"/>
      <c r="AA1698" s="35"/>
      <c r="AB1698" s="35"/>
      <c r="AC1698" s="34"/>
      <c r="AD1698" s="34"/>
      <c r="AE1698" s="34"/>
    </row>
    <row r="1699" spans="1:31" ht="15" thickBot="1" x14ac:dyDescent="0.4">
      <c r="A1699" s="45"/>
      <c r="B1699" s="45"/>
      <c r="C1699" s="46"/>
      <c r="D1699" s="47"/>
      <c r="E1699" s="47"/>
      <c r="F1699" s="47"/>
      <c r="G1699" s="47"/>
      <c r="H1699" s="47"/>
      <c r="I1699" s="47"/>
      <c r="J1699" s="47"/>
      <c r="K1699" s="47"/>
      <c r="L1699" s="47"/>
      <c r="M1699" s="47"/>
      <c r="N1699" s="47"/>
      <c r="O1699" s="47"/>
      <c r="P1699" s="47"/>
      <c r="Q1699" s="47"/>
      <c r="R1699" s="47"/>
      <c r="S1699" s="47"/>
      <c r="T1699" s="45"/>
      <c r="U1699" s="45"/>
      <c r="V1699" s="45"/>
      <c r="W1699" s="45"/>
      <c r="X1699" s="47"/>
      <c r="Y1699" s="45"/>
      <c r="Z1699" s="45"/>
      <c r="AA1699" s="48"/>
      <c r="AB1699" s="48"/>
      <c r="AC1699" s="47"/>
      <c r="AD1699" s="47"/>
      <c r="AE1699" s="47"/>
    </row>
    <row r="1700" spans="1:31" x14ac:dyDescent="0.35">
      <c r="A1700" s="41"/>
      <c r="B1700" s="41"/>
      <c r="C1700" s="42"/>
      <c r="D1700" s="43"/>
      <c r="E1700" s="43"/>
      <c r="F1700" s="43"/>
      <c r="G1700" s="43"/>
      <c r="H1700" s="43"/>
      <c r="I1700" s="43"/>
      <c r="J1700" s="43"/>
      <c r="K1700" s="43"/>
      <c r="L1700" s="43"/>
      <c r="M1700" s="43"/>
      <c r="N1700" s="43"/>
      <c r="O1700" s="43"/>
      <c r="P1700" s="43"/>
      <c r="Q1700" s="43"/>
      <c r="R1700" s="43"/>
      <c r="S1700" s="43"/>
      <c r="T1700" s="43"/>
      <c r="U1700" s="43"/>
      <c r="V1700" s="41"/>
      <c r="W1700" s="41"/>
      <c r="X1700" s="41"/>
      <c r="Y1700" s="41"/>
      <c r="Z1700" s="41"/>
      <c r="AA1700" s="44"/>
      <c r="AB1700" s="44"/>
      <c r="AC1700" s="43"/>
      <c r="AD1700" s="43"/>
      <c r="AE1700" s="43"/>
    </row>
    <row r="1701" spans="1:31" x14ac:dyDescent="0.35">
      <c r="C1701" s="33"/>
      <c r="D1701" s="34"/>
      <c r="E1701" s="34"/>
      <c r="F1701" s="34"/>
      <c r="G1701" s="34"/>
      <c r="H1701" s="34"/>
      <c r="I1701" s="34"/>
      <c r="J1701" s="34"/>
      <c r="K1701" s="34"/>
      <c r="L1701" s="34"/>
      <c r="M1701" s="34"/>
      <c r="N1701" s="34"/>
      <c r="O1701" s="34"/>
      <c r="AA1701" s="35"/>
      <c r="AB1701" s="35"/>
      <c r="AC1701" s="34"/>
      <c r="AD1701" s="34"/>
      <c r="AE1701" s="34"/>
    </row>
    <row r="1702" spans="1:31" ht="15" thickBot="1" x14ac:dyDescent="0.4">
      <c r="A1702" s="45"/>
      <c r="B1702" s="45"/>
      <c r="C1702" s="46"/>
      <c r="D1702" s="47"/>
      <c r="E1702" s="47"/>
      <c r="F1702" s="47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  <c r="S1702" s="47"/>
      <c r="T1702" s="45"/>
      <c r="U1702" s="45"/>
      <c r="V1702" s="45"/>
      <c r="W1702" s="45"/>
      <c r="X1702" s="47"/>
      <c r="Y1702" s="45"/>
      <c r="Z1702" s="45"/>
      <c r="AA1702" s="48"/>
      <c r="AB1702" s="48"/>
      <c r="AC1702" s="47"/>
      <c r="AD1702" s="47"/>
      <c r="AE1702" s="47"/>
    </row>
    <row r="1703" spans="1:31" x14ac:dyDescent="0.35">
      <c r="A1703" s="41"/>
      <c r="B1703" s="41"/>
      <c r="C1703" s="42"/>
      <c r="D1703" s="43"/>
      <c r="E1703" s="43"/>
      <c r="F1703" s="43"/>
      <c r="G1703" s="43"/>
      <c r="H1703" s="43"/>
      <c r="I1703" s="43"/>
      <c r="J1703" s="43"/>
      <c r="K1703" s="43"/>
      <c r="L1703" s="43"/>
      <c r="M1703" s="43"/>
      <c r="N1703" s="43"/>
      <c r="O1703" s="43"/>
      <c r="P1703" s="43"/>
      <c r="Q1703" s="43"/>
      <c r="R1703" s="43"/>
      <c r="S1703" s="43"/>
      <c r="T1703" s="43"/>
      <c r="U1703" s="43"/>
      <c r="V1703" s="41"/>
      <c r="W1703" s="41"/>
      <c r="X1703" s="41"/>
      <c r="Y1703" s="41"/>
      <c r="Z1703" s="41"/>
      <c r="AA1703" s="44"/>
      <c r="AB1703" s="44"/>
      <c r="AC1703" s="43"/>
      <c r="AD1703" s="43"/>
      <c r="AE1703" s="43"/>
    </row>
    <row r="1704" spans="1:31" x14ac:dyDescent="0.35">
      <c r="C1704" s="33"/>
      <c r="D1704" s="34"/>
      <c r="E1704" s="34"/>
      <c r="F1704" s="34"/>
      <c r="G1704" s="34"/>
      <c r="H1704" s="34"/>
      <c r="I1704" s="34"/>
      <c r="J1704" s="34"/>
      <c r="K1704" s="34"/>
      <c r="L1704" s="34"/>
      <c r="M1704" s="34"/>
      <c r="N1704" s="34"/>
      <c r="O1704" s="34"/>
      <c r="AA1704" s="35"/>
      <c r="AB1704" s="35"/>
      <c r="AC1704" s="34"/>
      <c r="AD1704" s="34"/>
      <c r="AE1704" s="34"/>
    </row>
    <row r="1705" spans="1:31" ht="15" thickBot="1" x14ac:dyDescent="0.4">
      <c r="A1705" s="45"/>
      <c r="B1705" s="45"/>
      <c r="C1705" s="46"/>
      <c r="D1705" s="47"/>
      <c r="E1705" s="47"/>
      <c r="F1705" s="47"/>
      <c r="G1705" s="47"/>
      <c r="H1705" s="47"/>
      <c r="I1705" s="47"/>
      <c r="J1705" s="47"/>
      <c r="K1705" s="47"/>
      <c r="L1705" s="47"/>
      <c r="M1705" s="47"/>
      <c r="N1705" s="47"/>
      <c r="O1705" s="47"/>
      <c r="P1705" s="47"/>
      <c r="Q1705" s="47"/>
      <c r="R1705" s="47"/>
      <c r="S1705" s="47"/>
      <c r="T1705" s="45"/>
      <c r="U1705" s="45"/>
      <c r="V1705" s="45"/>
      <c r="W1705" s="45"/>
      <c r="X1705" s="47"/>
      <c r="Y1705" s="45"/>
      <c r="Z1705" s="45"/>
      <c r="AA1705" s="48"/>
      <c r="AB1705" s="48"/>
      <c r="AC1705" s="47"/>
      <c r="AD1705" s="47"/>
      <c r="AE1705" s="47"/>
    </row>
    <row r="1706" spans="1:31" x14ac:dyDescent="0.35">
      <c r="A1706" s="41"/>
      <c r="B1706" s="41"/>
      <c r="C1706" s="42"/>
      <c r="D1706" s="43"/>
      <c r="E1706" s="43"/>
      <c r="F1706" s="43"/>
      <c r="G1706" s="43"/>
      <c r="H1706" s="43"/>
      <c r="I1706" s="43"/>
      <c r="J1706" s="43"/>
      <c r="K1706" s="43"/>
      <c r="L1706" s="43"/>
      <c r="M1706" s="43"/>
      <c r="N1706" s="43"/>
      <c r="O1706" s="43"/>
      <c r="P1706" s="43"/>
      <c r="Q1706" s="43"/>
      <c r="R1706" s="43"/>
      <c r="S1706" s="43"/>
      <c r="T1706" s="43"/>
      <c r="U1706" s="43"/>
      <c r="V1706" s="41"/>
      <c r="W1706" s="41"/>
      <c r="X1706" s="41"/>
      <c r="Y1706" s="41"/>
      <c r="Z1706" s="41"/>
      <c r="AA1706" s="44"/>
      <c r="AB1706" s="44"/>
      <c r="AC1706" s="43"/>
      <c r="AD1706" s="43"/>
      <c r="AE1706" s="43"/>
    </row>
    <row r="1707" spans="1:31" x14ac:dyDescent="0.35">
      <c r="C1707" s="33"/>
      <c r="D1707" s="34"/>
      <c r="E1707" s="34"/>
      <c r="F1707" s="34"/>
      <c r="G1707" s="34"/>
      <c r="H1707" s="34"/>
      <c r="I1707" s="34"/>
      <c r="J1707" s="34"/>
      <c r="K1707" s="34"/>
      <c r="L1707" s="34"/>
      <c r="M1707" s="34"/>
      <c r="N1707" s="34"/>
      <c r="O1707" s="34"/>
      <c r="AA1707" s="35"/>
      <c r="AB1707" s="35"/>
      <c r="AC1707" s="34"/>
      <c r="AD1707" s="34"/>
      <c r="AE1707" s="34"/>
    </row>
    <row r="1708" spans="1:31" ht="15" thickBot="1" x14ac:dyDescent="0.4">
      <c r="A1708" s="45"/>
      <c r="B1708" s="45"/>
      <c r="C1708" s="46"/>
      <c r="D1708" s="47"/>
      <c r="E1708" s="47"/>
      <c r="F1708" s="47"/>
      <c r="G1708" s="47"/>
      <c r="H1708" s="47"/>
      <c r="I1708" s="47"/>
      <c r="J1708" s="47"/>
      <c r="K1708" s="47"/>
      <c r="L1708" s="47"/>
      <c r="M1708" s="47"/>
      <c r="N1708" s="47"/>
      <c r="O1708" s="47"/>
      <c r="P1708" s="47"/>
      <c r="Q1708" s="47"/>
      <c r="R1708" s="47"/>
      <c r="S1708" s="47"/>
      <c r="T1708" s="45"/>
      <c r="U1708" s="45"/>
      <c r="V1708" s="45"/>
      <c r="W1708" s="45"/>
      <c r="X1708" s="47"/>
      <c r="Y1708" s="45"/>
      <c r="Z1708" s="45"/>
      <c r="AA1708" s="48"/>
      <c r="AB1708" s="48"/>
      <c r="AC1708" s="47"/>
      <c r="AD1708" s="47"/>
      <c r="AE1708" s="47"/>
    </row>
    <row r="1709" spans="1:31" x14ac:dyDescent="0.35">
      <c r="A1709" s="41"/>
      <c r="B1709" s="41"/>
      <c r="C1709" s="42"/>
      <c r="D1709" s="43"/>
      <c r="E1709" s="43"/>
      <c r="F1709" s="43"/>
      <c r="G1709" s="43"/>
      <c r="H1709" s="43"/>
      <c r="I1709" s="43"/>
      <c r="J1709" s="43"/>
      <c r="K1709" s="43"/>
      <c r="L1709" s="43"/>
      <c r="M1709" s="43"/>
      <c r="N1709" s="43"/>
      <c r="O1709" s="43"/>
      <c r="P1709" s="43"/>
      <c r="Q1709" s="43"/>
      <c r="R1709" s="43"/>
      <c r="S1709" s="43"/>
      <c r="T1709" s="43"/>
      <c r="U1709" s="43"/>
      <c r="V1709" s="41"/>
      <c r="W1709" s="41"/>
      <c r="X1709" s="41"/>
      <c r="Y1709" s="41"/>
      <c r="Z1709" s="41"/>
      <c r="AA1709" s="44"/>
      <c r="AB1709" s="44"/>
      <c r="AC1709" s="43"/>
      <c r="AD1709" s="43"/>
      <c r="AE1709" s="43"/>
    </row>
    <row r="1710" spans="1:31" x14ac:dyDescent="0.35">
      <c r="C1710" s="33"/>
      <c r="D1710" s="34"/>
      <c r="E1710" s="34"/>
      <c r="F1710" s="34"/>
      <c r="G1710" s="34"/>
      <c r="H1710" s="34"/>
      <c r="I1710" s="34"/>
      <c r="J1710" s="34"/>
      <c r="K1710" s="34"/>
      <c r="L1710" s="34"/>
      <c r="M1710" s="34"/>
      <c r="N1710" s="34"/>
      <c r="O1710" s="34"/>
      <c r="AA1710" s="35"/>
      <c r="AB1710" s="35"/>
      <c r="AC1710" s="34"/>
      <c r="AD1710" s="34"/>
      <c r="AE1710" s="34"/>
    </row>
    <row r="1711" spans="1:31" ht="15" thickBot="1" x14ac:dyDescent="0.4">
      <c r="A1711" s="45"/>
      <c r="B1711" s="45"/>
      <c r="C1711" s="46"/>
      <c r="D1711" s="47"/>
      <c r="E1711" s="47"/>
      <c r="F1711" s="47"/>
      <c r="G1711" s="47"/>
      <c r="H1711" s="47"/>
      <c r="I1711" s="47"/>
      <c r="J1711" s="47"/>
      <c r="K1711" s="47"/>
      <c r="L1711" s="47"/>
      <c r="M1711" s="47"/>
      <c r="N1711" s="47"/>
      <c r="O1711" s="47"/>
      <c r="P1711" s="47"/>
      <c r="Q1711" s="47"/>
      <c r="R1711" s="47"/>
      <c r="S1711" s="47"/>
      <c r="T1711" s="45"/>
      <c r="U1711" s="45"/>
      <c r="V1711" s="45"/>
      <c r="W1711" s="45"/>
      <c r="X1711" s="47"/>
      <c r="Y1711" s="45"/>
      <c r="Z1711" s="45"/>
      <c r="AA1711" s="48"/>
      <c r="AB1711" s="48"/>
      <c r="AC1711" s="47"/>
      <c r="AD1711" s="47"/>
      <c r="AE1711" s="47"/>
    </row>
    <row r="1712" spans="1:31" x14ac:dyDescent="0.35">
      <c r="A1712" s="41"/>
      <c r="B1712" s="41"/>
      <c r="C1712" s="42"/>
      <c r="D1712" s="43"/>
      <c r="E1712" s="43"/>
      <c r="F1712" s="43"/>
      <c r="G1712" s="43"/>
      <c r="H1712" s="43"/>
      <c r="I1712" s="43"/>
      <c r="J1712" s="43"/>
      <c r="K1712" s="43"/>
      <c r="L1712" s="43"/>
      <c r="M1712" s="43"/>
      <c r="N1712" s="43"/>
      <c r="O1712" s="43"/>
      <c r="P1712" s="43"/>
      <c r="Q1712" s="43"/>
      <c r="R1712" s="43"/>
      <c r="S1712" s="43"/>
      <c r="T1712" s="43"/>
      <c r="U1712" s="43"/>
      <c r="V1712" s="41"/>
      <c r="W1712" s="41"/>
      <c r="X1712" s="41"/>
      <c r="Y1712" s="41"/>
      <c r="Z1712" s="41"/>
      <c r="AA1712" s="44"/>
      <c r="AB1712" s="44"/>
      <c r="AC1712" s="43"/>
      <c r="AD1712" s="43"/>
      <c r="AE1712" s="43"/>
    </row>
    <row r="1713" spans="1:31" x14ac:dyDescent="0.35">
      <c r="C1713" s="33"/>
      <c r="D1713" s="34"/>
      <c r="E1713" s="34"/>
      <c r="F1713" s="34"/>
      <c r="G1713" s="34"/>
      <c r="H1713" s="34"/>
      <c r="I1713" s="34"/>
      <c r="J1713" s="34"/>
      <c r="K1713" s="34"/>
      <c r="L1713" s="34"/>
      <c r="M1713" s="34"/>
      <c r="N1713" s="34"/>
      <c r="O1713" s="34"/>
      <c r="AA1713" s="35"/>
      <c r="AB1713" s="35"/>
      <c r="AC1713" s="34"/>
      <c r="AD1713" s="34"/>
      <c r="AE1713" s="34"/>
    </row>
    <row r="1714" spans="1:31" ht="15" thickBot="1" x14ac:dyDescent="0.4">
      <c r="A1714" s="45"/>
      <c r="B1714" s="45"/>
      <c r="C1714" s="46"/>
      <c r="D1714" s="47"/>
      <c r="E1714" s="47"/>
      <c r="F1714" s="47"/>
      <c r="G1714" s="47"/>
      <c r="H1714" s="47"/>
      <c r="I1714" s="47"/>
      <c r="J1714" s="47"/>
      <c r="K1714" s="47"/>
      <c r="L1714" s="47"/>
      <c r="M1714" s="47"/>
      <c r="N1714" s="47"/>
      <c r="O1714" s="47"/>
      <c r="P1714" s="47"/>
      <c r="Q1714" s="47"/>
      <c r="R1714" s="47"/>
      <c r="S1714" s="47"/>
      <c r="T1714" s="45"/>
      <c r="U1714" s="45"/>
      <c r="V1714" s="45"/>
      <c r="W1714" s="45"/>
      <c r="X1714" s="47"/>
      <c r="Y1714" s="45"/>
      <c r="Z1714" s="45"/>
      <c r="AA1714" s="48"/>
      <c r="AB1714" s="48"/>
      <c r="AC1714" s="47"/>
      <c r="AD1714" s="47"/>
      <c r="AE1714" s="47"/>
    </row>
    <row r="1715" spans="1:31" x14ac:dyDescent="0.35">
      <c r="A1715" s="41"/>
      <c r="B1715" s="41"/>
      <c r="C1715" s="42"/>
      <c r="D1715" s="43"/>
      <c r="E1715" s="43"/>
      <c r="F1715" s="43"/>
      <c r="G1715" s="43"/>
      <c r="H1715" s="43"/>
      <c r="I1715" s="43"/>
      <c r="J1715" s="43"/>
      <c r="K1715" s="43"/>
      <c r="L1715" s="43"/>
      <c r="M1715" s="43"/>
      <c r="N1715" s="43"/>
      <c r="O1715" s="43"/>
      <c r="P1715" s="43"/>
      <c r="Q1715" s="43"/>
      <c r="R1715" s="43"/>
      <c r="S1715" s="43"/>
      <c r="T1715" s="43"/>
      <c r="U1715" s="43"/>
      <c r="V1715" s="41"/>
      <c r="W1715" s="41"/>
      <c r="X1715" s="41"/>
      <c r="Y1715" s="41"/>
      <c r="Z1715" s="41"/>
      <c r="AA1715" s="44"/>
      <c r="AB1715" s="44"/>
      <c r="AC1715" s="43"/>
      <c r="AD1715" s="43"/>
      <c r="AE1715" s="43"/>
    </row>
    <row r="1716" spans="1:31" x14ac:dyDescent="0.35">
      <c r="C1716" s="33"/>
      <c r="D1716" s="34"/>
      <c r="E1716" s="34"/>
      <c r="F1716" s="34"/>
      <c r="G1716" s="34"/>
      <c r="H1716" s="34"/>
      <c r="I1716" s="34"/>
      <c r="J1716" s="34"/>
      <c r="K1716" s="34"/>
      <c r="L1716" s="34"/>
      <c r="M1716" s="34"/>
      <c r="N1716" s="34"/>
      <c r="O1716" s="34"/>
      <c r="AA1716" s="35"/>
      <c r="AB1716" s="35"/>
      <c r="AC1716" s="34"/>
      <c r="AD1716" s="34"/>
      <c r="AE1716" s="34"/>
    </row>
    <row r="1717" spans="1:31" ht="15" thickBot="1" x14ac:dyDescent="0.4">
      <c r="A1717" s="45"/>
      <c r="B1717" s="45"/>
      <c r="C1717" s="46"/>
      <c r="D1717" s="47"/>
      <c r="E1717" s="47"/>
      <c r="F1717" s="47"/>
      <c r="G1717" s="47"/>
      <c r="H1717" s="47"/>
      <c r="I1717" s="47"/>
      <c r="J1717" s="47"/>
      <c r="K1717" s="47"/>
      <c r="L1717" s="47"/>
      <c r="M1717" s="47"/>
      <c r="N1717" s="47"/>
      <c r="O1717" s="47"/>
      <c r="P1717" s="47"/>
      <c r="Q1717" s="47"/>
      <c r="R1717" s="47"/>
      <c r="S1717" s="47"/>
      <c r="T1717" s="45"/>
      <c r="U1717" s="45"/>
      <c r="V1717" s="45"/>
      <c r="W1717" s="45"/>
      <c r="X1717" s="47"/>
      <c r="Y1717" s="45"/>
      <c r="Z1717" s="45"/>
      <c r="AA1717" s="48"/>
      <c r="AB1717" s="48"/>
      <c r="AC1717" s="47"/>
      <c r="AD1717" s="47"/>
      <c r="AE1717" s="47"/>
    </row>
    <row r="1718" spans="1:31" x14ac:dyDescent="0.35">
      <c r="A1718" s="41"/>
      <c r="B1718" s="41"/>
      <c r="C1718" s="42"/>
      <c r="D1718" s="43"/>
      <c r="E1718" s="43"/>
      <c r="F1718" s="43"/>
      <c r="G1718" s="43"/>
      <c r="H1718" s="43"/>
      <c r="I1718" s="43"/>
      <c r="J1718" s="43"/>
      <c r="K1718" s="43"/>
      <c r="L1718" s="43"/>
      <c r="M1718" s="43"/>
      <c r="N1718" s="43"/>
      <c r="O1718" s="43"/>
      <c r="P1718" s="43"/>
      <c r="Q1718" s="43"/>
      <c r="R1718" s="43"/>
      <c r="S1718" s="43"/>
      <c r="T1718" s="43"/>
      <c r="U1718" s="43"/>
      <c r="V1718" s="41"/>
      <c r="W1718" s="41"/>
      <c r="X1718" s="41"/>
      <c r="Y1718" s="41"/>
      <c r="Z1718" s="41"/>
      <c r="AA1718" s="44"/>
      <c r="AB1718" s="44"/>
      <c r="AC1718" s="43"/>
      <c r="AD1718" s="43"/>
      <c r="AE1718" s="43"/>
    </row>
    <row r="1719" spans="1:31" x14ac:dyDescent="0.35">
      <c r="C1719" s="33"/>
      <c r="D1719" s="34"/>
      <c r="E1719" s="34"/>
      <c r="F1719" s="34"/>
      <c r="G1719" s="34"/>
      <c r="H1719" s="34"/>
      <c r="I1719" s="34"/>
      <c r="J1719" s="34"/>
      <c r="K1719" s="34"/>
      <c r="L1719" s="34"/>
      <c r="M1719" s="34"/>
      <c r="N1719" s="34"/>
      <c r="O1719" s="34"/>
      <c r="AA1719" s="35"/>
      <c r="AB1719" s="35"/>
      <c r="AC1719" s="34"/>
      <c r="AD1719" s="34"/>
      <c r="AE1719" s="34"/>
    </row>
    <row r="1720" spans="1:31" ht="15" thickBot="1" x14ac:dyDescent="0.4">
      <c r="A1720" s="45"/>
      <c r="B1720" s="45"/>
      <c r="C1720" s="46"/>
      <c r="D1720" s="47"/>
      <c r="E1720" s="47"/>
      <c r="F1720" s="47"/>
      <c r="G1720" s="47"/>
      <c r="H1720" s="47"/>
      <c r="I1720" s="47"/>
      <c r="J1720" s="47"/>
      <c r="K1720" s="47"/>
      <c r="L1720" s="47"/>
      <c r="M1720" s="47"/>
      <c r="N1720" s="47"/>
      <c r="O1720" s="47"/>
      <c r="P1720" s="47"/>
      <c r="Q1720" s="47"/>
      <c r="R1720" s="47"/>
      <c r="S1720" s="47"/>
      <c r="T1720" s="45"/>
      <c r="U1720" s="45"/>
      <c r="V1720" s="45"/>
      <c r="W1720" s="45"/>
      <c r="X1720" s="47"/>
      <c r="Y1720" s="45"/>
      <c r="Z1720" s="45"/>
      <c r="AA1720" s="48"/>
      <c r="AB1720" s="48"/>
      <c r="AC1720" s="47"/>
      <c r="AD1720" s="47"/>
      <c r="AE1720" s="47"/>
    </row>
    <row r="1721" spans="1:31" x14ac:dyDescent="0.35">
      <c r="A1721" s="41"/>
      <c r="B1721" s="41"/>
      <c r="C1721" s="42"/>
      <c r="D1721" s="43"/>
      <c r="E1721" s="43"/>
      <c r="F1721" s="43"/>
      <c r="G1721" s="43"/>
      <c r="H1721" s="43"/>
      <c r="I1721" s="43"/>
      <c r="J1721" s="43"/>
      <c r="K1721" s="43"/>
      <c r="L1721" s="43"/>
      <c r="M1721" s="43"/>
      <c r="N1721" s="43"/>
      <c r="O1721" s="43"/>
      <c r="P1721" s="43"/>
      <c r="Q1721" s="43"/>
      <c r="R1721" s="43"/>
      <c r="S1721" s="43"/>
      <c r="T1721" s="43"/>
      <c r="U1721" s="43"/>
      <c r="V1721" s="41"/>
      <c r="W1721" s="41"/>
      <c r="X1721" s="41"/>
      <c r="Y1721" s="41"/>
      <c r="Z1721" s="41"/>
      <c r="AA1721" s="44"/>
      <c r="AB1721" s="44"/>
      <c r="AC1721" s="43"/>
      <c r="AD1721" s="43"/>
      <c r="AE1721" s="43"/>
    </row>
    <row r="1722" spans="1:31" x14ac:dyDescent="0.35">
      <c r="C1722" s="33"/>
      <c r="D1722" s="34"/>
      <c r="E1722" s="34"/>
      <c r="F1722" s="34"/>
      <c r="G1722" s="34"/>
      <c r="H1722" s="34"/>
      <c r="I1722" s="34"/>
      <c r="J1722" s="34"/>
      <c r="K1722" s="34"/>
      <c r="L1722" s="34"/>
      <c r="M1722" s="34"/>
      <c r="N1722" s="34"/>
      <c r="O1722" s="34"/>
      <c r="AA1722" s="35"/>
      <c r="AB1722" s="35"/>
      <c r="AC1722" s="34"/>
      <c r="AD1722" s="34"/>
      <c r="AE1722" s="34"/>
    </row>
    <row r="1723" spans="1:31" ht="15" thickBot="1" x14ac:dyDescent="0.4">
      <c r="A1723" s="45"/>
      <c r="B1723" s="45"/>
      <c r="C1723" s="46"/>
      <c r="D1723" s="47"/>
      <c r="E1723" s="47"/>
      <c r="F1723" s="47"/>
      <c r="G1723" s="47"/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  <c r="S1723" s="47"/>
      <c r="T1723" s="45"/>
      <c r="U1723" s="45"/>
      <c r="V1723" s="45"/>
      <c r="W1723" s="45"/>
      <c r="X1723" s="47"/>
      <c r="Y1723" s="45"/>
      <c r="Z1723" s="45"/>
      <c r="AA1723" s="48"/>
      <c r="AB1723" s="48"/>
      <c r="AC1723" s="47"/>
      <c r="AD1723" s="47"/>
      <c r="AE1723" s="47"/>
    </row>
    <row r="1724" spans="1:31" x14ac:dyDescent="0.35">
      <c r="A1724" s="41"/>
      <c r="B1724" s="41"/>
      <c r="C1724" s="42"/>
      <c r="D1724" s="43"/>
      <c r="E1724" s="43"/>
      <c r="F1724" s="43"/>
      <c r="G1724" s="43"/>
      <c r="H1724" s="43"/>
      <c r="I1724" s="43"/>
      <c r="J1724" s="43"/>
      <c r="K1724" s="43"/>
      <c r="L1724" s="43"/>
      <c r="M1724" s="43"/>
      <c r="N1724" s="43"/>
      <c r="O1724" s="43"/>
      <c r="P1724" s="43"/>
      <c r="Q1724" s="43"/>
      <c r="R1724" s="43"/>
      <c r="S1724" s="43"/>
      <c r="T1724" s="43"/>
      <c r="U1724" s="43"/>
      <c r="V1724" s="41"/>
      <c r="W1724" s="41"/>
      <c r="X1724" s="41"/>
      <c r="Y1724" s="41"/>
      <c r="Z1724" s="41"/>
      <c r="AA1724" s="44"/>
      <c r="AB1724" s="44"/>
      <c r="AC1724" s="43"/>
      <c r="AD1724" s="43"/>
      <c r="AE1724" s="43"/>
    </row>
    <row r="1725" spans="1:31" x14ac:dyDescent="0.35">
      <c r="C1725" s="33"/>
      <c r="D1725" s="34"/>
      <c r="E1725" s="34"/>
      <c r="F1725" s="34"/>
      <c r="G1725" s="34"/>
      <c r="H1725" s="34"/>
      <c r="I1725" s="34"/>
      <c r="J1725" s="34"/>
      <c r="K1725" s="34"/>
      <c r="L1725" s="34"/>
      <c r="M1725" s="34"/>
      <c r="N1725" s="34"/>
      <c r="O1725" s="34"/>
      <c r="AA1725" s="35"/>
      <c r="AB1725" s="35"/>
      <c r="AC1725" s="34"/>
      <c r="AD1725" s="34"/>
      <c r="AE1725" s="34"/>
    </row>
    <row r="1726" spans="1:31" ht="15" thickBot="1" x14ac:dyDescent="0.4">
      <c r="A1726" s="45"/>
      <c r="B1726" s="45"/>
      <c r="C1726" s="46"/>
      <c r="D1726" s="47"/>
      <c r="E1726" s="47"/>
      <c r="F1726" s="47"/>
      <c r="G1726" s="47"/>
      <c r="H1726" s="47"/>
      <c r="I1726" s="47"/>
      <c r="J1726" s="47"/>
      <c r="K1726" s="47"/>
      <c r="L1726" s="47"/>
      <c r="M1726" s="47"/>
      <c r="N1726" s="47"/>
      <c r="O1726" s="47"/>
      <c r="P1726" s="47"/>
      <c r="Q1726" s="47"/>
      <c r="R1726" s="47"/>
      <c r="S1726" s="47"/>
      <c r="T1726" s="45"/>
      <c r="U1726" s="45"/>
      <c r="V1726" s="45"/>
      <c r="W1726" s="45"/>
      <c r="X1726" s="47"/>
      <c r="Y1726" s="45"/>
      <c r="Z1726" s="45"/>
      <c r="AA1726" s="48"/>
      <c r="AB1726" s="48"/>
      <c r="AC1726" s="47"/>
      <c r="AD1726" s="47"/>
      <c r="AE1726" s="47"/>
    </row>
    <row r="1727" spans="1:31" x14ac:dyDescent="0.35">
      <c r="A1727" s="41"/>
      <c r="B1727" s="41"/>
      <c r="C1727" s="42"/>
      <c r="D1727" s="43"/>
      <c r="E1727" s="43"/>
      <c r="F1727" s="43"/>
      <c r="G1727" s="43"/>
      <c r="H1727" s="43"/>
      <c r="I1727" s="43"/>
      <c r="J1727" s="43"/>
      <c r="K1727" s="43"/>
      <c r="L1727" s="43"/>
      <c r="M1727" s="43"/>
      <c r="N1727" s="43"/>
      <c r="O1727" s="43"/>
      <c r="P1727" s="43"/>
      <c r="Q1727" s="43"/>
      <c r="R1727" s="43"/>
      <c r="S1727" s="43"/>
      <c r="T1727" s="43"/>
      <c r="U1727" s="43"/>
      <c r="V1727" s="41"/>
      <c r="W1727" s="41"/>
      <c r="X1727" s="41"/>
      <c r="Y1727" s="41"/>
      <c r="Z1727" s="41"/>
      <c r="AA1727" s="44"/>
      <c r="AB1727" s="44"/>
      <c r="AC1727" s="43"/>
      <c r="AD1727" s="43"/>
      <c r="AE1727" s="43"/>
    </row>
    <row r="1728" spans="1:31" x14ac:dyDescent="0.35">
      <c r="C1728" s="33"/>
      <c r="D1728" s="34"/>
      <c r="E1728" s="34"/>
      <c r="F1728" s="34"/>
      <c r="G1728" s="34"/>
      <c r="H1728" s="34"/>
      <c r="I1728" s="34"/>
      <c r="J1728" s="34"/>
      <c r="K1728" s="34"/>
      <c r="L1728" s="34"/>
      <c r="M1728" s="34"/>
      <c r="N1728" s="34"/>
      <c r="O1728" s="34"/>
      <c r="AA1728" s="35"/>
      <c r="AB1728" s="35"/>
      <c r="AC1728" s="34"/>
      <c r="AD1728" s="34"/>
      <c r="AE1728" s="34"/>
    </row>
    <row r="1729" spans="1:31" ht="15" thickBot="1" x14ac:dyDescent="0.4">
      <c r="A1729" s="45"/>
      <c r="B1729" s="45"/>
      <c r="C1729" s="46"/>
      <c r="D1729" s="47"/>
      <c r="E1729" s="47"/>
      <c r="F1729" s="47"/>
      <c r="G1729" s="47"/>
      <c r="H1729" s="47"/>
      <c r="I1729" s="47"/>
      <c r="J1729" s="47"/>
      <c r="K1729" s="47"/>
      <c r="L1729" s="47"/>
      <c r="M1729" s="47"/>
      <c r="N1729" s="47"/>
      <c r="O1729" s="47"/>
      <c r="P1729" s="47"/>
      <c r="Q1729" s="47"/>
      <c r="R1729" s="47"/>
      <c r="S1729" s="47"/>
      <c r="T1729" s="45"/>
      <c r="U1729" s="45"/>
      <c r="V1729" s="45"/>
      <c r="W1729" s="45"/>
      <c r="X1729" s="47"/>
      <c r="Y1729" s="45"/>
      <c r="Z1729" s="45"/>
      <c r="AA1729" s="48"/>
      <c r="AB1729" s="48"/>
      <c r="AC1729" s="47"/>
      <c r="AD1729" s="47"/>
      <c r="AE1729" s="47"/>
    </row>
    <row r="1730" spans="1:31" x14ac:dyDescent="0.35">
      <c r="A1730" s="41"/>
      <c r="B1730" s="41"/>
      <c r="C1730" s="42"/>
      <c r="D1730" s="43"/>
      <c r="E1730" s="43"/>
      <c r="F1730" s="43"/>
      <c r="G1730" s="43"/>
      <c r="H1730" s="43"/>
      <c r="I1730" s="43"/>
      <c r="J1730" s="43"/>
      <c r="K1730" s="43"/>
      <c r="L1730" s="43"/>
      <c r="M1730" s="43"/>
      <c r="N1730" s="43"/>
      <c r="O1730" s="43"/>
      <c r="P1730" s="43"/>
      <c r="Q1730" s="43"/>
      <c r="R1730" s="43"/>
      <c r="S1730" s="43"/>
      <c r="T1730" s="43"/>
      <c r="U1730" s="43"/>
      <c r="V1730" s="41"/>
      <c r="W1730" s="41"/>
      <c r="X1730" s="41"/>
      <c r="Y1730" s="41"/>
      <c r="Z1730" s="41"/>
      <c r="AA1730" s="44"/>
      <c r="AB1730" s="44"/>
      <c r="AC1730" s="43"/>
      <c r="AD1730" s="43"/>
      <c r="AE1730" s="43"/>
    </row>
    <row r="1731" spans="1:31" x14ac:dyDescent="0.35">
      <c r="C1731" s="33"/>
      <c r="D1731" s="34"/>
      <c r="E1731" s="34"/>
      <c r="F1731" s="34"/>
      <c r="G1731" s="34"/>
      <c r="H1731" s="34"/>
      <c r="I1731" s="34"/>
      <c r="J1731" s="34"/>
      <c r="K1731" s="34"/>
      <c r="L1731" s="34"/>
      <c r="M1731" s="34"/>
      <c r="N1731" s="34"/>
      <c r="O1731" s="34"/>
      <c r="AA1731" s="35"/>
      <c r="AB1731" s="35"/>
      <c r="AC1731" s="34"/>
      <c r="AD1731" s="34"/>
      <c r="AE1731" s="34"/>
    </row>
    <row r="1732" spans="1:31" ht="15" thickBot="1" x14ac:dyDescent="0.4">
      <c r="A1732" s="45"/>
      <c r="B1732" s="45"/>
      <c r="C1732" s="46"/>
      <c r="D1732" s="47"/>
      <c r="E1732" s="47"/>
      <c r="F1732" s="47"/>
      <c r="G1732" s="47"/>
      <c r="H1732" s="47"/>
      <c r="I1732" s="47"/>
      <c r="J1732" s="47"/>
      <c r="K1732" s="47"/>
      <c r="L1732" s="47"/>
      <c r="M1732" s="47"/>
      <c r="N1732" s="47"/>
      <c r="O1732" s="47"/>
      <c r="P1732" s="47"/>
      <c r="Q1732" s="47"/>
      <c r="R1732" s="47"/>
      <c r="S1732" s="47"/>
      <c r="T1732" s="45"/>
      <c r="U1732" s="45"/>
      <c r="V1732" s="45"/>
      <c r="W1732" s="45"/>
      <c r="X1732" s="47"/>
      <c r="Y1732" s="45"/>
      <c r="Z1732" s="45"/>
      <c r="AA1732" s="48"/>
      <c r="AB1732" s="48"/>
      <c r="AC1732" s="47"/>
      <c r="AD1732" s="47"/>
      <c r="AE1732" s="47"/>
    </row>
    <row r="1733" spans="1:31" x14ac:dyDescent="0.35">
      <c r="A1733" s="41"/>
      <c r="B1733" s="41"/>
      <c r="C1733" s="42"/>
      <c r="D1733" s="43"/>
      <c r="E1733" s="43"/>
      <c r="F1733" s="43"/>
      <c r="G1733" s="43"/>
      <c r="H1733" s="43"/>
      <c r="I1733" s="43"/>
      <c r="J1733" s="43"/>
      <c r="K1733" s="43"/>
      <c r="L1733" s="43"/>
      <c r="M1733" s="43"/>
      <c r="N1733" s="43"/>
      <c r="O1733" s="43"/>
      <c r="P1733" s="43"/>
      <c r="Q1733" s="43"/>
      <c r="R1733" s="43"/>
      <c r="S1733" s="43"/>
      <c r="T1733" s="43"/>
      <c r="U1733" s="43"/>
      <c r="V1733" s="41"/>
      <c r="W1733" s="41"/>
      <c r="X1733" s="41"/>
      <c r="Y1733" s="41"/>
      <c r="Z1733" s="41"/>
      <c r="AA1733" s="44"/>
      <c r="AB1733" s="44"/>
      <c r="AC1733" s="43"/>
      <c r="AD1733" s="43"/>
      <c r="AE1733" s="43"/>
    </row>
    <row r="1734" spans="1:31" x14ac:dyDescent="0.35">
      <c r="C1734" s="33"/>
      <c r="D1734" s="34"/>
      <c r="E1734" s="34"/>
      <c r="F1734" s="34"/>
      <c r="G1734" s="34"/>
      <c r="H1734" s="34"/>
      <c r="I1734" s="34"/>
      <c r="J1734" s="34"/>
      <c r="K1734" s="34"/>
      <c r="L1734" s="34"/>
      <c r="M1734" s="34"/>
      <c r="N1734" s="34"/>
      <c r="O1734" s="34"/>
      <c r="AA1734" s="35"/>
      <c r="AB1734" s="35"/>
      <c r="AC1734" s="34"/>
      <c r="AD1734" s="34"/>
      <c r="AE1734" s="34"/>
    </row>
    <row r="1735" spans="1:31" ht="15" thickBot="1" x14ac:dyDescent="0.4">
      <c r="A1735" s="45"/>
      <c r="B1735" s="45"/>
      <c r="C1735" s="46"/>
      <c r="D1735" s="47"/>
      <c r="E1735" s="47"/>
      <c r="F1735" s="47"/>
      <c r="G1735" s="47"/>
      <c r="H1735" s="47"/>
      <c r="I1735" s="47"/>
      <c r="J1735" s="47"/>
      <c r="K1735" s="47"/>
      <c r="L1735" s="47"/>
      <c r="M1735" s="47"/>
      <c r="N1735" s="47"/>
      <c r="O1735" s="47"/>
      <c r="P1735" s="47"/>
      <c r="Q1735" s="47"/>
      <c r="R1735" s="47"/>
      <c r="S1735" s="47"/>
      <c r="T1735" s="45"/>
      <c r="U1735" s="45"/>
      <c r="V1735" s="45"/>
      <c r="W1735" s="45"/>
      <c r="X1735" s="47"/>
      <c r="Y1735" s="45"/>
      <c r="Z1735" s="45"/>
      <c r="AA1735" s="48"/>
      <c r="AB1735" s="48"/>
      <c r="AC1735" s="47"/>
      <c r="AD1735" s="47"/>
      <c r="AE1735" s="47"/>
    </row>
    <row r="1736" spans="1:31" x14ac:dyDescent="0.35">
      <c r="A1736" s="41"/>
      <c r="B1736" s="41"/>
      <c r="C1736" s="42"/>
      <c r="D1736" s="43"/>
      <c r="E1736" s="43"/>
      <c r="F1736" s="43"/>
      <c r="G1736" s="43"/>
      <c r="H1736" s="43"/>
      <c r="I1736" s="43"/>
      <c r="J1736" s="43"/>
      <c r="K1736" s="43"/>
      <c r="L1736" s="43"/>
      <c r="M1736" s="43"/>
      <c r="N1736" s="43"/>
      <c r="O1736" s="43"/>
      <c r="P1736" s="43"/>
      <c r="Q1736" s="43"/>
      <c r="R1736" s="43"/>
      <c r="S1736" s="43"/>
      <c r="T1736" s="43"/>
      <c r="U1736" s="43"/>
      <c r="V1736" s="41"/>
      <c r="W1736" s="41"/>
      <c r="X1736" s="41"/>
      <c r="Y1736" s="41"/>
      <c r="Z1736" s="41"/>
      <c r="AA1736" s="44"/>
      <c r="AB1736" s="44"/>
      <c r="AC1736" s="43"/>
      <c r="AD1736" s="43"/>
      <c r="AE1736" s="43"/>
    </row>
    <row r="1737" spans="1:31" x14ac:dyDescent="0.35">
      <c r="C1737" s="33"/>
      <c r="D1737" s="34"/>
      <c r="E1737" s="34"/>
      <c r="F1737" s="34"/>
      <c r="G1737" s="34"/>
      <c r="H1737" s="34"/>
      <c r="I1737" s="34"/>
      <c r="J1737" s="34"/>
      <c r="K1737" s="34"/>
      <c r="L1737" s="34"/>
      <c r="M1737" s="34"/>
      <c r="N1737" s="34"/>
      <c r="O1737" s="34"/>
      <c r="AA1737" s="35"/>
      <c r="AB1737" s="35"/>
      <c r="AC1737" s="34"/>
      <c r="AD1737" s="34"/>
      <c r="AE1737" s="34"/>
    </row>
    <row r="1738" spans="1:31" ht="15" thickBot="1" x14ac:dyDescent="0.4">
      <c r="A1738" s="45"/>
      <c r="B1738" s="45"/>
      <c r="C1738" s="46"/>
      <c r="D1738" s="47"/>
      <c r="E1738" s="47"/>
      <c r="F1738" s="47"/>
      <c r="G1738" s="47"/>
      <c r="H1738" s="47"/>
      <c r="I1738" s="47"/>
      <c r="J1738" s="47"/>
      <c r="K1738" s="47"/>
      <c r="L1738" s="47"/>
      <c r="M1738" s="47"/>
      <c r="N1738" s="47"/>
      <c r="O1738" s="47"/>
      <c r="P1738" s="47"/>
      <c r="Q1738" s="47"/>
      <c r="R1738" s="47"/>
      <c r="S1738" s="47"/>
      <c r="T1738" s="45"/>
      <c r="U1738" s="45"/>
      <c r="V1738" s="45"/>
      <c r="W1738" s="45"/>
      <c r="X1738" s="47"/>
      <c r="Y1738" s="45"/>
      <c r="Z1738" s="45"/>
      <c r="AA1738" s="48"/>
      <c r="AB1738" s="48"/>
      <c r="AC1738" s="47"/>
      <c r="AD1738" s="47"/>
      <c r="AE1738" s="47"/>
    </row>
    <row r="1739" spans="1:31" x14ac:dyDescent="0.35">
      <c r="A1739" s="41"/>
      <c r="B1739" s="41"/>
      <c r="C1739" s="42"/>
      <c r="D1739" s="43"/>
      <c r="E1739" s="43"/>
      <c r="F1739" s="43"/>
      <c r="G1739" s="43"/>
      <c r="H1739" s="43"/>
      <c r="I1739" s="43"/>
      <c r="J1739" s="43"/>
      <c r="K1739" s="43"/>
      <c r="L1739" s="43"/>
      <c r="M1739" s="43"/>
      <c r="N1739" s="43"/>
      <c r="O1739" s="43"/>
      <c r="P1739" s="43"/>
      <c r="Q1739" s="43"/>
      <c r="R1739" s="43"/>
      <c r="S1739" s="43"/>
      <c r="T1739" s="43"/>
      <c r="U1739" s="43"/>
      <c r="V1739" s="41"/>
      <c r="W1739" s="41"/>
      <c r="X1739" s="41"/>
      <c r="Y1739" s="41"/>
      <c r="Z1739" s="41"/>
      <c r="AA1739" s="44"/>
      <c r="AB1739" s="44"/>
      <c r="AC1739" s="43"/>
      <c r="AD1739" s="43"/>
      <c r="AE1739" s="43"/>
    </row>
    <row r="1740" spans="1:31" x14ac:dyDescent="0.35">
      <c r="C1740" s="33"/>
      <c r="D1740" s="34"/>
      <c r="E1740" s="34"/>
      <c r="F1740" s="34"/>
      <c r="G1740" s="34"/>
      <c r="H1740" s="34"/>
      <c r="I1740" s="34"/>
      <c r="J1740" s="34"/>
      <c r="K1740" s="34"/>
      <c r="L1740" s="34"/>
      <c r="M1740" s="34"/>
      <c r="N1740" s="34"/>
      <c r="O1740" s="34"/>
      <c r="AA1740" s="35"/>
      <c r="AB1740" s="35"/>
      <c r="AC1740" s="34"/>
      <c r="AD1740" s="34"/>
      <c r="AE1740" s="34"/>
    </row>
    <row r="1741" spans="1:31" ht="15" thickBot="1" x14ac:dyDescent="0.4">
      <c r="A1741" s="45"/>
      <c r="B1741" s="45"/>
      <c r="C1741" s="46"/>
      <c r="D1741" s="47"/>
      <c r="E1741" s="47"/>
      <c r="F1741" s="47"/>
      <c r="G1741" s="47"/>
      <c r="H1741" s="47"/>
      <c r="I1741" s="47"/>
      <c r="J1741" s="47"/>
      <c r="K1741" s="47"/>
      <c r="L1741" s="47"/>
      <c r="M1741" s="47"/>
      <c r="N1741" s="47"/>
      <c r="O1741" s="47"/>
      <c r="P1741" s="47"/>
      <c r="Q1741" s="47"/>
      <c r="R1741" s="47"/>
      <c r="S1741" s="47"/>
      <c r="T1741" s="45"/>
      <c r="U1741" s="45"/>
      <c r="V1741" s="45"/>
      <c r="W1741" s="45"/>
      <c r="X1741" s="47"/>
      <c r="Y1741" s="45"/>
      <c r="Z1741" s="45"/>
      <c r="AA1741" s="48"/>
      <c r="AB1741" s="48"/>
      <c r="AC1741" s="47"/>
      <c r="AD1741" s="47"/>
      <c r="AE1741" s="47"/>
    </row>
    <row r="1742" spans="1:31" x14ac:dyDescent="0.35">
      <c r="A1742" s="41"/>
      <c r="B1742" s="41"/>
      <c r="C1742" s="42"/>
      <c r="D1742" s="43"/>
      <c r="E1742" s="43"/>
      <c r="F1742" s="43"/>
      <c r="G1742" s="43"/>
      <c r="H1742" s="43"/>
      <c r="I1742" s="43"/>
      <c r="J1742" s="43"/>
      <c r="K1742" s="43"/>
      <c r="L1742" s="43"/>
      <c r="M1742" s="43"/>
      <c r="N1742" s="43"/>
      <c r="O1742" s="43"/>
      <c r="P1742" s="43"/>
      <c r="Q1742" s="43"/>
      <c r="R1742" s="43"/>
      <c r="S1742" s="43"/>
      <c r="T1742" s="43"/>
      <c r="U1742" s="43"/>
      <c r="V1742" s="41"/>
      <c r="W1742" s="41"/>
      <c r="X1742" s="41"/>
      <c r="Y1742" s="41"/>
      <c r="Z1742" s="41"/>
      <c r="AA1742" s="44"/>
      <c r="AB1742" s="44"/>
      <c r="AC1742" s="43"/>
      <c r="AD1742" s="43"/>
      <c r="AE1742" s="43"/>
    </row>
    <row r="1743" spans="1:31" x14ac:dyDescent="0.35">
      <c r="C1743" s="33"/>
      <c r="D1743" s="34"/>
      <c r="E1743" s="34"/>
      <c r="F1743" s="34"/>
      <c r="G1743" s="34"/>
      <c r="H1743" s="34"/>
      <c r="I1743" s="34"/>
      <c r="J1743" s="34"/>
      <c r="K1743" s="34"/>
      <c r="L1743" s="34"/>
      <c r="M1743" s="34"/>
      <c r="N1743" s="34"/>
      <c r="O1743" s="34"/>
      <c r="AA1743" s="35"/>
      <c r="AB1743" s="35"/>
      <c r="AC1743" s="34"/>
      <c r="AD1743" s="34"/>
      <c r="AE1743" s="34"/>
    </row>
    <row r="1744" spans="1:31" ht="15" thickBot="1" x14ac:dyDescent="0.4">
      <c r="A1744" s="45"/>
      <c r="B1744" s="45"/>
      <c r="C1744" s="46"/>
      <c r="D1744" s="47"/>
      <c r="E1744" s="47"/>
      <c r="F1744" s="47"/>
      <c r="G1744" s="47"/>
      <c r="H1744" s="47"/>
      <c r="I1744" s="47"/>
      <c r="J1744" s="47"/>
      <c r="K1744" s="47"/>
      <c r="L1744" s="47"/>
      <c r="M1744" s="47"/>
      <c r="N1744" s="47"/>
      <c r="O1744" s="47"/>
      <c r="P1744" s="47"/>
      <c r="Q1744" s="47"/>
      <c r="R1744" s="47"/>
      <c r="S1744" s="47"/>
      <c r="T1744" s="45"/>
      <c r="U1744" s="45"/>
      <c r="V1744" s="45"/>
      <c r="W1744" s="45"/>
      <c r="X1744" s="47"/>
      <c r="Y1744" s="45"/>
      <c r="Z1744" s="45"/>
      <c r="AA1744" s="48"/>
      <c r="AB1744" s="48"/>
      <c r="AC1744" s="47"/>
      <c r="AD1744" s="47"/>
      <c r="AE1744" s="47"/>
    </row>
    <row r="1745" spans="1:31" x14ac:dyDescent="0.35">
      <c r="A1745" s="41"/>
      <c r="B1745" s="41"/>
      <c r="C1745" s="42"/>
      <c r="D1745" s="43"/>
      <c r="E1745" s="43"/>
      <c r="F1745" s="43"/>
      <c r="G1745" s="43"/>
      <c r="H1745" s="43"/>
      <c r="I1745" s="43"/>
      <c r="J1745" s="43"/>
      <c r="K1745" s="43"/>
      <c r="L1745" s="43"/>
      <c r="M1745" s="43"/>
      <c r="N1745" s="43"/>
      <c r="O1745" s="43"/>
      <c r="P1745" s="43"/>
      <c r="Q1745" s="43"/>
      <c r="R1745" s="43"/>
      <c r="S1745" s="43"/>
      <c r="T1745" s="43"/>
      <c r="U1745" s="43"/>
      <c r="V1745" s="41"/>
      <c r="W1745" s="41"/>
      <c r="X1745" s="41"/>
      <c r="Y1745" s="41"/>
      <c r="Z1745" s="41"/>
      <c r="AA1745" s="44"/>
      <c r="AB1745" s="44"/>
      <c r="AC1745" s="43"/>
      <c r="AD1745" s="43"/>
      <c r="AE1745" s="43"/>
    </row>
    <row r="1746" spans="1:31" x14ac:dyDescent="0.35">
      <c r="C1746" s="33"/>
      <c r="D1746" s="34"/>
      <c r="E1746" s="34"/>
      <c r="F1746" s="34"/>
      <c r="G1746" s="34"/>
      <c r="H1746" s="34"/>
      <c r="I1746" s="34"/>
      <c r="J1746" s="34"/>
      <c r="K1746" s="34"/>
      <c r="L1746" s="34"/>
      <c r="M1746" s="34"/>
      <c r="N1746" s="34"/>
      <c r="O1746" s="34"/>
      <c r="AA1746" s="35"/>
      <c r="AB1746" s="35"/>
      <c r="AC1746" s="34"/>
      <c r="AD1746" s="34"/>
      <c r="AE1746" s="34"/>
    </row>
    <row r="1747" spans="1:31" ht="15" thickBot="1" x14ac:dyDescent="0.4">
      <c r="A1747" s="45"/>
      <c r="B1747" s="45"/>
      <c r="C1747" s="46"/>
      <c r="D1747" s="47"/>
      <c r="E1747" s="47"/>
      <c r="F1747" s="47"/>
      <c r="G1747" s="47"/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R1747" s="47"/>
      <c r="S1747" s="47"/>
      <c r="T1747" s="45"/>
      <c r="U1747" s="45"/>
      <c r="V1747" s="45"/>
      <c r="W1747" s="45"/>
      <c r="X1747" s="47"/>
      <c r="Y1747" s="45"/>
      <c r="Z1747" s="45"/>
      <c r="AA1747" s="48"/>
      <c r="AB1747" s="48"/>
      <c r="AC1747" s="47"/>
      <c r="AD1747" s="47"/>
      <c r="AE1747" s="47"/>
    </row>
    <row r="1748" spans="1:31" x14ac:dyDescent="0.35">
      <c r="A1748" s="41"/>
      <c r="B1748" s="41"/>
      <c r="C1748" s="42"/>
      <c r="D1748" s="43"/>
      <c r="E1748" s="43"/>
      <c r="F1748" s="43"/>
      <c r="G1748" s="43"/>
      <c r="H1748" s="43"/>
      <c r="I1748" s="43"/>
      <c r="J1748" s="43"/>
      <c r="K1748" s="43"/>
      <c r="L1748" s="43"/>
      <c r="M1748" s="43"/>
      <c r="N1748" s="43"/>
      <c r="O1748" s="43"/>
      <c r="P1748" s="43"/>
      <c r="Q1748" s="43"/>
      <c r="R1748" s="43"/>
      <c r="S1748" s="43"/>
      <c r="T1748" s="43"/>
      <c r="U1748" s="43"/>
      <c r="V1748" s="41"/>
      <c r="W1748" s="41"/>
      <c r="X1748" s="41"/>
      <c r="Y1748" s="41"/>
      <c r="Z1748" s="41"/>
      <c r="AA1748" s="44"/>
      <c r="AB1748" s="44"/>
      <c r="AC1748" s="43"/>
      <c r="AD1748" s="43"/>
      <c r="AE1748" s="43"/>
    </row>
    <row r="1749" spans="1:31" x14ac:dyDescent="0.35">
      <c r="C1749" s="33"/>
      <c r="D1749" s="34"/>
      <c r="E1749" s="34"/>
      <c r="F1749" s="34"/>
      <c r="G1749" s="34"/>
      <c r="H1749" s="34"/>
      <c r="I1749" s="34"/>
      <c r="J1749" s="34"/>
      <c r="K1749" s="34"/>
      <c r="L1749" s="34"/>
      <c r="M1749" s="34"/>
      <c r="N1749" s="34"/>
      <c r="O1749" s="34"/>
      <c r="AA1749" s="35"/>
      <c r="AB1749" s="35"/>
      <c r="AC1749" s="34"/>
      <c r="AD1749" s="34"/>
      <c r="AE1749" s="34"/>
    </row>
    <row r="1750" spans="1:31" ht="15" thickBot="1" x14ac:dyDescent="0.4">
      <c r="A1750" s="45"/>
      <c r="B1750" s="45"/>
      <c r="C1750" s="46"/>
      <c r="D1750" s="47"/>
      <c r="E1750" s="47"/>
      <c r="F1750" s="47"/>
      <c r="G1750" s="47"/>
      <c r="H1750" s="47"/>
      <c r="I1750" s="47"/>
      <c r="J1750" s="47"/>
      <c r="K1750" s="47"/>
      <c r="L1750" s="47"/>
      <c r="M1750" s="47"/>
      <c r="N1750" s="47"/>
      <c r="O1750" s="47"/>
      <c r="P1750" s="47"/>
      <c r="Q1750" s="47"/>
      <c r="R1750" s="47"/>
      <c r="S1750" s="47"/>
      <c r="T1750" s="45"/>
      <c r="U1750" s="45"/>
      <c r="V1750" s="45"/>
      <c r="W1750" s="45"/>
      <c r="X1750" s="47"/>
      <c r="Y1750" s="45"/>
      <c r="Z1750" s="45"/>
      <c r="AA1750" s="48"/>
      <c r="AB1750" s="48"/>
      <c r="AC1750" s="47"/>
      <c r="AD1750" s="47"/>
      <c r="AE1750" s="47"/>
    </row>
    <row r="1751" spans="1:31" x14ac:dyDescent="0.35">
      <c r="A1751" s="41"/>
      <c r="B1751" s="41"/>
      <c r="C1751" s="42"/>
      <c r="D1751" s="43"/>
      <c r="E1751" s="43"/>
      <c r="F1751" s="43"/>
      <c r="G1751" s="43"/>
      <c r="H1751" s="43"/>
      <c r="I1751" s="43"/>
      <c r="J1751" s="43"/>
      <c r="K1751" s="43"/>
      <c r="L1751" s="43"/>
      <c r="M1751" s="43"/>
      <c r="N1751" s="43"/>
      <c r="O1751" s="43"/>
      <c r="P1751" s="43"/>
      <c r="Q1751" s="43"/>
      <c r="R1751" s="43"/>
      <c r="S1751" s="43"/>
      <c r="T1751" s="43"/>
      <c r="U1751" s="43"/>
      <c r="V1751" s="41"/>
      <c r="W1751" s="41"/>
      <c r="X1751" s="41"/>
      <c r="Y1751" s="41"/>
      <c r="Z1751" s="41"/>
      <c r="AA1751" s="44"/>
      <c r="AB1751" s="44"/>
      <c r="AC1751" s="43"/>
      <c r="AD1751" s="43"/>
      <c r="AE1751" s="43"/>
    </row>
    <row r="1752" spans="1:31" x14ac:dyDescent="0.35">
      <c r="C1752" s="33"/>
      <c r="D1752" s="34"/>
      <c r="E1752" s="34"/>
      <c r="F1752" s="34"/>
      <c r="G1752" s="34"/>
      <c r="H1752" s="34"/>
      <c r="I1752" s="34"/>
      <c r="J1752" s="34"/>
      <c r="K1752" s="34"/>
      <c r="L1752" s="34"/>
      <c r="M1752" s="34"/>
      <c r="N1752" s="34"/>
      <c r="O1752" s="34"/>
      <c r="AA1752" s="35"/>
      <c r="AB1752" s="35"/>
      <c r="AC1752" s="34"/>
      <c r="AD1752" s="34"/>
      <c r="AE1752" s="34"/>
    </row>
    <row r="1753" spans="1:31" ht="15" thickBot="1" x14ac:dyDescent="0.4">
      <c r="A1753" s="45"/>
      <c r="B1753" s="45"/>
      <c r="C1753" s="46"/>
      <c r="D1753" s="47"/>
      <c r="E1753" s="47"/>
      <c r="F1753" s="47"/>
      <c r="G1753" s="47"/>
      <c r="H1753" s="47"/>
      <c r="I1753" s="47"/>
      <c r="J1753" s="47"/>
      <c r="K1753" s="47"/>
      <c r="L1753" s="47"/>
      <c r="M1753" s="47"/>
      <c r="N1753" s="47"/>
      <c r="O1753" s="47"/>
      <c r="P1753" s="47"/>
      <c r="Q1753" s="47"/>
      <c r="R1753" s="47"/>
      <c r="S1753" s="47"/>
      <c r="T1753" s="45"/>
      <c r="U1753" s="45"/>
      <c r="V1753" s="45"/>
      <c r="W1753" s="45"/>
      <c r="X1753" s="47"/>
      <c r="Y1753" s="45"/>
      <c r="Z1753" s="45"/>
      <c r="AA1753" s="48"/>
      <c r="AB1753" s="48"/>
      <c r="AC1753" s="47"/>
      <c r="AD1753" s="47"/>
      <c r="AE1753" s="47"/>
    </row>
    <row r="1754" spans="1:31" x14ac:dyDescent="0.35">
      <c r="A1754" s="41"/>
      <c r="B1754" s="41"/>
      <c r="C1754" s="42"/>
      <c r="D1754" s="43"/>
      <c r="E1754" s="43"/>
      <c r="F1754" s="43"/>
      <c r="G1754" s="43"/>
      <c r="H1754" s="43"/>
      <c r="I1754" s="43"/>
      <c r="J1754" s="43"/>
      <c r="K1754" s="43"/>
      <c r="L1754" s="43"/>
      <c r="M1754" s="43"/>
      <c r="N1754" s="43"/>
      <c r="O1754" s="43"/>
      <c r="P1754" s="43"/>
      <c r="Q1754" s="43"/>
      <c r="R1754" s="43"/>
      <c r="S1754" s="43"/>
      <c r="T1754" s="43"/>
      <c r="U1754" s="43"/>
      <c r="V1754" s="41"/>
      <c r="W1754" s="41"/>
      <c r="X1754" s="41"/>
      <c r="Y1754" s="41"/>
      <c r="Z1754" s="41"/>
      <c r="AA1754" s="44"/>
      <c r="AB1754" s="44"/>
      <c r="AC1754" s="43"/>
      <c r="AD1754" s="43"/>
      <c r="AE1754" s="43"/>
    </row>
    <row r="1755" spans="1:31" x14ac:dyDescent="0.35">
      <c r="C1755" s="33"/>
      <c r="D1755" s="34"/>
      <c r="E1755" s="34"/>
      <c r="F1755" s="34"/>
      <c r="G1755" s="34"/>
      <c r="H1755" s="34"/>
      <c r="I1755" s="34"/>
      <c r="J1755" s="34"/>
      <c r="K1755" s="34"/>
      <c r="L1755" s="34"/>
      <c r="M1755" s="34"/>
      <c r="N1755" s="34"/>
      <c r="O1755" s="34"/>
      <c r="AA1755" s="35"/>
      <c r="AB1755" s="35"/>
      <c r="AC1755" s="34"/>
      <c r="AD1755" s="34"/>
      <c r="AE1755" s="34"/>
    </row>
    <row r="1756" spans="1:31" ht="15" thickBot="1" x14ac:dyDescent="0.4">
      <c r="A1756" s="45"/>
      <c r="B1756" s="45"/>
      <c r="C1756" s="46"/>
      <c r="D1756" s="47"/>
      <c r="E1756" s="47"/>
      <c r="F1756" s="47"/>
      <c r="G1756" s="47"/>
      <c r="H1756" s="47"/>
      <c r="I1756" s="47"/>
      <c r="J1756" s="47"/>
      <c r="K1756" s="47"/>
      <c r="L1756" s="47"/>
      <c r="M1756" s="47"/>
      <c r="N1756" s="47"/>
      <c r="O1756" s="47"/>
      <c r="P1756" s="47"/>
      <c r="Q1756" s="47"/>
      <c r="R1756" s="47"/>
      <c r="S1756" s="47"/>
      <c r="T1756" s="45"/>
      <c r="U1756" s="45"/>
      <c r="V1756" s="45"/>
      <c r="W1756" s="45"/>
      <c r="X1756" s="47"/>
      <c r="Y1756" s="45"/>
      <c r="Z1756" s="45"/>
      <c r="AA1756" s="48"/>
      <c r="AB1756" s="48"/>
      <c r="AC1756" s="47"/>
      <c r="AD1756" s="47"/>
      <c r="AE1756" s="47"/>
    </row>
    <row r="1757" spans="1:31" x14ac:dyDescent="0.35">
      <c r="A1757" s="41"/>
      <c r="B1757" s="41"/>
      <c r="C1757" s="42"/>
      <c r="D1757" s="43"/>
      <c r="E1757" s="43"/>
      <c r="F1757" s="43"/>
      <c r="G1757" s="43"/>
      <c r="H1757" s="43"/>
      <c r="I1757" s="43"/>
      <c r="J1757" s="43"/>
      <c r="K1757" s="43"/>
      <c r="L1757" s="43"/>
      <c r="M1757" s="43"/>
      <c r="N1757" s="43"/>
      <c r="O1757" s="43"/>
      <c r="P1757" s="43"/>
      <c r="Q1757" s="43"/>
      <c r="R1757" s="43"/>
      <c r="S1757" s="43"/>
      <c r="T1757" s="43"/>
      <c r="U1757" s="43"/>
      <c r="V1757" s="41"/>
      <c r="W1757" s="41"/>
      <c r="X1757" s="41"/>
      <c r="Y1757" s="41"/>
      <c r="Z1757" s="41"/>
      <c r="AA1757" s="44"/>
      <c r="AB1757" s="44"/>
      <c r="AC1757" s="43"/>
      <c r="AD1757" s="43"/>
      <c r="AE1757" s="43"/>
    </row>
    <row r="1758" spans="1:31" x14ac:dyDescent="0.35">
      <c r="C1758" s="33"/>
      <c r="D1758" s="34"/>
      <c r="E1758" s="34"/>
      <c r="F1758" s="34"/>
      <c r="G1758" s="34"/>
      <c r="H1758" s="34"/>
      <c r="I1758" s="34"/>
      <c r="J1758" s="34"/>
      <c r="K1758" s="34"/>
      <c r="L1758" s="34"/>
      <c r="M1758" s="34"/>
      <c r="N1758" s="34"/>
      <c r="O1758" s="34"/>
      <c r="AA1758" s="35"/>
      <c r="AB1758" s="35"/>
      <c r="AC1758" s="34"/>
      <c r="AD1758" s="34"/>
      <c r="AE1758" s="34"/>
    </row>
    <row r="1759" spans="1:31" ht="15" thickBot="1" x14ac:dyDescent="0.4">
      <c r="A1759" s="45"/>
      <c r="B1759" s="45"/>
      <c r="C1759" s="46"/>
      <c r="D1759" s="47"/>
      <c r="E1759" s="47"/>
      <c r="F1759" s="47"/>
      <c r="G1759" s="47"/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  <c r="S1759" s="47"/>
      <c r="T1759" s="45"/>
      <c r="U1759" s="45"/>
      <c r="V1759" s="45"/>
      <c r="W1759" s="45"/>
      <c r="X1759" s="47"/>
      <c r="Y1759" s="45"/>
      <c r="Z1759" s="45"/>
      <c r="AA1759" s="48"/>
      <c r="AB1759" s="48"/>
      <c r="AC1759" s="47"/>
      <c r="AD1759" s="47"/>
      <c r="AE1759" s="47"/>
    </row>
    <row r="1760" spans="1:31" x14ac:dyDescent="0.35">
      <c r="A1760" s="41"/>
      <c r="B1760" s="41"/>
      <c r="C1760" s="42"/>
      <c r="D1760" s="43"/>
      <c r="E1760" s="43"/>
      <c r="F1760" s="43"/>
      <c r="G1760" s="43"/>
      <c r="H1760" s="43"/>
      <c r="I1760" s="43"/>
      <c r="J1760" s="43"/>
      <c r="K1760" s="43"/>
      <c r="L1760" s="43"/>
      <c r="M1760" s="43"/>
      <c r="N1760" s="43"/>
      <c r="O1760" s="43"/>
      <c r="P1760" s="43"/>
      <c r="Q1760" s="43"/>
      <c r="R1760" s="43"/>
      <c r="S1760" s="43"/>
      <c r="T1760" s="43"/>
      <c r="U1760" s="43"/>
      <c r="V1760" s="41"/>
      <c r="W1760" s="41"/>
      <c r="X1760" s="41"/>
      <c r="Y1760" s="41"/>
      <c r="Z1760" s="41"/>
      <c r="AA1760" s="44"/>
      <c r="AB1760" s="44"/>
      <c r="AC1760" s="43"/>
      <c r="AD1760" s="43"/>
      <c r="AE1760" s="43"/>
    </row>
    <row r="1761" spans="1:31" x14ac:dyDescent="0.35">
      <c r="C1761" s="33"/>
      <c r="D1761" s="34"/>
      <c r="E1761" s="34"/>
      <c r="F1761" s="34"/>
      <c r="G1761" s="34"/>
      <c r="H1761" s="34"/>
      <c r="I1761" s="34"/>
      <c r="J1761" s="34"/>
      <c r="K1761" s="34"/>
      <c r="L1761" s="34"/>
      <c r="M1761" s="34"/>
      <c r="N1761" s="34"/>
      <c r="O1761" s="34"/>
      <c r="AA1761" s="35"/>
      <c r="AB1761" s="35"/>
      <c r="AC1761" s="34"/>
      <c r="AD1761" s="34"/>
      <c r="AE1761" s="34"/>
    </row>
    <row r="1762" spans="1:31" ht="15" thickBot="1" x14ac:dyDescent="0.4">
      <c r="A1762" s="45"/>
      <c r="B1762" s="45"/>
      <c r="C1762" s="46"/>
      <c r="D1762" s="47"/>
      <c r="E1762" s="47"/>
      <c r="F1762" s="47"/>
      <c r="G1762" s="47"/>
      <c r="H1762" s="47"/>
      <c r="I1762" s="47"/>
      <c r="J1762" s="47"/>
      <c r="K1762" s="47"/>
      <c r="L1762" s="47"/>
      <c r="M1762" s="47"/>
      <c r="N1762" s="47"/>
      <c r="O1762" s="47"/>
      <c r="P1762" s="47"/>
      <c r="Q1762" s="47"/>
      <c r="R1762" s="47"/>
      <c r="S1762" s="47"/>
      <c r="T1762" s="45"/>
      <c r="U1762" s="45"/>
      <c r="V1762" s="45"/>
      <c r="W1762" s="45"/>
      <c r="X1762" s="47"/>
      <c r="Y1762" s="45"/>
      <c r="Z1762" s="45"/>
      <c r="AA1762" s="48"/>
      <c r="AB1762" s="48"/>
      <c r="AC1762" s="47"/>
      <c r="AD1762" s="47"/>
      <c r="AE1762" s="47"/>
    </row>
    <row r="1763" spans="1:31" x14ac:dyDescent="0.35">
      <c r="A1763" s="41"/>
      <c r="B1763" s="41"/>
      <c r="C1763" s="42"/>
      <c r="D1763" s="43"/>
      <c r="E1763" s="43"/>
      <c r="F1763" s="43"/>
      <c r="G1763" s="43"/>
      <c r="H1763" s="43"/>
      <c r="I1763" s="43"/>
      <c r="J1763" s="43"/>
      <c r="K1763" s="43"/>
      <c r="L1763" s="43"/>
      <c r="M1763" s="43"/>
      <c r="N1763" s="43"/>
      <c r="O1763" s="43"/>
      <c r="P1763" s="43"/>
      <c r="Q1763" s="43"/>
      <c r="R1763" s="43"/>
      <c r="S1763" s="43"/>
      <c r="T1763" s="43"/>
      <c r="U1763" s="43"/>
      <c r="V1763" s="41"/>
      <c r="W1763" s="41"/>
      <c r="X1763" s="41"/>
      <c r="Y1763" s="41"/>
      <c r="Z1763" s="41"/>
      <c r="AA1763" s="44"/>
      <c r="AB1763" s="44"/>
      <c r="AC1763" s="43"/>
      <c r="AD1763" s="43"/>
      <c r="AE1763" s="43"/>
    </row>
    <row r="1764" spans="1:31" x14ac:dyDescent="0.35">
      <c r="C1764" s="33"/>
      <c r="D1764" s="34"/>
      <c r="E1764" s="34"/>
      <c r="F1764" s="34"/>
      <c r="G1764" s="34"/>
      <c r="H1764" s="34"/>
      <c r="I1764" s="34"/>
      <c r="J1764" s="34"/>
      <c r="K1764" s="34"/>
      <c r="L1764" s="34"/>
      <c r="M1764" s="34"/>
      <c r="N1764" s="34"/>
      <c r="O1764" s="34"/>
      <c r="AA1764" s="35"/>
      <c r="AB1764" s="35"/>
      <c r="AC1764" s="34"/>
      <c r="AD1764" s="34"/>
      <c r="AE1764" s="34"/>
    </row>
    <row r="1765" spans="1:31" ht="15" thickBot="1" x14ac:dyDescent="0.4">
      <c r="A1765" s="45"/>
      <c r="B1765" s="45"/>
      <c r="C1765" s="46"/>
      <c r="D1765" s="47"/>
      <c r="E1765" s="47"/>
      <c r="F1765" s="47"/>
      <c r="G1765" s="47"/>
      <c r="H1765" s="47"/>
      <c r="I1765" s="47"/>
      <c r="J1765" s="47"/>
      <c r="K1765" s="47"/>
      <c r="L1765" s="47"/>
      <c r="M1765" s="47"/>
      <c r="N1765" s="47"/>
      <c r="O1765" s="47"/>
      <c r="P1765" s="47"/>
      <c r="Q1765" s="47"/>
      <c r="R1765" s="47"/>
      <c r="S1765" s="47"/>
      <c r="T1765" s="45"/>
      <c r="U1765" s="45"/>
      <c r="V1765" s="45"/>
      <c r="W1765" s="45"/>
      <c r="X1765" s="47"/>
      <c r="Y1765" s="45"/>
      <c r="Z1765" s="45"/>
      <c r="AA1765" s="48"/>
      <c r="AB1765" s="48"/>
      <c r="AC1765" s="47"/>
      <c r="AD1765" s="47"/>
      <c r="AE1765" s="47"/>
    </row>
    <row r="1766" spans="1:31" x14ac:dyDescent="0.35">
      <c r="A1766" s="41"/>
      <c r="B1766" s="41"/>
      <c r="C1766" s="42"/>
      <c r="D1766" s="43"/>
      <c r="E1766" s="43"/>
      <c r="F1766" s="43"/>
      <c r="G1766" s="43"/>
      <c r="H1766" s="43"/>
      <c r="I1766" s="43"/>
      <c r="J1766" s="43"/>
      <c r="K1766" s="43"/>
      <c r="L1766" s="43"/>
      <c r="M1766" s="43"/>
      <c r="N1766" s="43"/>
      <c r="O1766" s="43"/>
      <c r="P1766" s="43"/>
      <c r="Q1766" s="43"/>
      <c r="R1766" s="43"/>
      <c r="S1766" s="43"/>
      <c r="T1766" s="43"/>
      <c r="U1766" s="43"/>
      <c r="V1766" s="41"/>
      <c r="W1766" s="41"/>
      <c r="X1766" s="41"/>
      <c r="Y1766" s="41"/>
      <c r="Z1766" s="41"/>
      <c r="AA1766" s="44"/>
      <c r="AB1766" s="44"/>
      <c r="AC1766" s="43"/>
      <c r="AD1766" s="43"/>
      <c r="AE1766" s="43"/>
    </row>
    <row r="1767" spans="1:31" x14ac:dyDescent="0.35">
      <c r="C1767" s="33"/>
      <c r="D1767" s="34"/>
      <c r="E1767" s="34"/>
      <c r="F1767" s="34"/>
      <c r="G1767" s="34"/>
      <c r="H1767" s="34"/>
      <c r="I1767" s="34"/>
      <c r="J1767" s="34"/>
      <c r="K1767" s="34"/>
      <c r="L1767" s="34"/>
      <c r="M1767" s="34"/>
      <c r="N1767" s="34"/>
      <c r="O1767" s="34"/>
      <c r="AA1767" s="35"/>
      <c r="AB1767" s="35"/>
      <c r="AC1767" s="34"/>
      <c r="AD1767" s="34"/>
      <c r="AE1767" s="34"/>
    </row>
    <row r="1768" spans="1:31" ht="15" thickBot="1" x14ac:dyDescent="0.4">
      <c r="A1768" s="45"/>
      <c r="B1768" s="45"/>
      <c r="C1768" s="46"/>
      <c r="D1768" s="47"/>
      <c r="E1768" s="47"/>
      <c r="F1768" s="47"/>
      <c r="G1768" s="47"/>
      <c r="H1768" s="47"/>
      <c r="I1768" s="47"/>
      <c r="J1768" s="47"/>
      <c r="K1768" s="47"/>
      <c r="L1768" s="47"/>
      <c r="M1768" s="47"/>
      <c r="N1768" s="47"/>
      <c r="O1768" s="47"/>
      <c r="P1768" s="47"/>
      <c r="Q1768" s="47"/>
      <c r="R1768" s="47"/>
      <c r="S1768" s="47"/>
      <c r="T1768" s="45"/>
      <c r="U1768" s="45"/>
      <c r="V1768" s="45"/>
      <c r="W1768" s="45"/>
      <c r="X1768" s="47"/>
      <c r="Y1768" s="45"/>
      <c r="Z1768" s="45"/>
      <c r="AA1768" s="48"/>
      <c r="AB1768" s="48"/>
      <c r="AC1768" s="47"/>
      <c r="AD1768" s="47"/>
      <c r="AE1768" s="47"/>
    </row>
    <row r="1769" spans="1:31" x14ac:dyDescent="0.35">
      <c r="A1769" s="41"/>
      <c r="B1769" s="41"/>
      <c r="C1769" s="42"/>
      <c r="D1769" s="43"/>
      <c r="E1769" s="43"/>
      <c r="F1769" s="43"/>
      <c r="G1769" s="43"/>
      <c r="H1769" s="43"/>
      <c r="I1769" s="43"/>
      <c r="J1769" s="43"/>
      <c r="K1769" s="43"/>
      <c r="L1769" s="43"/>
      <c r="M1769" s="43"/>
      <c r="N1769" s="43"/>
      <c r="O1769" s="43"/>
      <c r="P1769" s="43"/>
      <c r="Q1769" s="43"/>
      <c r="R1769" s="43"/>
      <c r="S1769" s="43"/>
      <c r="T1769" s="43"/>
      <c r="U1769" s="43"/>
      <c r="V1769" s="41"/>
      <c r="W1769" s="41"/>
      <c r="X1769" s="41"/>
      <c r="Y1769" s="41"/>
      <c r="Z1769" s="41"/>
      <c r="AA1769" s="44"/>
      <c r="AB1769" s="44"/>
      <c r="AC1769" s="43"/>
      <c r="AD1769" s="43"/>
      <c r="AE1769" s="43"/>
    </row>
    <row r="1770" spans="1:31" x14ac:dyDescent="0.35">
      <c r="C1770" s="33"/>
      <c r="D1770" s="34"/>
      <c r="E1770" s="34"/>
      <c r="F1770" s="34"/>
      <c r="G1770" s="34"/>
      <c r="H1770" s="34"/>
      <c r="I1770" s="34"/>
      <c r="J1770" s="34"/>
      <c r="K1770" s="34"/>
      <c r="L1770" s="34"/>
      <c r="M1770" s="34"/>
      <c r="N1770" s="34"/>
      <c r="O1770" s="34"/>
      <c r="AA1770" s="35"/>
      <c r="AB1770" s="35"/>
      <c r="AC1770" s="34"/>
      <c r="AD1770" s="34"/>
      <c r="AE1770" s="34"/>
    </row>
    <row r="1771" spans="1:31" ht="15" thickBot="1" x14ac:dyDescent="0.4">
      <c r="A1771" s="45"/>
      <c r="B1771" s="45"/>
      <c r="C1771" s="46"/>
      <c r="D1771" s="47"/>
      <c r="E1771" s="47"/>
      <c r="F1771" s="47"/>
      <c r="G1771" s="47"/>
      <c r="H1771" s="47"/>
      <c r="I1771" s="47"/>
      <c r="J1771" s="47"/>
      <c r="K1771" s="47"/>
      <c r="L1771" s="47"/>
      <c r="M1771" s="47"/>
      <c r="N1771" s="47"/>
      <c r="O1771" s="47"/>
      <c r="P1771" s="47"/>
      <c r="Q1771" s="47"/>
      <c r="R1771" s="47"/>
      <c r="S1771" s="47"/>
      <c r="T1771" s="45"/>
      <c r="U1771" s="45"/>
      <c r="V1771" s="45"/>
      <c r="W1771" s="45"/>
      <c r="X1771" s="47"/>
      <c r="Y1771" s="45"/>
      <c r="Z1771" s="45"/>
      <c r="AA1771" s="48"/>
      <c r="AB1771" s="48"/>
      <c r="AC1771" s="47"/>
      <c r="AD1771" s="47"/>
      <c r="AE1771" s="47"/>
    </row>
    <row r="1772" spans="1:31" x14ac:dyDescent="0.35">
      <c r="A1772" s="41"/>
      <c r="B1772" s="41"/>
      <c r="C1772" s="42"/>
      <c r="D1772" s="43"/>
      <c r="E1772" s="43"/>
      <c r="F1772" s="43"/>
      <c r="G1772" s="43"/>
      <c r="H1772" s="43"/>
      <c r="I1772" s="43"/>
      <c r="J1772" s="43"/>
      <c r="K1772" s="43"/>
      <c r="L1772" s="43"/>
      <c r="M1772" s="43"/>
      <c r="N1772" s="43"/>
      <c r="O1772" s="43"/>
      <c r="P1772" s="43"/>
      <c r="Q1772" s="43"/>
      <c r="R1772" s="43"/>
      <c r="S1772" s="43"/>
      <c r="T1772" s="43"/>
      <c r="U1772" s="43"/>
      <c r="V1772" s="41"/>
      <c r="W1772" s="41"/>
      <c r="X1772" s="41"/>
      <c r="Y1772" s="41"/>
      <c r="Z1772" s="41"/>
      <c r="AA1772" s="44"/>
      <c r="AB1772" s="44"/>
      <c r="AC1772" s="43"/>
      <c r="AD1772" s="43"/>
      <c r="AE1772" s="43"/>
    </row>
    <row r="1773" spans="1:31" x14ac:dyDescent="0.35">
      <c r="C1773" s="33"/>
      <c r="D1773" s="34"/>
      <c r="E1773" s="34"/>
      <c r="F1773" s="34"/>
      <c r="G1773" s="34"/>
      <c r="H1773" s="34"/>
      <c r="I1773" s="34"/>
      <c r="J1773" s="34"/>
      <c r="K1773" s="34"/>
      <c r="L1773" s="34"/>
      <c r="M1773" s="34"/>
      <c r="N1773" s="34"/>
      <c r="O1773" s="34"/>
      <c r="AA1773" s="35"/>
      <c r="AB1773" s="35"/>
      <c r="AC1773" s="34"/>
      <c r="AD1773" s="34"/>
      <c r="AE1773" s="34"/>
    </row>
    <row r="1774" spans="1:31" ht="15" thickBot="1" x14ac:dyDescent="0.4">
      <c r="A1774" s="45"/>
      <c r="B1774" s="45"/>
      <c r="C1774" s="46"/>
      <c r="D1774" s="47"/>
      <c r="E1774" s="47"/>
      <c r="F1774" s="47"/>
      <c r="G1774" s="47"/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  <c r="S1774" s="47"/>
      <c r="T1774" s="45"/>
      <c r="U1774" s="45"/>
      <c r="V1774" s="45"/>
      <c r="W1774" s="45"/>
      <c r="X1774" s="47"/>
      <c r="Y1774" s="45"/>
      <c r="Z1774" s="45"/>
      <c r="AA1774" s="48"/>
      <c r="AB1774" s="48"/>
      <c r="AC1774" s="47"/>
      <c r="AD1774" s="47"/>
      <c r="AE1774" s="47"/>
    </row>
    <row r="1775" spans="1:31" x14ac:dyDescent="0.35">
      <c r="A1775" s="41"/>
      <c r="B1775" s="41"/>
      <c r="C1775" s="42"/>
      <c r="D1775" s="43"/>
      <c r="E1775" s="43"/>
      <c r="F1775" s="43"/>
      <c r="G1775" s="43"/>
      <c r="H1775" s="43"/>
      <c r="I1775" s="43"/>
      <c r="J1775" s="43"/>
      <c r="K1775" s="43"/>
      <c r="L1775" s="43"/>
      <c r="M1775" s="43"/>
      <c r="N1775" s="43"/>
      <c r="O1775" s="43"/>
      <c r="P1775" s="43"/>
      <c r="Q1775" s="43"/>
      <c r="R1775" s="43"/>
      <c r="S1775" s="43"/>
      <c r="T1775" s="43"/>
      <c r="U1775" s="43"/>
      <c r="V1775" s="41"/>
      <c r="W1775" s="41"/>
      <c r="X1775" s="41"/>
      <c r="Y1775" s="41"/>
      <c r="Z1775" s="41"/>
      <c r="AA1775" s="44"/>
      <c r="AB1775" s="44"/>
      <c r="AC1775" s="43"/>
      <c r="AD1775" s="43"/>
      <c r="AE1775" s="43"/>
    </row>
    <row r="1776" spans="1:31" x14ac:dyDescent="0.35">
      <c r="C1776" s="33"/>
      <c r="D1776" s="34"/>
      <c r="E1776" s="34"/>
      <c r="F1776" s="34"/>
      <c r="G1776" s="34"/>
      <c r="H1776" s="34"/>
      <c r="I1776" s="34"/>
      <c r="J1776" s="34"/>
      <c r="K1776" s="34"/>
      <c r="L1776" s="34"/>
      <c r="M1776" s="34"/>
      <c r="N1776" s="34"/>
      <c r="O1776" s="34"/>
      <c r="AA1776" s="35"/>
      <c r="AB1776" s="35"/>
      <c r="AC1776" s="34"/>
      <c r="AD1776" s="34"/>
      <c r="AE1776" s="34"/>
    </row>
    <row r="1777" spans="1:31" ht="15" thickBot="1" x14ac:dyDescent="0.4">
      <c r="A1777" s="45"/>
      <c r="B1777" s="45"/>
      <c r="C1777" s="46"/>
      <c r="D1777" s="47"/>
      <c r="E1777" s="47"/>
      <c r="F1777" s="47"/>
      <c r="G1777" s="47"/>
      <c r="H1777" s="47"/>
      <c r="I1777" s="47"/>
      <c r="J1777" s="47"/>
      <c r="K1777" s="47"/>
      <c r="L1777" s="47"/>
      <c r="M1777" s="47"/>
      <c r="N1777" s="47"/>
      <c r="O1777" s="47"/>
      <c r="P1777" s="47"/>
      <c r="Q1777" s="47"/>
      <c r="R1777" s="47"/>
      <c r="S1777" s="47"/>
      <c r="T1777" s="45"/>
      <c r="U1777" s="45"/>
      <c r="V1777" s="45"/>
      <c r="W1777" s="45"/>
      <c r="X1777" s="47"/>
      <c r="Y1777" s="45"/>
      <c r="Z1777" s="45"/>
      <c r="AA1777" s="48"/>
      <c r="AB1777" s="48"/>
      <c r="AC1777" s="47"/>
      <c r="AD1777" s="47"/>
      <c r="AE1777" s="47"/>
    </row>
    <row r="1778" spans="1:31" x14ac:dyDescent="0.35">
      <c r="A1778" s="41"/>
      <c r="B1778" s="41"/>
      <c r="C1778" s="42"/>
      <c r="D1778" s="43"/>
      <c r="E1778" s="43"/>
      <c r="F1778" s="43"/>
      <c r="G1778" s="43"/>
      <c r="H1778" s="43"/>
      <c r="I1778" s="43"/>
      <c r="J1778" s="43"/>
      <c r="K1778" s="43"/>
      <c r="L1778" s="43"/>
      <c r="M1778" s="43"/>
      <c r="N1778" s="43"/>
      <c r="O1778" s="43"/>
      <c r="P1778" s="43"/>
      <c r="Q1778" s="43"/>
      <c r="R1778" s="43"/>
      <c r="S1778" s="43"/>
      <c r="T1778" s="43"/>
      <c r="U1778" s="43"/>
      <c r="V1778" s="41"/>
      <c r="W1778" s="41"/>
      <c r="X1778" s="41"/>
      <c r="Y1778" s="41"/>
      <c r="Z1778" s="41"/>
      <c r="AA1778" s="44"/>
      <c r="AB1778" s="44"/>
      <c r="AC1778" s="43"/>
      <c r="AD1778" s="43"/>
      <c r="AE1778" s="43"/>
    </row>
    <row r="1779" spans="1:31" x14ac:dyDescent="0.35">
      <c r="C1779" s="33"/>
      <c r="D1779" s="34"/>
      <c r="E1779" s="34"/>
      <c r="F1779" s="34"/>
      <c r="G1779" s="34"/>
      <c r="H1779" s="34"/>
      <c r="I1779" s="34"/>
      <c r="J1779" s="34"/>
      <c r="K1779" s="34"/>
      <c r="L1779" s="34"/>
      <c r="M1779" s="34"/>
      <c r="N1779" s="34"/>
      <c r="O1779" s="34"/>
      <c r="AA1779" s="35"/>
      <c r="AB1779" s="35"/>
      <c r="AC1779" s="34"/>
      <c r="AD1779" s="34"/>
      <c r="AE1779" s="34"/>
    </row>
    <row r="1780" spans="1:31" ht="15" thickBot="1" x14ac:dyDescent="0.4">
      <c r="A1780" s="45"/>
      <c r="B1780" s="45"/>
      <c r="C1780" s="46"/>
      <c r="D1780" s="47"/>
      <c r="E1780" s="47"/>
      <c r="F1780" s="47"/>
      <c r="G1780" s="47"/>
      <c r="H1780" s="47"/>
      <c r="I1780" s="47"/>
      <c r="J1780" s="47"/>
      <c r="K1780" s="47"/>
      <c r="L1780" s="47"/>
      <c r="M1780" s="47"/>
      <c r="N1780" s="47"/>
      <c r="O1780" s="47"/>
      <c r="P1780" s="47"/>
      <c r="Q1780" s="47"/>
      <c r="R1780" s="47"/>
      <c r="S1780" s="47"/>
      <c r="T1780" s="45"/>
      <c r="U1780" s="45"/>
      <c r="V1780" s="45"/>
      <c r="W1780" s="45"/>
      <c r="X1780" s="47"/>
      <c r="Y1780" s="45"/>
      <c r="Z1780" s="45"/>
      <c r="AA1780" s="48"/>
      <c r="AB1780" s="48"/>
      <c r="AC1780" s="47"/>
      <c r="AD1780" s="47"/>
      <c r="AE1780" s="47"/>
    </row>
    <row r="1781" spans="1:31" x14ac:dyDescent="0.35">
      <c r="A1781" s="41"/>
      <c r="B1781" s="41"/>
      <c r="C1781" s="42"/>
      <c r="D1781" s="43"/>
      <c r="E1781" s="43"/>
      <c r="F1781" s="43"/>
      <c r="G1781" s="43"/>
      <c r="H1781" s="43"/>
      <c r="I1781" s="43"/>
      <c r="J1781" s="43"/>
      <c r="K1781" s="43"/>
      <c r="L1781" s="43"/>
      <c r="M1781" s="43"/>
      <c r="N1781" s="43"/>
      <c r="O1781" s="43"/>
      <c r="P1781" s="43"/>
      <c r="Q1781" s="43"/>
      <c r="R1781" s="43"/>
      <c r="S1781" s="43"/>
      <c r="T1781" s="43"/>
      <c r="U1781" s="43"/>
      <c r="V1781" s="41"/>
      <c r="W1781" s="41"/>
      <c r="X1781" s="41"/>
      <c r="Y1781" s="41"/>
      <c r="Z1781" s="41"/>
      <c r="AA1781" s="44"/>
      <c r="AB1781" s="44"/>
      <c r="AC1781" s="43"/>
      <c r="AD1781" s="43"/>
      <c r="AE1781" s="43"/>
    </row>
    <row r="1782" spans="1:31" x14ac:dyDescent="0.35">
      <c r="C1782" s="33"/>
      <c r="D1782" s="34"/>
      <c r="E1782" s="34"/>
      <c r="F1782" s="34"/>
      <c r="G1782" s="34"/>
      <c r="H1782" s="34"/>
      <c r="I1782" s="34"/>
      <c r="J1782" s="34"/>
      <c r="K1782" s="34"/>
      <c r="L1782" s="34"/>
      <c r="M1782" s="34"/>
      <c r="N1782" s="34"/>
      <c r="O1782" s="34"/>
      <c r="AA1782" s="35"/>
      <c r="AB1782" s="35"/>
      <c r="AC1782" s="34"/>
      <c r="AD1782" s="34"/>
      <c r="AE1782" s="34"/>
    </row>
    <row r="1783" spans="1:31" ht="15" thickBot="1" x14ac:dyDescent="0.4">
      <c r="A1783" s="45"/>
      <c r="B1783" s="45"/>
      <c r="C1783" s="46"/>
      <c r="D1783" s="47"/>
      <c r="E1783" s="47"/>
      <c r="F1783" s="47"/>
      <c r="G1783" s="47"/>
      <c r="H1783" s="47"/>
      <c r="I1783" s="47"/>
      <c r="J1783" s="47"/>
      <c r="K1783" s="47"/>
      <c r="L1783" s="47"/>
      <c r="M1783" s="47"/>
      <c r="N1783" s="47"/>
      <c r="O1783" s="47"/>
      <c r="P1783" s="47"/>
      <c r="Q1783" s="47"/>
      <c r="R1783" s="47"/>
      <c r="S1783" s="47"/>
      <c r="T1783" s="45"/>
      <c r="U1783" s="45"/>
      <c r="V1783" s="45"/>
      <c r="W1783" s="45"/>
      <c r="X1783" s="47"/>
      <c r="Y1783" s="45"/>
      <c r="Z1783" s="45"/>
      <c r="AA1783" s="48"/>
      <c r="AB1783" s="48"/>
      <c r="AC1783" s="47"/>
      <c r="AD1783" s="47"/>
      <c r="AE1783" s="47"/>
    </row>
    <row r="1784" spans="1:31" x14ac:dyDescent="0.35">
      <c r="A1784" s="41"/>
      <c r="B1784" s="41"/>
      <c r="C1784" s="42"/>
      <c r="D1784" s="43"/>
      <c r="E1784" s="43"/>
      <c r="F1784" s="43"/>
      <c r="G1784" s="43"/>
      <c r="H1784" s="43"/>
      <c r="I1784" s="43"/>
      <c r="J1784" s="43"/>
      <c r="K1784" s="43"/>
      <c r="L1784" s="43"/>
      <c r="M1784" s="43"/>
      <c r="N1784" s="43"/>
      <c r="O1784" s="43"/>
      <c r="P1784" s="43"/>
      <c r="Q1784" s="43"/>
      <c r="R1784" s="43"/>
      <c r="S1784" s="43"/>
      <c r="T1784" s="43"/>
      <c r="U1784" s="43"/>
      <c r="V1784" s="41"/>
      <c r="W1784" s="41"/>
      <c r="X1784" s="41"/>
      <c r="Y1784" s="41"/>
      <c r="Z1784" s="41"/>
      <c r="AA1784" s="44"/>
      <c r="AB1784" s="44"/>
      <c r="AC1784" s="43"/>
      <c r="AD1784" s="43"/>
      <c r="AE1784" s="43"/>
    </row>
    <row r="1785" spans="1:31" x14ac:dyDescent="0.35">
      <c r="C1785" s="33"/>
      <c r="D1785" s="34"/>
      <c r="E1785" s="34"/>
      <c r="F1785" s="34"/>
      <c r="G1785" s="34"/>
      <c r="H1785" s="34"/>
      <c r="I1785" s="34"/>
      <c r="J1785" s="34"/>
      <c r="K1785" s="34"/>
      <c r="L1785" s="34"/>
      <c r="M1785" s="34"/>
      <c r="N1785" s="34"/>
      <c r="O1785" s="34"/>
      <c r="AA1785" s="35"/>
      <c r="AB1785" s="35"/>
      <c r="AC1785" s="34"/>
      <c r="AD1785" s="34"/>
      <c r="AE1785" s="34"/>
    </row>
    <row r="1786" spans="1:31" ht="15" thickBot="1" x14ac:dyDescent="0.4">
      <c r="A1786" s="45"/>
      <c r="B1786" s="45"/>
      <c r="C1786" s="46"/>
      <c r="D1786" s="47"/>
      <c r="E1786" s="47"/>
      <c r="F1786" s="47"/>
      <c r="G1786" s="47"/>
      <c r="H1786" s="47"/>
      <c r="I1786" s="47"/>
      <c r="J1786" s="47"/>
      <c r="K1786" s="47"/>
      <c r="L1786" s="47"/>
      <c r="M1786" s="47"/>
      <c r="N1786" s="47"/>
      <c r="O1786" s="47"/>
      <c r="P1786" s="47"/>
      <c r="Q1786" s="47"/>
      <c r="R1786" s="47"/>
      <c r="S1786" s="47"/>
      <c r="T1786" s="45"/>
      <c r="U1786" s="45"/>
      <c r="V1786" s="45"/>
      <c r="W1786" s="45"/>
      <c r="X1786" s="47"/>
      <c r="Y1786" s="45"/>
      <c r="Z1786" s="45"/>
      <c r="AA1786" s="48"/>
      <c r="AB1786" s="48"/>
      <c r="AC1786" s="47"/>
      <c r="AD1786" s="47"/>
      <c r="AE1786" s="47"/>
    </row>
    <row r="1787" spans="1:31" x14ac:dyDescent="0.35">
      <c r="A1787" s="41"/>
      <c r="B1787" s="41"/>
      <c r="C1787" s="42"/>
      <c r="D1787" s="43"/>
      <c r="E1787" s="43"/>
      <c r="F1787" s="43"/>
      <c r="G1787" s="43"/>
      <c r="H1787" s="43"/>
      <c r="I1787" s="43"/>
      <c r="J1787" s="43"/>
      <c r="K1787" s="43"/>
      <c r="L1787" s="43"/>
      <c r="M1787" s="43"/>
      <c r="N1787" s="43"/>
      <c r="O1787" s="43"/>
      <c r="P1787" s="43"/>
      <c r="Q1787" s="43"/>
      <c r="R1787" s="43"/>
      <c r="S1787" s="43"/>
      <c r="T1787" s="43"/>
      <c r="U1787" s="43"/>
      <c r="V1787" s="41"/>
      <c r="W1787" s="41"/>
      <c r="X1787" s="41"/>
      <c r="Y1787" s="41"/>
      <c r="Z1787" s="41"/>
      <c r="AA1787" s="44"/>
      <c r="AB1787" s="44"/>
      <c r="AC1787" s="43"/>
      <c r="AD1787" s="43"/>
      <c r="AE1787" s="43"/>
    </row>
    <row r="1788" spans="1:31" x14ac:dyDescent="0.35">
      <c r="C1788" s="33"/>
      <c r="D1788" s="34"/>
      <c r="E1788" s="34"/>
      <c r="F1788" s="34"/>
      <c r="G1788" s="34"/>
      <c r="H1788" s="34"/>
      <c r="I1788" s="34"/>
      <c r="J1788" s="34"/>
      <c r="K1788" s="34"/>
      <c r="L1788" s="34"/>
      <c r="M1788" s="34"/>
      <c r="N1788" s="34"/>
      <c r="O1788" s="34"/>
      <c r="AA1788" s="35"/>
      <c r="AB1788" s="35"/>
      <c r="AC1788" s="34"/>
      <c r="AD1788" s="34"/>
      <c r="AE1788" s="34"/>
    </row>
    <row r="1789" spans="1:31" ht="15" thickBot="1" x14ac:dyDescent="0.4">
      <c r="A1789" s="45"/>
      <c r="B1789" s="45"/>
      <c r="C1789" s="46"/>
      <c r="D1789" s="47"/>
      <c r="E1789" s="47"/>
      <c r="F1789" s="47"/>
      <c r="G1789" s="47"/>
      <c r="H1789" s="47"/>
      <c r="I1789" s="47"/>
      <c r="J1789" s="47"/>
      <c r="K1789" s="47"/>
      <c r="L1789" s="47"/>
      <c r="M1789" s="47"/>
      <c r="N1789" s="47"/>
      <c r="O1789" s="47"/>
      <c r="P1789" s="47"/>
      <c r="Q1789" s="47"/>
      <c r="R1789" s="47"/>
      <c r="S1789" s="47"/>
      <c r="T1789" s="45"/>
      <c r="U1789" s="45"/>
      <c r="V1789" s="45"/>
      <c r="W1789" s="45"/>
      <c r="X1789" s="47"/>
      <c r="Y1789" s="45"/>
      <c r="Z1789" s="45"/>
      <c r="AA1789" s="48"/>
      <c r="AB1789" s="48"/>
      <c r="AC1789" s="47"/>
      <c r="AD1789" s="47"/>
      <c r="AE1789" s="47"/>
    </row>
    <row r="1790" spans="1:31" x14ac:dyDescent="0.35">
      <c r="A1790" s="41"/>
      <c r="B1790" s="41"/>
      <c r="C1790" s="42"/>
      <c r="D1790" s="43"/>
      <c r="E1790" s="43"/>
      <c r="F1790" s="43"/>
      <c r="G1790" s="43"/>
      <c r="H1790" s="43"/>
      <c r="I1790" s="43"/>
      <c r="J1790" s="43"/>
      <c r="K1790" s="43"/>
      <c r="L1790" s="43"/>
      <c r="M1790" s="43"/>
      <c r="N1790" s="43"/>
      <c r="O1790" s="43"/>
      <c r="P1790" s="43"/>
      <c r="Q1790" s="43"/>
      <c r="R1790" s="43"/>
      <c r="S1790" s="43"/>
      <c r="T1790" s="43"/>
      <c r="U1790" s="43"/>
      <c r="V1790" s="41"/>
      <c r="W1790" s="41"/>
      <c r="X1790" s="41"/>
      <c r="Y1790" s="41"/>
      <c r="Z1790" s="41"/>
      <c r="AA1790" s="44"/>
      <c r="AB1790" s="44"/>
      <c r="AC1790" s="43"/>
      <c r="AD1790" s="43"/>
      <c r="AE1790" s="43"/>
    </row>
    <row r="1791" spans="1:31" x14ac:dyDescent="0.35">
      <c r="C1791" s="33"/>
      <c r="D1791" s="34"/>
      <c r="E1791" s="34"/>
      <c r="F1791" s="34"/>
      <c r="G1791" s="34"/>
      <c r="H1791" s="34"/>
      <c r="I1791" s="34"/>
      <c r="J1791" s="34"/>
      <c r="K1791" s="34"/>
      <c r="L1791" s="34"/>
      <c r="M1791" s="34"/>
      <c r="N1791" s="34"/>
      <c r="O1791" s="34"/>
      <c r="AA1791" s="35"/>
      <c r="AB1791" s="35"/>
      <c r="AC1791" s="34"/>
      <c r="AD1791" s="34"/>
      <c r="AE1791" s="34"/>
    </row>
    <row r="1792" spans="1:31" ht="15" thickBot="1" x14ac:dyDescent="0.4">
      <c r="A1792" s="45"/>
      <c r="B1792" s="45"/>
      <c r="C1792" s="46"/>
      <c r="D1792" s="47"/>
      <c r="E1792" s="47"/>
      <c r="F1792" s="47"/>
      <c r="G1792" s="47"/>
      <c r="H1792" s="47"/>
      <c r="I1792" s="47"/>
      <c r="J1792" s="47"/>
      <c r="K1792" s="47"/>
      <c r="L1792" s="47"/>
      <c r="M1792" s="47"/>
      <c r="N1792" s="47"/>
      <c r="O1792" s="47"/>
      <c r="P1792" s="47"/>
      <c r="Q1792" s="47"/>
      <c r="R1792" s="47"/>
      <c r="S1792" s="47"/>
      <c r="T1792" s="45"/>
      <c r="U1792" s="45"/>
      <c r="V1792" s="45"/>
      <c r="W1792" s="45"/>
      <c r="X1792" s="47"/>
      <c r="Y1792" s="45"/>
      <c r="Z1792" s="45"/>
      <c r="AA1792" s="48"/>
      <c r="AB1792" s="48"/>
      <c r="AC1792" s="47"/>
      <c r="AD1792" s="47"/>
      <c r="AE1792" s="47"/>
    </row>
    <row r="1793" spans="1:31" x14ac:dyDescent="0.35">
      <c r="A1793" s="41"/>
      <c r="B1793" s="41"/>
      <c r="C1793" s="42"/>
      <c r="D1793" s="43"/>
      <c r="E1793" s="43"/>
      <c r="F1793" s="43"/>
      <c r="G1793" s="43"/>
      <c r="H1793" s="43"/>
      <c r="I1793" s="43"/>
      <c r="J1793" s="43"/>
      <c r="K1793" s="43"/>
      <c r="L1793" s="43"/>
      <c r="M1793" s="43"/>
      <c r="N1793" s="43"/>
      <c r="O1793" s="43"/>
      <c r="P1793" s="43"/>
      <c r="Q1793" s="43"/>
      <c r="R1793" s="43"/>
      <c r="S1793" s="43"/>
      <c r="T1793" s="43"/>
      <c r="U1793" s="43"/>
      <c r="V1793" s="41"/>
      <c r="W1793" s="41"/>
      <c r="X1793" s="41"/>
      <c r="Y1793" s="41"/>
      <c r="Z1793" s="41"/>
      <c r="AA1793" s="44"/>
      <c r="AB1793" s="44"/>
      <c r="AC1793" s="43"/>
      <c r="AD1793" s="43"/>
      <c r="AE1793" s="43"/>
    </row>
    <row r="1794" spans="1:31" x14ac:dyDescent="0.35">
      <c r="C1794" s="33"/>
      <c r="D1794" s="34"/>
      <c r="E1794" s="34"/>
      <c r="F1794" s="34"/>
      <c r="G1794" s="34"/>
      <c r="H1794" s="34"/>
      <c r="I1794" s="34"/>
      <c r="J1794" s="34"/>
      <c r="K1794" s="34"/>
      <c r="L1794" s="34"/>
      <c r="M1794" s="34"/>
      <c r="N1794" s="34"/>
      <c r="O1794" s="34"/>
      <c r="AA1794" s="35"/>
      <c r="AB1794" s="35"/>
      <c r="AC1794" s="34"/>
      <c r="AD1794" s="34"/>
      <c r="AE1794" s="34"/>
    </row>
    <row r="1795" spans="1:31" ht="15" thickBot="1" x14ac:dyDescent="0.4">
      <c r="A1795" s="45"/>
      <c r="B1795" s="45"/>
      <c r="C1795" s="46"/>
      <c r="D1795" s="47"/>
      <c r="E1795" s="47"/>
      <c r="F1795" s="47"/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  <c r="S1795" s="47"/>
      <c r="T1795" s="45"/>
      <c r="U1795" s="45"/>
      <c r="V1795" s="45"/>
      <c r="W1795" s="45"/>
      <c r="X1795" s="47"/>
      <c r="Y1795" s="45"/>
      <c r="Z1795" s="45"/>
      <c r="AA1795" s="48"/>
      <c r="AB1795" s="48"/>
      <c r="AC1795" s="47"/>
      <c r="AD1795" s="47"/>
      <c r="AE1795" s="47"/>
    </row>
    <row r="1796" spans="1:31" x14ac:dyDescent="0.35">
      <c r="A1796" s="41"/>
      <c r="B1796" s="41"/>
      <c r="C1796" s="42"/>
      <c r="D1796" s="43"/>
      <c r="E1796" s="43"/>
      <c r="F1796" s="43"/>
      <c r="G1796" s="43"/>
      <c r="H1796" s="43"/>
      <c r="I1796" s="43"/>
      <c r="J1796" s="43"/>
      <c r="K1796" s="43"/>
      <c r="L1796" s="43"/>
      <c r="M1796" s="43"/>
      <c r="N1796" s="43"/>
      <c r="O1796" s="43"/>
      <c r="P1796" s="43"/>
      <c r="Q1796" s="43"/>
      <c r="R1796" s="43"/>
      <c r="S1796" s="43"/>
      <c r="T1796" s="43"/>
      <c r="U1796" s="43"/>
      <c r="V1796" s="41"/>
      <c r="W1796" s="41"/>
      <c r="X1796" s="41"/>
      <c r="Y1796" s="41"/>
      <c r="Z1796" s="41"/>
      <c r="AA1796" s="44"/>
      <c r="AB1796" s="44"/>
      <c r="AC1796" s="43"/>
      <c r="AD1796" s="43"/>
      <c r="AE1796" s="43"/>
    </row>
    <row r="1797" spans="1:31" x14ac:dyDescent="0.35">
      <c r="C1797" s="33"/>
      <c r="D1797" s="34"/>
      <c r="E1797" s="34"/>
      <c r="F1797" s="34"/>
      <c r="G1797" s="34"/>
      <c r="H1797" s="34"/>
      <c r="I1797" s="34"/>
      <c r="J1797" s="34"/>
      <c r="K1797" s="34"/>
      <c r="L1797" s="34"/>
      <c r="M1797" s="34"/>
      <c r="N1797" s="34"/>
      <c r="O1797" s="34"/>
      <c r="AA1797" s="35"/>
      <c r="AB1797" s="35"/>
      <c r="AC1797" s="34"/>
      <c r="AD1797" s="34"/>
      <c r="AE1797" s="34"/>
    </row>
    <row r="1798" spans="1:31" ht="15" thickBot="1" x14ac:dyDescent="0.4">
      <c r="A1798" s="45"/>
      <c r="B1798" s="45"/>
      <c r="C1798" s="46"/>
      <c r="D1798" s="47"/>
      <c r="E1798" s="47"/>
      <c r="F1798" s="47"/>
      <c r="G1798" s="47"/>
      <c r="H1798" s="47"/>
      <c r="I1798" s="47"/>
      <c r="J1798" s="47"/>
      <c r="K1798" s="47"/>
      <c r="L1798" s="47"/>
      <c r="M1798" s="47"/>
      <c r="N1798" s="47"/>
      <c r="O1798" s="47"/>
      <c r="P1798" s="47"/>
      <c r="Q1798" s="47"/>
      <c r="R1798" s="47"/>
      <c r="S1798" s="47"/>
      <c r="T1798" s="45"/>
      <c r="U1798" s="45"/>
      <c r="V1798" s="45"/>
      <c r="W1798" s="45"/>
      <c r="X1798" s="47"/>
      <c r="Y1798" s="45"/>
      <c r="Z1798" s="45"/>
      <c r="AA1798" s="48"/>
      <c r="AB1798" s="48"/>
      <c r="AC1798" s="47"/>
      <c r="AD1798" s="47"/>
      <c r="AE1798" s="47"/>
    </row>
    <row r="1799" spans="1:31" x14ac:dyDescent="0.35">
      <c r="A1799" s="41"/>
      <c r="B1799" s="41"/>
      <c r="C1799" s="42"/>
      <c r="D1799" s="43"/>
      <c r="E1799" s="43"/>
      <c r="F1799" s="43"/>
      <c r="G1799" s="43"/>
      <c r="H1799" s="43"/>
      <c r="I1799" s="43"/>
      <c r="J1799" s="43"/>
      <c r="K1799" s="43"/>
      <c r="L1799" s="43"/>
      <c r="M1799" s="43"/>
      <c r="N1799" s="43"/>
      <c r="O1799" s="43"/>
      <c r="P1799" s="43"/>
      <c r="Q1799" s="43"/>
      <c r="R1799" s="43"/>
      <c r="S1799" s="43"/>
      <c r="T1799" s="43"/>
      <c r="U1799" s="43"/>
      <c r="V1799" s="41"/>
      <c r="W1799" s="41"/>
      <c r="X1799" s="41"/>
      <c r="Y1799" s="41"/>
      <c r="Z1799" s="41"/>
      <c r="AA1799" s="44"/>
      <c r="AB1799" s="44"/>
      <c r="AC1799" s="43"/>
      <c r="AD1799" s="43"/>
      <c r="AE1799" s="43"/>
    </row>
    <row r="1800" spans="1:31" x14ac:dyDescent="0.35">
      <c r="C1800" s="33"/>
      <c r="D1800" s="34"/>
      <c r="E1800" s="34"/>
      <c r="F1800" s="34"/>
      <c r="G1800" s="34"/>
      <c r="H1800" s="34"/>
      <c r="I1800" s="34"/>
      <c r="J1800" s="34"/>
      <c r="K1800" s="34"/>
      <c r="L1800" s="34"/>
      <c r="M1800" s="34"/>
      <c r="N1800" s="34"/>
      <c r="O1800" s="34"/>
      <c r="AA1800" s="35"/>
      <c r="AB1800" s="35"/>
      <c r="AC1800" s="34"/>
      <c r="AD1800" s="34"/>
      <c r="AE1800" s="34"/>
    </row>
    <row r="1801" spans="1:31" ht="15" thickBot="1" x14ac:dyDescent="0.4">
      <c r="A1801" s="45"/>
      <c r="B1801" s="45"/>
      <c r="C1801" s="46"/>
      <c r="D1801" s="47"/>
      <c r="E1801" s="47"/>
      <c r="F1801" s="47"/>
      <c r="G1801" s="47"/>
      <c r="H1801" s="47"/>
      <c r="I1801" s="47"/>
      <c r="J1801" s="47"/>
      <c r="K1801" s="47"/>
      <c r="L1801" s="47"/>
      <c r="M1801" s="47"/>
      <c r="N1801" s="47"/>
      <c r="O1801" s="47"/>
      <c r="P1801" s="47"/>
      <c r="Q1801" s="47"/>
      <c r="R1801" s="47"/>
      <c r="S1801" s="47"/>
      <c r="T1801" s="45"/>
      <c r="U1801" s="45"/>
      <c r="V1801" s="45"/>
      <c r="W1801" s="45"/>
      <c r="X1801" s="47"/>
      <c r="Y1801" s="45"/>
      <c r="Z1801" s="45"/>
      <c r="AA1801" s="48"/>
      <c r="AB1801" s="48"/>
      <c r="AC1801" s="47"/>
      <c r="AD1801" s="47"/>
      <c r="AE1801" s="47"/>
    </row>
    <row r="1802" spans="1:31" x14ac:dyDescent="0.35">
      <c r="A1802" s="41"/>
      <c r="B1802" s="41"/>
      <c r="C1802" s="42"/>
      <c r="D1802" s="43"/>
      <c r="E1802" s="43"/>
      <c r="F1802" s="43"/>
      <c r="G1802" s="43"/>
      <c r="H1802" s="43"/>
      <c r="I1802" s="43"/>
      <c r="J1802" s="43"/>
      <c r="K1802" s="43"/>
      <c r="L1802" s="43"/>
      <c r="M1802" s="43"/>
      <c r="N1802" s="43"/>
      <c r="O1802" s="43"/>
      <c r="P1802" s="43"/>
      <c r="Q1802" s="43"/>
      <c r="R1802" s="43"/>
      <c r="S1802" s="43"/>
      <c r="T1802" s="43"/>
      <c r="U1802" s="43"/>
      <c r="V1802" s="41"/>
      <c r="W1802" s="41"/>
      <c r="X1802" s="41"/>
      <c r="Y1802" s="41"/>
      <c r="Z1802" s="41"/>
      <c r="AA1802" s="44"/>
      <c r="AB1802" s="44"/>
      <c r="AC1802" s="43"/>
      <c r="AD1802" s="43"/>
      <c r="AE1802" s="43"/>
    </row>
    <row r="1803" spans="1:31" x14ac:dyDescent="0.35">
      <c r="C1803" s="33"/>
      <c r="D1803" s="34"/>
      <c r="E1803" s="34"/>
      <c r="F1803" s="34"/>
      <c r="G1803" s="34"/>
      <c r="H1803" s="34"/>
      <c r="I1803" s="34"/>
      <c r="J1803" s="34"/>
      <c r="K1803" s="34"/>
      <c r="L1803" s="34"/>
      <c r="M1803" s="34"/>
      <c r="N1803" s="34"/>
      <c r="O1803" s="34"/>
      <c r="AA1803" s="35"/>
      <c r="AB1803" s="35"/>
      <c r="AC1803" s="34"/>
      <c r="AD1803" s="34"/>
      <c r="AE1803" s="34"/>
    </row>
    <row r="1804" spans="1:31" ht="15" thickBot="1" x14ac:dyDescent="0.4">
      <c r="A1804" s="45"/>
      <c r="B1804" s="45"/>
      <c r="C1804" s="46"/>
      <c r="D1804" s="47"/>
      <c r="E1804" s="47"/>
      <c r="F1804" s="47"/>
      <c r="G1804" s="47"/>
      <c r="H1804" s="47"/>
      <c r="I1804" s="47"/>
      <c r="J1804" s="47"/>
      <c r="K1804" s="47"/>
      <c r="L1804" s="47"/>
      <c r="M1804" s="47"/>
      <c r="N1804" s="47"/>
      <c r="O1804" s="47"/>
      <c r="P1804" s="47"/>
      <c r="Q1804" s="47"/>
      <c r="R1804" s="47"/>
      <c r="S1804" s="47"/>
      <c r="T1804" s="45"/>
      <c r="U1804" s="45"/>
      <c r="V1804" s="45"/>
      <c r="W1804" s="45"/>
      <c r="X1804" s="47"/>
      <c r="Y1804" s="45"/>
      <c r="Z1804" s="45"/>
      <c r="AA1804" s="48"/>
      <c r="AB1804" s="48"/>
      <c r="AC1804" s="47"/>
      <c r="AD1804" s="47"/>
      <c r="AE1804" s="47"/>
    </row>
    <row r="1805" spans="1:31" x14ac:dyDescent="0.35">
      <c r="A1805" s="41"/>
      <c r="B1805" s="41"/>
      <c r="C1805" s="42"/>
      <c r="D1805" s="43"/>
      <c r="E1805" s="43"/>
      <c r="F1805" s="43"/>
      <c r="G1805" s="43"/>
      <c r="H1805" s="43"/>
      <c r="I1805" s="43"/>
      <c r="J1805" s="43"/>
      <c r="K1805" s="43"/>
      <c r="L1805" s="43"/>
      <c r="M1805" s="43"/>
      <c r="N1805" s="43"/>
      <c r="O1805" s="43"/>
      <c r="P1805" s="43"/>
      <c r="Q1805" s="43"/>
      <c r="R1805" s="43"/>
      <c r="S1805" s="43"/>
      <c r="T1805" s="43"/>
      <c r="U1805" s="43"/>
      <c r="V1805" s="41"/>
      <c r="W1805" s="41"/>
      <c r="X1805" s="41"/>
      <c r="Y1805" s="41"/>
      <c r="Z1805" s="41"/>
      <c r="AA1805" s="44"/>
      <c r="AB1805" s="44"/>
      <c r="AC1805" s="43"/>
      <c r="AD1805" s="43"/>
      <c r="AE1805" s="43"/>
    </row>
    <row r="1806" spans="1:31" x14ac:dyDescent="0.35">
      <c r="C1806" s="33"/>
      <c r="D1806" s="34"/>
      <c r="E1806" s="34"/>
      <c r="F1806" s="34"/>
      <c r="G1806" s="34"/>
      <c r="H1806" s="34"/>
      <c r="I1806" s="34"/>
      <c r="J1806" s="34"/>
      <c r="K1806" s="34"/>
      <c r="L1806" s="34"/>
      <c r="M1806" s="34"/>
      <c r="N1806" s="34"/>
      <c r="O1806" s="34"/>
      <c r="AA1806" s="35"/>
      <c r="AB1806" s="35"/>
      <c r="AC1806" s="34"/>
      <c r="AD1806" s="34"/>
      <c r="AE1806" s="34"/>
    </row>
    <row r="1807" spans="1:31" ht="15" thickBot="1" x14ac:dyDescent="0.4">
      <c r="A1807" s="45"/>
      <c r="B1807" s="45"/>
      <c r="C1807" s="46"/>
      <c r="D1807" s="47"/>
      <c r="E1807" s="47"/>
      <c r="F1807" s="47"/>
      <c r="G1807" s="47"/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/>
      <c r="S1807" s="47"/>
      <c r="T1807" s="45"/>
      <c r="U1807" s="45"/>
      <c r="V1807" s="45"/>
      <c r="W1807" s="45"/>
      <c r="X1807" s="47"/>
      <c r="Y1807" s="45"/>
      <c r="Z1807" s="45"/>
      <c r="AA1807" s="48"/>
      <c r="AB1807" s="48"/>
      <c r="AC1807" s="47"/>
      <c r="AD1807" s="47"/>
      <c r="AE1807" s="47"/>
    </row>
    <row r="1808" spans="1:31" x14ac:dyDescent="0.35">
      <c r="A1808" s="41"/>
      <c r="B1808" s="41"/>
      <c r="C1808" s="42"/>
      <c r="D1808" s="43"/>
      <c r="E1808" s="43"/>
      <c r="F1808" s="43"/>
      <c r="G1808" s="43"/>
      <c r="H1808" s="43"/>
      <c r="I1808" s="43"/>
      <c r="J1808" s="43"/>
      <c r="K1808" s="43"/>
      <c r="L1808" s="43"/>
      <c r="M1808" s="43"/>
      <c r="N1808" s="43"/>
      <c r="O1808" s="43"/>
      <c r="P1808" s="43"/>
      <c r="Q1808" s="43"/>
      <c r="R1808" s="43"/>
      <c r="S1808" s="43"/>
      <c r="T1808" s="43"/>
      <c r="U1808" s="43"/>
      <c r="V1808" s="41"/>
      <c r="W1808" s="41"/>
      <c r="X1808" s="41"/>
      <c r="Y1808" s="41"/>
      <c r="Z1808" s="41"/>
      <c r="AA1808" s="44"/>
      <c r="AB1808" s="44"/>
      <c r="AC1808" s="43"/>
      <c r="AD1808" s="43"/>
      <c r="AE1808" s="43"/>
    </row>
    <row r="1809" spans="1:31" x14ac:dyDescent="0.35">
      <c r="C1809" s="33"/>
      <c r="D1809" s="34"/>
      <c r="E1809" s="34"/>
      <c r="F1809" s="34"/>
      <c r="G1809" s="34"/>
      <c r="H1809" s="34"/>
      <c r="I1809" s="34"/>
      <c r="J1809" s="34"/>
      <c r="K1809" s="34"/>
      <c r="L1809" s="34"/>
      <c r="M1809" s="34"/>
      <c r="N1809" s="34"/>
      <c r="O1809" s="34"/>
      <c r="AA1809" s="35"/>
      <c r="AB1809" s="35"/>
      <c r="AC1809" s="34"/>
      <c r="AD1809" s="34"/>
      <c r="AE1809" s="34"/>
    </row>
    <row r="1810" spans="1:31" ht="15" thickBot="1" x14ac:dyDescent="0.4">
      <c r="A1810" s="45"/>
      <c r="B1810" s="45"/>
      <c r="C1810" s="46"/>
      <c r="D1810" s="47"/>
      <c r="E1810" s="47"/>
      <c r="F1810" s="47"/>
      <c r="G1810" s="47"/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/>
      <c r="S1810" s="47"/>
      <c r="T1810" s="45"/>
      <c r="U1810" s="45"/>
      <c r="V1810" s="45"/>
      <c r="W1810" s="45"/>
      <c r="X1810" s="47"/>
      <c r="Y1810" s="45"/>
      <c r="Z1810" s="45"/>
      <c r="AA1810" s="48"/>
      <c r="AB1810" s="48"/>
      <c r="AC1810" s="47"/>
      <c r="AD1810" s="47"/>
      <c r="AE1810" s="47"/>
    </row>
    <row r="1811" spans="1:31" x14ac:dyDescent="0.35">
      <c r="A1811" s="41"/>
      <c r="B1811" s="41"/>
      <c r="C1811" s="42"/>
      <c r="D1811" s="43"/>
      <c r="E1811" s="43"/>
      <c r="F1811" s="43"/>
      <c r="G1811" s="43"/>
      <c r="H1811" s="43"/>
      <c r="I1811" s="43"/>
      <c r="J1811" s="43"/>
      <c r="K1811" s="43"/>
      <c r="L1811" s="43"/>
      <c r="M1811" s="43"/>
      <c r="N1811" s="43"/>
      <c r="O1811" s="43"/>
      <c r="P1811" s="43"/>
      <c r="Q1811" s="43"/>
      <c r="R1811" s="43"/>
      <c r="S1811" s="43"/>
      <c r="T1811" s="43"/>
      <c r="U1811" s="43"/>
      <c r="V1811" s="41"/>
      <c r="W1811" s="41"/>
      <c r="X1811" s="41"/>
      <c r="Y1811" s="41"/>
      <c r="Z1811" s="41"/>
      <c r="AA1811" s="44"/>
      <c r="AB1811" s="44"/>
      <c r="AC1811" s="43"/>
      <c r="AD1811" s="43"/>
      <c r="AE1811" s="43"/>
    </row>
    <row r="1812" spans="1:31" x14ac:dyDescent="0.35">
      <c r="C1812" s="33"/>
      <c r="D1812" s="34"/>
      <c r="E1812" s="34"/>
      <c r="F1812" s="34"/>
      <c r="G1812" s="34"/>
      <c r="H1812" s="34"/>
      <c r="I1812" s="34"/>
      <c r="J1812" s="34"/>
      <c r="K1812" s="34"/>
      <c r="L1812" s="34"/>
      <c r="M1812" s="34"/>
      <c r="N1812" s="34"/>
      <c r="O1812" s="34"/>
      <c r="AA1812" s="35"/>
      <c r="AB1812" s="35"/>
      <c r="AC1812" s="34"/>
      <c r="AD1812" s="34"/>
      <c r="AE1812" s="34"/>
    </row>
    <row r="1813" spans="1:31" ht="15" thickBot="1" x14ac:dyDescent="0.4">
      <c r="A1813" s="45"/>
      <c r="B1813" s="45"/>
      <c r="C1813" s="46"/>
      <c r="D1813" s="47"/>
      <c r="E1813" s="47"/>
      <c r="F1813" s="47"/>
      <c r="G1813" s="47"/>
      <c r="H1813" s="47"/>
      <c r="I1813" s="47"/>
      <c r="J1813" s="47"/>
      <c r="K1813" s="47"/>
      <c r="L1813" s="47"/>
      <c r="M1813" s="47"/>
      <c r="N1813" s="47"/>
      <c r="O1813" s="47"/>
      <c r="P1813" s="47"/>
      <c r="Q1813" s="47"/>
      <c r="R1813" s="47"/>
      <c r="S1813" s="47"/>
      <c r="T1813" s="45"/>
      <c r="U1813" s="45"/>
      <c r="V1813" s="45"/>
      <c r="W1813" s="45"/>
      <c r="X1813" s="47"/>
      <c r="Y1813" s="45"/>
      <c r="Z1813" s="45"/>
      <c r="AA1813" s="48"/>
      <c r="AB1813" s="48"/>
      <c r="AC1813" s="47"/>
      <c r="AD1813" s="47"/>
      <c r="AE1813" s="47"/>
    </row>
    <row r="1814" spans="1:31" x14ac:dyDescent="0.35">
      <c r="A1814" s="41"/>
      <c r="B1814" s="41"/>
      <c r="C1814" s="42"/>
      <c r="D1814" s="43"/>
      <c r="E1814" s="43"/>
      <c r="F1814" s="43"/>
      <c r="G1814" s="43"/>
      <c r="H1814" s="43"/>
      <c r="I1814" s="43"/>
      <c r="J1814" s="43"/>
      <c r="K1814" s="43"/>
      <c r="L1814" s="43"/>
      <c r="M1814" s="43"/>
      <c r="N1814" s="43"/>
      <c r="O1814" s="43"/>
      <c r="P1814" s="43"/>
      <c r="Q1814" s="43"/>
      <c r="R1814" s="43"/>
      <c r="S1814" s="43"/>
      <c r="T1814" s="43"/>
      <c r="U1814" s="43"/>
      <c r="V1814" s="41"/>
      <c r="W1814" s="41"/>
      <c r="X1814" s="41"/>
      <c r="Y1814" s="41"/>
      <c r="Z1814" s="41"/>
      <c r="AA1814" s="44"/>
      <c r="AB1814" s="44"/>
      <c r="AC1814" s="43"/>
      <c r="AD1814" s="43"/>
      <c r="AE1814" s="43"/>
    </row>
    <row r="1815" spans="1:31" x14ac:dyDescent="0.35">
      <c r="C1815" s="33"/>
      <c r="D1815" s="34"/>
      <c r="E1815" s="34"/>
      <c r="F1815" s="34"/>
      <c r="G1815" s="34"/>
      <c r="H1815" s="34"/>
      <c r="I1815" s="34"/>
      <c r="J1815" s="34"/>
      <c r="K1815" s="34"/>
      <c r="L1815" s="34"/>
      <c r="M1815" s="34"/>
      <c r="N1815" s="34"/>
      <c r="O1815" s="34"/>
      <c r="AA1815" s="35"/>
      <c r="AB1815" s="35"/>
      <c r="AC1815" s="34"/>
      <c r="AD1815" s="34"/>
      <c r="AE1815" s="34"/>
    </row>
    <row r="1816" spans="1:31" ht="15" thickBot="1" x14ac:dyDescent="0.4">
      <c r="A1816" s="45"/>
      <c r="B1816" s="45"/>
      <c r="C1816" s="46"/>
      <c r="D1816" s="47"/>
      <c r="E1816" s="47"/>
      <c r="F1816" s="47"/>
      <c r="G1816" s="47"/>
      <c r="H1816" s="47"/>
      <c r="I1816" s="47"/>
      <c r="J1816" s="47"/>
      <c r="K1816" s="47"/>
      <c r="L1816" s="47"/>
      <c r="M1816" s="47"/>
      <c r="N1816" s="47"/>
      <c r="O1816" s="47"/>
      <c r="P1816" s="47"/>
      <c r="Q1816" s="47"/>
      <c r="R1816" s="47"/>
      <c r="S1816" s="47"/>
      <c r="T1816" s="45"/>
      <c r="U1816" s="45"/>
      <c r="V1816" s="45"/>
      <c r="W1816" s="45"/>
      <c r="X1816" s="47"/>
      <c r="Y1816" s="45"/>
      <c r="Z1816" s="45"/>
      <c r="AA1816" s="48"/>
      <c r="AB1816" s="48"/>
      <c r="AC1816" s="47"/>
      <c r="AD1816" s="47"/>
      <c r="AE1816" s="47"/>
    </row>
    <row r="1817" spans="1:31" x14ac:dyDescent="0.35">
      <c r="A1817" s="41"/>
      <c r="B1817" s="41"/>
      <c r="C1817" s="42"/>
      <c r="D1817" s="43"/>
      <c r="E1817" s="43"/>
      <c r="F1817" s="43"/>
      <c r="G1817" s="43"/>
      <c r="H1817" s="43"/>
      <c r="I1817" s="43"/>
      <c r="J1817" s="43"/>
      <c r="K1817" s="43"/>
      <c r="L1817" s="43"/>
      <c r="M1817" s="43"/>
      <c r="N1817" s="43"/>
      <c r="O1817" s="43"/>
      <c r="P1817" s="43"/>
      <c r="Q1817" s="43"/>
      <c r="R1817" s="43"/>
      <c r="S1817" s="43"/>
      <c r="T1817" s="43"/>
      <c r="U1817" s="43"/>
      <c r="V1817" s="41"/>
      <c r="W1817" s="41"/>
      <c r="X1817" s="41"/>
      <c r="Y1817" s="41"/>
      <c r="Z1817" s="41"/>
      <c r="AA1817" s="44"/>
      <c r="AB1817" s="44"/>
      <c r="AC1817" s="43"/>
      <c r="AD1817" s="43"/>
      <c r="AE1817" s="43"/>
    </row>
    <row r="1818" spans="1:31" x14ac:dyDescent="0.35">
      <c r="C1818" s="33"/>
      <c r="D1818" s="34"/>
      <c r="E1818" s="34"/>
      <c r="F1818" s="34"/>
      <c r="G1818" s="34"/>
      <c r="H1818" s="34"/>
      <c r="I1818" s="34"/>
      <c r="J1818" s="34"/>
      <c r="K1818" s="34"/>
      <c r="L1818" s="34"/>
      <c r="M1818" s="34"/>
      <c r="N1818" s="34"/>
      <c r="O1818" s="34"/>
      <c r="AA1818" s="35"/>
      <c r="AB1818" s="35"/>
      <c r="AC1818" s="34"/>
      <c r="AD1818" s="34"/>
      <c r="AE1818" s="34"/>
    </row>
    <row r="1819" spans="1:31" ht="15" thickBot="1" x14ac:dyDescent="0.4">
      <c r="A1819" s="45"/>
      <c r="B1819" s="45"/>
      <c r="C1819" s="46"/>
      <c r="D1819" s="47"/>
      <c r="E1819" s="47"/>
      <c r="F1819" s="47"/>
      <c r="G1819" s="47"/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/>
      <c r="S1819" s="47"/>
      <c r="T1819" s="45"/>
      <c r="U1819" s="45"/>
      <c r="V1819" s="45"/>
      <c r="W1819" s="45"/>
      <c r="X1819" s="47"/>
      <c r="Y1819" s="45"/>
      <c r="Z1819" s="45"/>
      <c r="AA1819" s="48"/>
      <c r="AB1819" s="48"/>
      <c r="AC1819" s="47"/>
      <c r="AD1819" s="47"/>
      <c r="AE1819" s="47"/>
    </row>
    <row r="1820" spans="1:31" x14ac:dyDescent="0.35">
      <c r="A1820" s="41"/>
      <c r="B1820" s="41"/>
      <c r="C1820" s="42"/>
      <c r="D1820" s="43"/>
      <c r="E1820" s="43"/>
      <c r="F1820" s="43"/>
      <c r="G1820" s="43"/>
      <c r="H1820" s="43"/>
      <c r="I1820" s="43"/>
      <c r="J1820" s="43"/>
      <c r="K1820" s="43"/>
      <c r="L1820" s="43"/>
      <c r="M1820" s="43"/>
      <c r="N1820" s="43"/>
      <c r="O1820" s="43"/>
      <c r="P1820" s="43"/>
      <c r="Q1820" s="43"/>
      <c r="R1820" s="43"/>
      <c r="S1820" s="43"/>
      <c r="T1820" s="43"/>
      <c r="U1820" s="43"/>
      <c r="V1820" s="41"/>
      <c r="W1820" s="41"/>
      <c r="X1820" s="41"/>
      <c r="Y1820" s="41"/>
      <c r="Z1820" s="41"/>
      <c r="AA1820" s="44"/>
      <c r="AB1820" s="44"/>
      <c r="AC1820" s="43"/>
      <c r="AD1820" s="43"/>
      <c r="AE1820" s="43"/>
    </row>
    <row r="1821" spans="1:31" x14ac:dyDescent="0.35">
      <c r="C1821" s="33"/>
      <c r="D1821" s="34"/>
      <c r="E1821" s="34"/>
      <c r="F1821" s="34"/>
      <c r="G1821" s="34"/>
      <c r="H1821" s="34"/>
      <c r="I1821" s="34"/>
      <c r="J1821" s="34"/>
      <c r="K1821" s="34"/>
      <c r="L1821" s="34"/>
      <c r="M1821" s="34"/>
      <c r="N1821" s="34"/>
      <c r="O1821" s="34"/>
      <c r="AA1821" s="35"/>
      <c r="AB1821" s="35"/>
      <c r="AC1821" s="34"/>
      <c r="AD1821" s="34"/>
      <c r="AE1821" s="34"/>
    </row>
    <row r="1822" spans="1:31" ht="15" thickBot="1" x14ac:dyDescent="0.4">
      <c r="A1822" s="45"/>
      <c r="B1822" s="45"/>
      <c r="C1822" s="46"/>
      <c r="D1822" s="47"/>
      <c r="E1822" s="47"/>
      <c r="F1822" s="47"/>
      <c r="G1822" s="47"/>
      <c r="H1822" s="47"/>
      <c r="I1822" s="47"/>
      <c r="J1822" s="47"/>
      <c r="K1822" s="47"/>
      <c r="L1822" s="47"/>
      <c r="M1822" s="47"/>
      <c r="N1822" s="47"/>
      <c r="O1822" s="47"/>
      <c r="P1822" s="47"/>
      <c r="Q1822" s="47"/>
      <c r="R1822" s="47"/>
      <c r="S1822" s="47"/>
      <c r="T1822" s="45"/>
      <c r="U1822" s="45"/>
      <c r="V1822" s="45"/>
      <c r="W1822" s="45"/>
      <c r="X1822" s="47"/>
      <c r="Y1822" s="45"/>
      <c r="Z1822" s="45"/>
      <c r="AA1822" s="48"/>
      <c r="AB1822" s="48"/>
      <c r="AC1822" s="47"/>
      <c r="AD1822" s="47"/>
      <c r="AE1822" s="47"/>
    </row>
    <row r="1823" spans="1:31" x14ac:dyDescent="0.35">
      <c r="A1823" s="41"/>
      <c r="B1823" s="41"/>
      <c r="C1823" s="42"/>
      <c r="D1823" s="43"/>
      <c r="E1823" s="43"/>
      <c r="F1823" s="43"/>
      <c r="G1823" s="43"/>
      <c r="H1823" s="43"/>
      <c r="I1823" s="43"/>
      <c r="J1823" s="43"/>
      <c r="K1823" s="43"/>
      <c r="L1823" s="43"/>
      <c r="M1823" s="43"/>
      <c r="N1823" s="43"/>
      <c r="O1823" s="43"/>
      <c r="P1823" s="43"/>
      <c r="Q1823" s="43"/>
      <c r="R1823" s="43"/>
      <c r="S1823" s="43"/>
      <c r="T1823" s="43"/>
      <c r="U1823" s="43"/>
      <c r="V1823" s="41"/>
      <c r="W1823" s="41"/>
      <c r="X1823" s="41"/>
      <c r="Y1823" s="41"/>
      <c r="Z1823" s="41"/>
      <c r="AA1823" s="44"/>
      <c r="AB1823" s="44"/>
      <c r="AC1823" s="43"/>
      <c r="AD1823" s="43"/>
      <c r="AE1823" s="43"/>
    </row>
    <row r="1824" spans="1:31" x14ac:dyDescent="0.35">
      <c r="C1824" s="33"/>
      <c r="D1824" s="34"/>
      <c r="E1824" s="34"/>
      <c r="F1824" s="34"/>
      <c r="G1824" s="34"/>
      <c r="H1824" s="34"/>
      <c r="I1824" s="34"/>
      <c r="J1824" s="34"/>
      <c r="K1824" s="34"/>
      <c r="L1824" s="34"/>
      <c r="M1824" s="34"/>
      <c r="N1824" s="34"/>
      <c r="O1824" s="34"/>
      <c r="AA1824" s="35"/>
      <c r="AB1824" s="35"/>
      <c r="AC1824" s="34"/>
      <c r="AD1824" s="34"/>
      <c r="AE1824" s="34"/>
    </row>
    <row r="1825" spans="1:31" ht="15" thickBot="1" x14ac:dyDescent="0.4">
      <c r="A1825" s="45"/>
      <c r="B1825" s="45"/>
      <c r="C1825" s="46"/>
      <c r="D1825" s="47"/>
      <c r="E1825" s="47"/>
      <c r="F1825" s="47"/>
      <c r="G1825" s="47"/>
      <c r="H1825" s="47"/>
      <c r="I1825" s="47"/>
      <c r="J1825" s="47"/>
      <c r="K1825" s="47"/>
      <c r="L1825" s="47"/>
      <c r="M1825" s="47"/>
      <c r="N1825" s="47"/>
      <c r="O1825" s="47"/>
      <c r="P1825" s="47"/>
      <c r="Q1825" s="47"/>
      <c r="R1825" s="47"/>
      <c r="S1825" s="47"/>
      <c r="T1825" s="45"/>
      <c r="U1825" s="45"/>
      <c r="V1825" s="45"/>
      <c r="W1825" s="45"/>
      <c r="X1825" s="47"/>
      <c r="Y1825" s="45"/>
      <c r="Z1825" s="45"/>
      <c r="AA1825" s="48"/>
      <c r="AB1825" s="48"/>
      <c r="AC1825" s="47"/>
      <c r="AD1825" s="47"/>
      <c r="AE1825" s="47"/>
    </row>
    <row r="1826" spans="1:31" x14ac:dyDescent="0.35">
      <c r="A1826" s="41"/>
      <c r="B1826" s="41"/>
      <c r="C1826" s="42"/>
      <c r="D1826" s="43"/>
      <c r="E1826" s="43"/>
      <c r="F1826" s="43"/>
      <c r="G1826" s="43"/>
      <c r="H1826" s="43"/>
      <c r="I1826" s="43"/>
      <c r="J1826" s="43"/>
      <c r="K1826" s="43"/>
      <c r="L1826" s="43"/>
      <c r="M1826" s="43"/>
      <c r="N1826" s="43"/>
      <c r="O1826" s="43"/>
      <c r="P1826" s="43"/>
      <c r="Q1826" s="43"/>
      <c r="R1826" s="43"/>
      <c r="S1826" s="43"/>
      <c r="T1826" s="43"/>
      <c r="U1826" s="43"/>
      <c r="V1826" s="41"/>
      <c r="W1826" s="41"/>
      <c r="X1826" s="41"/>
      <c r="Y1826" s="41"/>
      <c r="Z1826" s="41"/>
      <c r="AA1826" s="44"/>
      <c r="AB1826" s="44"/>
      <c r="AC1826" s="43"/>
      <c r="AD1826" s="43"/>
      <c r="AE1826" s="43"/>
    </row>
    <row r="1827" spans="1:31" x14ac:dyDescent="0.35">
      <c r="C1827" s="33"/>
      <c r="D1827" s="34"/>
      <c r="E1827" s="34"/>
      <c r="F1827" s="34"/>
      <c r="G1827" s="34"/>
      <c r="H1827" s="34"/>
      <c r="I1827" s="34"/>
      <c r="J1827" s="34"/>
      <c r="K1827" s="34"/>
      <c r="L1827" s="34"/>
      <c r="M1827" s="34"/>
      <c r="N1827" s="34"/>
      <c r="O1827" s="34"/>
      <c r="AA1827" s="35"/>
      <c r="AB1827" s="35"/>
      <c r="AC1827" s="34"/>
      <c r="AD1827" s="34"/>
      <c r="AE1827" s="34"/>
    </row>
    <row r="1828" spans="1:31" ht="15" thickBot="1" x14ac:dyDescent="0.4">
      <c r="A1828" s="45"/>
      <c r="B1828" s="45"/>
      <c r="C1828" s="46"/>
      <c r="D1828" s="47"/>
      <c r="E1828" s="47"/>
      <c r="F1828" s="47"/>
      <c r="G1828" s="47"/>
      <c r="H1828" s="47"/>
      <c r="I1828" s="47"/>
      <c r="J1828" s="47"/>
      <c r="K1828" s="47"/>
      <c r="L1828" s="47"/>
      <c r="M1828" s="47"/>
      <c r="N1828" s="47"/>
      <c r="O1828" s="47"/>
      <c r="P1828" s="47"/>
      <c r="Q1828" s="47"/>
      <c r="R1828" s="47"/>
      <c r="S1828" s="47"/>
      <c r="T1828" s="45"/>
      <c r="U1828" s="45"/>
      <c r="V1828" s="45"/>
      <c r="W1828" s="45"/>
      <c r="X1828" s="47"/>
      <c r="Y1828" s="45"/>
      <c r="Z1828" s="45"/>
      <c r="AA1828" s="48"/>
      <c r="AB1828" s="48"/>
      <c r="AC1828" s="47"/>
      <c r="AD1828" s="47"/>
      <c r="AE1828" s="47"/>
    </row>
    <row r="1829" spans="1:31" x14ac:dyDescent="0.35">
      <c r="A1829" s="41"/>
      <c r="B1829" s="41"/>
      <c r="C1829" s="42"/>
      <c r="D1829" s="43"/>
      <c r="E1829" s="43"/>
      <c r="F1829" s="43"/>
      <c r="G1829" s="43"/>
      <c r="H1829" s="43"/>
      <c r="I1829" s="43"/>
      <c r="J1829" s="43"/>
      <c r="K1829" s="43"/>
      <c r="L1829" s="43"/>
      <c r="M1829" s="43"/>
      <c r="N1829" s="43"/>
      <c r="O1829" s="43"/>
      <c r="P1829" s="43"/>
      <c r="Q1829" s="43"/>
      <c r="R1829" s="43"/>
      <c r="S1829" s="43"/>
      <c r="T1829" s="43"/>
      <c r="U1829" s="43"/>
      <c r="V1829" s="41"/>
      <c r="W1829" s="41"/>
      <c r="X1829" s="41"/>
      <c r="Y1829" s="41"/>
      <c r="Z1829" s="41"/>
      <c r="AA1829" s="44"/>
      <c r="AB1829" s="44"/>
      <c r="AC1829" s="43"/>
      <c r="AD1829" s="43"/>
      <c r="AE1829" s="43"/>
    </row>
    <row r="1830" spans="1:31" x14ac:dyDescent="0.35">
      <c r="C1830" s="33"/>
      <c r="D1830" s="34"/>
      <c r="E1830" s="34"/>
      <c r="F1830" s="34"/>
      <c r="G1830" s="34"/>
      <c r="H1830" s="34"/>
      <c r="I1830" s="34"/>
      <c r="J1830" s="34"/>
      <c r="K1830" s="34"/>
      <c r="L1830" s="34"/>
      <c r="M1830" s="34"/>
      <c r="N1830" s="34"/>
      <c r="O1830" s="34"/>
      <c r="AA1830" s="35"/>
      <c r="AB1830" s="35"/>
      <c r="AC1830" s="34"/>
      <c r="AD1830" s="34"/>
      <c r="AE1830" s="34"/>
    </row>
    <row r="1831" spans="1:31" ht="15" thickBot="1" x14ac:dyDescent="0.4">
      <c r="A1831" s="45"/>
      <c r="B1831" s="45"/>
      <c r="C1831" s="46"/>
      <c r="D1831" s="47"/>
      <c r="E1831" s="47"/>
      <c r="F1831" s="47"/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  <c r="S1831" s="47"/>
      <c r="T1831" s="45"/>
      <c r="U1831" s="45"/>
      <c r="V1831" s="45"/>
      <c r="W1831" s="45"/>
      <c r="X1831" s="47"/>
      <c r="Y1831" s="45"/>
      <c r="Z1831" s="45"/>
      <c r="AA1831" s="48"/>
      <c r="AB1831" s="48"/>
      <c r="AC1831" s="47"/>
      <c r="AD1831" s="47"/>
      <c r="AE1831" s="47"/>
    </row>
    <row r="1832" spans="1:31" x14ac:dyDescent="0.35">
      <c r="A1832" s="41"/>
      <c r="B1832" s="41"/>
      <c r="C1832" s="42"/>
      <c r="D1832" s="43"/>
      <c r="E1832" s="43"/>
      <c r="F1832" s="43"/>
      <c r="G1832" s="43"/>
      <c r="H1832" s="43"/>
      <c r="I1832" s="43"/>
      <c r="J1832" s="43"/>
      <c r="K1832" s="43"/>
      <c r="L1832" s="43"/>
      <c r="M1832" s="43"/>
      <c r="N1832" s="43"/>
      <c r="O1832" s="43"/>
      <c r="P1832" s="43"/>
      <c r="Q1832" s="43"/>
      <c r="R1832" s="43"/>
      <c r="S1832" s="43"/>
      <c r="T1832" s="43"/>
      <c r="U1832" s="43"/>
      <c r="V1832" s="41"/>
      <c r="W1832" s="41"/>
      <c r="X1832" s="41"/>
      <c r="Y1832" s="41"/>
      <c r="Z1832" s="41"/>
      <c r="AA1832" s="44"/>
      <c r="AB1832" s="44"/>
      <c r="AC1832" s="43"/>
      <c r="AD1832" s="43"/>
      <c r="AE1832" s="43"/>
    </row>
    <row r="1833" spans="1:31" x14ac:dyDescent="0.35">
      <c r="C1833" s="33"/>
      <c r="D1833" s="34"/>
      <c r="E1833" s="34"/>
      <c r="F1833" s="34"/>
      <c r="G1833" s="34"/>
      <c r="H1833" s="34"/>
      <c r="I1833" s="34"/>
      <c r="J1833" s="34"/>
      <c r="K1833" s="34"/>
      <c r="L1833" s="34"/>
      <c r="M1833" s="34"/>
      <c r="N1833" s="34"/>
      <c r="O1833" s="34"/>
      <c r="AA1833" s="35"/>
      <c r="AB1833" s="35"/>
      <c r="AC1833" s="34"/>
      <c r="AD1833" s="34"/>
      <c r="AE1833" s="34"/>
    </row>
    <row r="1834" spans="1:31" ht="15" thickBot="1" x14ac:dyDescent="0.4">
      <c r="A1834" s="45"/>
      <c r="B1834" s="45"/>
      <c r="C1834" s="46"/>
      <c r="D1834" s="47"/>
      <c r="E1834" s="47"/>
      <c r="F1834" s="47"/>
      <c r="G1834" s="47"/>
      <c r="H1834" s="47"/>
      <c r="I1834" s="47"/>
      <c r="J1834" s="47"/>
      <c r="K1834" s="47"/>
      <c r="L1834" s="47"/>
      <c r="M1834" s="47"/>
      <c r="N1834" s="47"/>
      <c r="O1834" s="47"/>
      <c r="P1834" s="47"/>
      <c r="Q1834" s="47"/>
      <c r="R1834" s="47"/>
      <c r="S1834" s="47"/>
      <c r="T1834" s="45"/>
      <c r="U1834" s="45"/>
      <c r="V1834" s="45"/>
      <c r="W1834" s="45"/>
      <c r="X1834" s="47"/>
      <c r="Y1834" s="45"/>
      <c r="Z1834" s="45"/>
      <c r="AA1834" s="48"/>
      <c r="AB1834" s="48"/>
      <c r="AC1834" s="47"/>
      <c r="AD1834" s="47"/>
      <c r="AE1834" s="47"/>
    </row>
    <row r="1835" spans="1:31" x14ac:dyDescent="0.35">
      <c r="A1835" s="41"/>
      <c r="B1835" s="41"/>
      <c r="C1835" s="42"/>
      <c r="D1835" s="43"/>
      <c r="E1835" s="43"/>
      <c r="F1835" s="43"/>
      <c r="G1835" s="43"/>
      <c r="H1835" s="43"/>
      <c r="I1835" s="43"/>
      <c r="J1835" s="43"/>
      <c r="K1835" s="43"/>
      <c r="L1835" s="43"/>
      <c r="M1835" s="43"/>
      <c r="N1835" s="43"/>
      <c r="O1835" s="43"/>
      <c r="P1835" s="43"/>
      <c r="Q1835" s="43"/>
      <c r="R1835" s="43"/>
      <c r="S1835" s="43"/>
      <c r="T1835" s="43"/>
      <c r="U1835" s="43"/>
      <c r="V1835" s="41"/>
      <c r="W1835" s="41"/>
      <c r="X1835" s="41"/>
      <c r="Y1835" s="41"/>
      <c r="Z1835" s="41"/>
      <c r="AA1835" s="44"/>
      <c r="AB1835" s="44"/>
      <c r="AC1835" s="43"/>
      <c r="AD1835" s="43"/>
      <c r="AE1835" s="43"/>
    </row>
    <row r="1836" spans="1:31" x14ac:dyDescent="0.35">
      <c r="C1836" s="33"/>
      <c r="D1836" s="34"/>
      <c r="E1836" s="34"/>
      <c r="F1836" s="34"/>
      <c r="G1836" s="34"/>
      <c r="H1836" s="34"/>
      <c r="I1836" s="34"/>
      <c r="J1836" s="34"/>
      <c r="K1836" s="34"/>
      <c r="L1836" s="34"/>
      <c r="M1836" s="34"/>
      <c r="N1836" s="34"/>
      <c r="O1836" s="34"/>
      <c r="AA1836" s="35"/>
      <c r="AB1836" s="35"/>
      <c r="AC1836" s="34"/>
      <c r="AD1836" s="34"/>
      <c r="AE1836" s="34"/>
    </row>
    <row r="1837" spans="1:31" ht="15" thickBot="1" x14ac:dyDescent="0.4">
      <c r="A1837" s="45"/>
      <c r="B1837" s="45"/>
      <c r="C1837" s="46"/>
      <c r="D1837" s="47"/>
      <c r="E1837" s="47"/>
      <c r="F1837" s="47"/>
      <c r="G1837" s="47"/>
      <c r="H1837" s="47"/>
      <c r="I1837" s="47"/>
      <c r="J1837" s="47"/>
      <c r="K1837" s="47"/>
      <c r="L1837" s="47"/>
      <c r="M1837" s="47"/>
      <c r="N1837" s="47"/>
      <c r="O1837" s="47"/>
      <c r="P1837" s="47"/>
      <c r="Q1837" s="47"/>
      <c r="R1837" s="47"/>
      <c r="S1837" s="47"/>
      <c r="T1837" s="45"/>
      <c r="U1837" s="45"/>
      <c r="V1837" s="45"/>
      <c r="W1837" s="45"/>
      <c r="X1837" s="47"/>
      <c r="Y1837" s="45"/>
      <c r="Z1837" s="45"/>
      <c r="AA1837" s="48"/>
      <c r="AB1837" s="48"/>
      <c r="AC1837" s="47"/>
      <c r="AD1837" s="47"/>
      <c r="AE1837" s="47"/>
    </row>
    <row r="1838" spans="1:31" x14ac:dyDescent="0.35">
      <c r="A1838" s="41"/>
      <c r="B1838" s="41"/>
      <c r="C1838" s="42"/>
      <c r="D1838" s="43"/>
      <c r="E1838" s="43"/>
      <c r="F1838" s="43"/>
      <c r="G1838" s="43"/>
      <c r="H1838" s="43"/>
      <c r="I1838" s="43"/>
      <c r="J1838" s="43"/>
      <c r="K1838" s="43"/>
      <c r="L1838" s="43"/>
      <c r="M1838" s="43"/>
      <c r="N1838" s="43"/>
      <c r="O1838" s="43"/>
      <c r="P1838" s="43"/>
      <c r="Q1838" s="43"/>
      <c r="R1838" s="43"/>
      <c r="S1838" s="43"/>
      <c r="T1838" s="43"/>
      <c r="U1838" s="43"/>
      <c r="V1838" s="41"/>
      <c r="W1838" s="41"/>
      <c r="X1838" s="41"/>
      <c r="Y1838" s="41"/>
      <c r="Z1838" s="41"/>
      <c r="AA1838" s="44"/>
      <c r="AB1838" s="44"/>
      <c r="AC1838" s="43"/>
      <c r="AD1838" s="43"/>
      <c r="AE1838" s="43"/>
    </row>
    <row r="1839" spans="1:31" x14ac:dyDescent="0.35">
      <c r="C1839" s="33"/>
      <c r="D1839" s="34"/>
      <c r="E1839" s="34"/>
      <c r="F1839" s="34"/>
      <c r="G1839" s="34"/>
      <c r="H1839" s="34"/>
      <c r="I1839" s="34"/>
      <c r="J1839" s="34"/>
      <c r="K1839" s="34"/>
      <c r="L1839" s="34"/>
      <c r="M1839" s="34"/>
      <c r="N1839" s="34"/>
      <c r="O1839" s="34"/>
      <c r="AA1839" s="35"/>
      <c r="AB1839" s="35"/>
      <c r="AC1839" s="34"/>
      <c r="AD1839" s="34"/>
      <c r="AE1839" s="34"/>
    </row>
    <row r="1840" spans="1:31" ht="15" thickBot="1" x14ac:dyDescent="0.4">
      <c r="A1840" s="45"/>
      <c r="B1840" s="45"/>
      <c r="C1840" s="46"/>
      <c r="D1840" s="47"/>
      <c r="E1840" s="47"/>
      <c r="F1840" s="47"/>
      <c r="G1840" s="47"/>
      <c r="H1840" s="47"/>
      <c r="I1840" s="47"/>
      <c r="J1840" s="47"/>
      <c r="K1840" s="47"/>
      <c r="L1840" s="47"/>
      <c r="M1840" s="47"/>
      <c r="N1840" s="47"/>
      <c r="O1840" s="47"/>
      <c r="P1840" s="47"/>
      <c r="Q1840" s="47"/>
      <c r="R1840" s="47"/>
      <c r="S1840" s="47"/>
      <c r="T1840" s="45"/>
      <c r="U1840" s="45"/>
      <c r="V1840" s="45"/>
      <c r="W1840" s="45"/>
      <c r="X1840" s="47"/>
      <c r="Y1840" s="45"/>
      <c r="Z1840" s="45"/>
      <c r="AA1840" s="48"/>
      <c r="AB1840" s="48"/>
      <c r="AC1840" s="47"/>
      <c r="AD1840" s="47"/>
      <c r="AE1840" s="47"/>
    </row>
    <row r="1841" spans="1:31" x14ac:dyDescent="0.35">
      <c r="A1841" s="41"/>
      <c r="B1841" s="41"/>
      <c r="C1841" s="42"/>
      <c r="D1841" s="43"/>
      <c r="E1841" s="43"/>
      <c r="F1841" s="43"/>
      <c r="G1841" s="43"/>
      <c r="H1841" s="43"/>
      <c r="I1841" s="43"/>
      <c r="J1841" s="43"/>
      <c r="K1841" s="43"/>
      <c r="L1841" s="43"/>
      <c r="M1841" s="43"/>
      <c r="N1841" s="43"/>
      <c r="O1841" s="43"/>
      <c r="P1841" s="43"/>
      <c r="Q1841" s="43"/>
      <c r="R1841" s="43"/>
      <c r="S1841" s="43"/>
      <c r="T1841" s="43"/>
      <c r="U1841" s="43"/>
      <c r="V1841" s="41"/>
      <c r="W1841" s="41"/>
      <c r="X1841" s="41"/>
      <c r="Y1841" s="41"/>
      <c r="Z1841" s="41"/>
      <c r="AA1841" s="44"/>
      <c r="AB1841" s="44"/>
      <c r="AC1841" s="43"/>
      <c r="AD1841" s="43"/>
      <c r="AE1841" s="43"/>
    </row>
    <row r="1842" spans="1:31" x14ac:dyDescent="0.35">
      <c r="C1842" s="33"/>
      <c r="D1842" s="34"/>
      <c r="E1842" s="34"/>
      <c r="F1842" s="34"/>
      <c r="G1842" s="34"/>
      <c r="H1842" s="34"/>
      <c r="I1842" s="34"/>
      <c r="J1842" s="34"/>
      <c r="K1842" s="34"/>
      <c r="L1842" s="34"/>
      <c r="M1842" s="34"/>
      <c r="N1842" s="34"/>
      <c r="O1842" s="34"/>
      <c r="AA1842" s="35"/>
      <c r="AB1842" s="35"/>
      <c r="AC1842" s="34"/>
      <c r="AD1842" s="34"/>
      <c r="AE1842" s="34"/>
    </row>
    <row r="1843" spans="1:31" ht="15" thickBot="1" x14ac:dyDescent="0.4">
      <c r="A1843" s="45"/>
      <c r="B1843" s="45"/>
      <c r="C1843" s="46"/>
      <c r="D1843" s="47"/>
      <c r="E1843" s="47"/>
      <c r="F1843" s="47"/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  <c r="S1843" s="47"/>
      <c r="T1843" s="45"/>
      <c r="U1843" s="45"/>
      <c r="V1843" s="45"/>
      <c r="W1843" s="45"/>
      <c r="X1843" s="47"/>
      <c r="Y1843" s="45"/>
      <c r="Z1843" s="45"/>
      <c r="AA1843" s="48"/>
      <c r="AB1843" s="48"/>
      <c r="AC1843" s="47"/>
      <c r="AD1843" s="47"/>
      <c r="AE1843" s="47"/>
    </row>
    <row r="1844" spans="1:31" x14ac:dyDescent="0.35">
      <c r="A1844" s="41"/>
      <c r="B1844" s="41"/>
      <c r="C1844" s="42"/>
      <c r="D1844" s="43"/>
      <c r="E1844" s="43"/>
      <c r="F1844" s="43"/>
      <c r="G1844" s="43"/>
      <c r="H1844" s="43"/>
      <c r="I1844" s="43"/>
      <c r="J1844" s="43"/>
      <c r="K1844" s="43"/>
      <c r="L1844" s="43"/>
      <c r="M1844" s="43"/>
      <c r="N1844" s="43"/>
      <c r="O1844" s="43"/>
      <c r="P1844" s="43"/>
      <c r="Q1844" s="43"/>
      <c r="R1844" s="43"/>
      <c r="S1844" s="43"/>
      <c r="T1844" s="43"/>
      <c r="U1844" s="43"/>
      <c r="V1844" s="41"/>
      <c r="W1844" s="41"/>
      <c r="X1844" s="41"/>
      <c r="Y1844" s="41"/>
      <c r="Z1844" s="41"/>
      <c r="AA1844" s="44"/>
      <c r="AB1844" s="44"/>
      <c r="AC1844" s="43"/>
      <c r="AD1844" s="43"/>
      <c r="AE1844" s="43"/>
    </row>
    <row r="1845" spans="1:31" x14ac:dyDescent="0.35">
      <c r="C1845" s="33"/>
      <c r="D1845" s="34"/>
      <c r="E1845" s="34"/>
      <c r="F1845" s="34"/>
      <c r="G1845" s="34"/>
      <c r="H1845" s="34"/>
      <c r="I1845" s="34"/>
      <c r="J1845" s="34"/>
      <c r="K1845" s="34"/>
      <c r="L1845" s="34"/>
      <c r="M1845" s="34"/>
      <c r="N1845" s="34"/>
      <c r="O1845" s="34"/>
      <c r="AA1845" s="35"/>
      <c r="AB1845" s="35"/>
      <c r="AC1845" s="34"/>
      <c r="AD1845" s="34"/>
      <c r="AE1845" s="34"/>
    </row>
    <row r="1846" spans="1:31" ht="15" thickBot="1" x14ac:dyDescent="0.4">
      <c r="A1846" s="45"/>
      <c r="B1846" s="45"/>
      <c r="C1846" s="46"/>
      <c r="D1846" s="47"/>
      <c r="E1846" s="47"/>
      <c r="F1846" s="47"/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  <c r="S1846" s="47"/>
      <c r="T1846" s="45"/>
      <c r="U1846" s="45"/>
      <c r="V1846" s="45"/>
      <c r="W1846" s="45"/>
      <c r="X1846" s="47"/>
      <c r="Y1846" s="45"/>
      <c r="Z1846" s="45"/>
      <c r="AA1846" s="48"/>
      <c r="AB1846" s="48"/>
      <c r="AC1846" s="47"/>
      <c r="AD1846" s="47"/>
      <c r="AE1846" s="47"/>
    </row>
    <row r="1847" spans="1:31" x14ac:dyDescent="0.35">
      <c r="A1847" s="41"/>
      <c r="B1847" s="41"/>
      <c r="C1847" s="42"/>
      <c r="D1847" s="43"/>
      <c r="E1847" s="43"/>
      <c r="F1847" s="43"/>
      <c r="G1847" s="43"/>
      <c r="H1847" s="43"/>
      <c r="I1847" s="43"/>
      <c r="J1847" s="43"/>
      <c r="K1847" s="43"/>
      <c r="L1847" s="43"/>
      <c r="M1847" s="43"/>
      <c r="N1847" s="43"/>
      <c r="O1847" s="43"/>
      <c r="P1847" s="43"/>
      <c r="Q1847" s="43"/>
      <c r="R1847" s="43"/>
      <c r="S1847" s="43"/>
      <c r="T1847" s="43"/>
      <c r="U1847" s="43"/>
      <c r="V1847" s="41"/>
      <c r="W1847" s="41"/>
      <c r="X1847" s="41"/>
      <c r="Y1847" s="41"/>
      <c r="Z1847" s="41"/>
      <c r="AA1847" s="44"/>
      <c r="AB1847" s="44"/>
      <c r="AC1847" s="43"/>
      <c r="AD1847" s="43"/>
      <c r="AE1847" s="43"/>
    </row>
    <row r="1848" spans="1:31" x14ac:dyDescent="0.35">
      <c r="C1848" s="33"/>
      <c r="D1848" s="34"/>
      <c r="E1848" s="34"/>
      <c r="F1848" s="34"/>
      <c r="G1848" s="34"/>
      <c r="H1848" s="34"/>
      <c r="I1848" s="34"/>
      <c r="J1848" s="34"/>
      <c r="K1848" s="34"/>
      <c r="L1848" s="34"/>
      <c r="M1848" s="34"/>
      <c r="N1848" s="34"/>
      <c r="O1848" s="34"/>
      <c r="AA1848" s="35"/>
      <c r="AB1848" s="35"/>
      <c r="AC1848" s="34"/>
      <c r="AD1848" s="34"/>
      <c r="AE1848" s="34"/>
    </row>
    <row r="1849" spans="1:31" ht="15" thickBot="1" x14ac:dyDescent="0.4">
      <c r="A1849" s="45"/>
      <c r="B1849" s="45"/>
      <c r="C1849" s="46"/>
      <c r="D1849" s="47"/>
      <c r="E1849" s="47"/>
      <c r="F1849" s="47"/>
      <c r="G1849" s="47"/>
      <c r="H1849" s="47"/>
      <c r="I1849" s="47"/>
      <c r="J1849" s="47"/>
      <c r="K1849" s="47"/>
      <c r="L1849" s="47"/>
      <c r="M1849" s="47"/>
      <c r="N1849" s="47"/>
      <c r="O1849" s="47"/>
      <c r="P1849" s="47"/>
      <c r="Q1849" s="47"/>
      <c r="R1849" s="47"/>
      <c r="S1849" s="47"/>
      <c r="T1849" s="45"/>
      <c r="U1849" s="45"/>
      <c r="V1849" s="45"/>
      <c r="W1849" s="45"/>
      <c r="X1849" s="47"/>
      <c r="Y1849" s="45"/>
      <c r="Z1849" s="45"/>
      <c r="AA1849" s="48"/>
      <c r="AB1849" s="48"/>
      <c r="AC1849" s="47"/>
      <c r="AD1849" s="47"/>
      <c r="AE1849" s="47"/>
    </row>
    <row r="1850" spans="1:31" x14ac:dyDescent="0.35">
      <c r="A1850" s="41"/>
      <c r="B1850" s="41"/>
      <c r="C1850" s="42"/>
      <c r="D1850" s="43"/>
      <c r="E1850" s="43"/>
      <c r="F1850" s="43"/>
      <c r="G1850" s="43"/>
      <c r="H1850" s="43"/>
      <c r="I1850" s="43"/>
      <c r="J1850" s="43"/>
      <c r="K1850" s="43"/>
      <c r="L1850" s="43"/>
      <c r="M1850" s="43"/>
      <c r="N1850" s="43"/>
      <c r="O1850" s="43"/>
      <c r="P1850" s="43"/>
      <c r="Q1850" s="43"/>
      <c r="R1850" s="43"/>
      <c r="S1850" s="43"/>
      <c r="T1850" s="43"/>
      <c r="U1850" s="43"/>
      <c r="V1850" s="41"/>
      <c r="W1850" s="41"/>
      <c r="X1850" s="41"/>
      <c r="Y1850" s="41"/>
      <c r="Z1850" s="41"/>
      <c r="AA1850" s="44"/>
      <c r="AB1850" s="44"/>
      <c r="AC1850" s="43"/>
      <c r="AD1850" s="43"/>
      <c r="AE1850" s="43"/>
    </row>
    <row r="1851" spans="1:31" x14ac:dyDescent="0.35">
      <c r="C1851" s="33"/>
      <c r="D1851" s="34"/>
      <c r="E1851" s="34"/>
      <c r="F1851" s="34"/>
      <c r="G1851" s="34"/>
      <c r="H1851" s="34"/>
      <c r="I1851" s="34"/>
      <c r="J1851" s="34"/>
      <c r="K1851" s="34"/>
      <c r="L1851" s="34"/>
      <c r="M1851" s="34"/>
      <c r="N1851" s="34"/>
      <c r="O1851" s="34"/>
      <c r="AA1851" s="35"/>
      <c r="AB1851" s="35"/>
      <c r="AC1851" s="34"/>
      <c r="AD1851" s="34"/>
      <c r="AE1851" s="34"/>
    </row>
    <row r="1852" spans="1:31" ht="15" thickBot="1" x14ac:dyDescent="0.4">
      <c r="A1852" s="45"/>
      <c r="B1852" s="45"/>
      <c r="C1852" s="46"/>
      <c r="D1852" s="47"/>
      <c r="E1852" s="47"/>
      <c r="F1852" s="47"/>
      <c r="G1852" s="47"/>
      <c r="H1852" s="47"/>
      <c r="I1852" s="47"/>
      <c r="J1852" s="47"/>
      <c r="K1852" s="47"/>
      <c r="L1852" s="47"/>
      <c r="M1852" s="47"/>
      <c r="N1852" s="47"/>
      <c r="O1852" s="47"/>
      <c r="P1852" s="47"/>
      <c r="Q1852" s="47"/>
      <c r="R1852" s="47"/>
      <c r="S1852" s="47"/>
      <c r="T1852" s="45"/>
      <c r="U1852" s="45"/>
      <c r="V1852" s="45"/>
      <c r="W1852" s="45"/>
      <c r="X1852" s="47"/>
      <c r="Y1852" s="45"/>
      <c r="Z1852" s="45"/>
      <c r="AA1852" s="48"/>
      <c r="AB1852" s="48"/>
      <c r="AC1852" s="47"/>
      <c r="AD1852" s="47"/>
      <c r="AE1852" s="47"/>
    </row>
    <row r="1853" spans="1:31" x14ac:dyDescent="0.35">
      <c r="A1853" s="41"/>
      <c r="B1853" s="41"/>
      <c r="C1853" s="42"/>
      <c r="D1853" s="43"/>
      <c r="E1853" s="43"/>
      <c r="F1853" s="43"/>
      <c r="G1853" s="43"/>
      <c r="H1853" s="43"/>
      <c r="I1853" s="43"/>
      <c r="J1853" s="43"/>
      <c r="K1853" s="43"/>
      <c r="L1853" s="43"/>
      <c r="M1853" s="43"/>
      <c r="N1853" s="43"/>
      <c r="O1853" s="43"/>
      <c r="P1853" s="43"/>
      <c r="Q1853" s="43"/>
      <c r="R1853" s="43"/>
      <c r="S1853" s="43"/>
      <c r="T1853" s="43"/>
      <c r="U1853" s="43"/>
      <c r="V1853" s="41"/>
      <c r="W1853" s="41"/>
      <c r="X1853" s="41"/>
      <c r="Y1853" s="41"/>
      <c r="Z1853" s="41"/>
      <c r="AA1853" s="44"/>
      <c r="AB1853" s="44"/>
      <c r="AC1853" s="43"/>
      <c r="AD1853" s="43"/>
      <c r="AE1853" s="43"/>
    </row>
    <row r="1854" spans="1:31" x14ac:dyDescent="0.35">
      <c r="C1854" s="33"/>
      <c r="D1854" s="34"/>
      <c r="E1854" s="34"/>
      <c r="F1854" s="34"/>
      <c r="G1854" s="34"/>
      <c r="H1854" s="34"/>
      <c r="I1854" s="34"/>
      <c r="J1854" s="34"/>
      <c r="K1854" s="34"/>
      <c r="L1854" s="34"/>
      <c r="M1854" s="34"/>
      <c r="N1854" s="34"/>
      <c r="O1854" s="34"/>
      <c r="AA1854" s="35"/>
      <c r="AB1854" s="35"/>
      <c r="AC1854" s="34"/>
      <c r="AD1854" s="34"/>
      <c r="AE1854" s="34"/>
    </row>
    <row r="1855" spans="1:31" ht="15" thickBot="1" x14ac:dyDescent="0.4">
      <c r="A1855" s="45"/>
      <c r="B1855" s="45"/>
      <c r="C1855" s="46"/>
      <c r="D1855" s="47"/>
      <c r="E1855" s="47"/>
      <c r="F1855" s="47"/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  <c r="S1855" s="47"/>
      <c r="T1855" s="45"/>
      <c r="U1855" s="45"/>
      <c r="V1855" s="45"/>
      <c r="W1855" s="45"/>
      <c r="X1855" s="47"/>
      <c r="Y1855" s="45"/>
      <c r="Z1855" s="45"/>
      <c r="AA1855" s="48"/>
      <c r="AB1855" s="48"/>
      <c r="AC1855" s="47"/>
      <c r="AD1855" s="47"/>
      <c r="AE1855" s="47"/>
    </row>
    <row r="1856" spans="1:31" x14ac:dyDescent="0.35">
      <c r="A1856" s="41"/>
      <c r="B1856" s="41"/>
      <c r="C1856" s="42"/>
      <c r="D1856" s="43"/>
      <c r="E1856" s="43"/>
      <c r="F1856" s="43"/>
      <c r="G1856" s="43"/>
      <c r="H1856" s="43"/>
      <c r="I1856" s="43"/>
      <c r="J1856" s="43"/>
      <c r="K1856" s="43"/>
      <c r="L1856" s="43"/>
      <c r="M1856" s="43"/>
      <c r="N1856" s="43"/>
      <c r="O1856" s="43"/>
      <c r="P1856" s="43"/>
      <c r="Q1856" s="43"/>
      <c r="R1856" s="43"/>
      <c r="S1856" s="43"/>
      <c r="T1856" s="43"/>
      <c r="U1856" s="43"/>
      <c r="V1856" s="41"/>
      <c r="W1856" s="41"/>
      <c r="X1856" s="41"/>
      <c r="Y1856" s="41"/>
      <c r="Z1856" s="41"/>
      <c r="AA1856" s="44"/>
      <c r="AB1856" s="44"/>
      <c r="AC1856" s="43"/>
      <c r="AD1856" s="43"/>
      <c r="AE1856" s="43"/>
    </row>
    <row r="1857" spans="1:31" x14ac:dyDescent="0.35">
      <c r="C1857" s="33"/>
      <c r="D1857" s="34"/>
      <c r="E1857" s="34"/>
      <c r="F1857" s="34"/>
      <c r="G1857" s="34"/>
      <c r="H1857" s="34"/>
      <c r="I1857" s="34"/>
      <c r="J1857" s="34"/>
      <c r="K1857" s="34"/>
      <c r="L1857" s="34"/>
      <c r="M1857" s="34"/>
      <c r="N1857" s="34"/>
      <c r="O1857" s="34"/>
      <c r="AA1857" s="35"/>
      <c r="AB1857" s="35"/>
      <c r="AC1857" s="34"/>
      <c r="AD1857" s="34"/>
      <c r="AE1857" s="34"/>
    </row>
    <row r="1858" spans="1:31" ht="15" thickBot="1" x14ac:dyDescent="0.4">
      <c r="A1858" s="45"/>
      <c r="B1858" s="45"/>
      <c r="C1858" s="46"/>
      <c r="D1858" s="47"/>
      <c r="E1858" s="47"/>
      <c r="F1858" s="47"/>
      <c r="G1858" s="47"/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/>
      <c r="S1858" s="47"/>
      <c r="T1858" s="45"/>
      <c r="U1858" s="45"/>
      <c r="V1858" s="45"/>
      <c r="W1858" s="45"/>
      <c r="X1858" s="47"/>
      <c r="Y1858" s="45"/>
      <c r="Z1858" s="45"/>
      <c r="AA1858" s="48"/>
      <c r="AB1858" s="48"/>
      <c r="AC1858" s="47"/>
      <c r="AD1858" s="47"/>
      <c r="AE1858" s="47"/>
    </row>
    <row r="1859" spans="1:31" x14ac:dyDescent="0.35">
      <c r="A1859" s="41"/>
      <c r="B1859" s="41"/>
      <c r="C1859" s="42"/>
      <c r="D1859" s="43"/>
      <c r="E1859" s="43"/>
      <c r="F1859" s="43"/>
      <c r="G1859" s="43"/>
      <c r="H1859" s="43"/>
      <c r="I1859" s="43"/>
      <c r="J1859" s="43"/>
      <c r="K1859" s="43"/>
      <c r="L1859" s="43"/>
      <c r="M1859" s="43"/>
      <c r="N1859" s="43"/>
      <c r="O1859" s="43"/>
      <c r="P1859" s="43"/>
      <c r="Q1859" s="43"/>
      <c r="R1859" s="43"/>
      <c r="S1859" s="43"/>
      <c r="T1859" s="43"/>
      <c r="U1859" s="43"/>
      <c r="V1859" s="41"/>
      <c r="W1859" s="41"/>
      <c r="X1859" s="41"/>
      <c r="Y1859" s="41"/>
      <c r="Z1859" s="41"/>
      <c r="AA1859" s="44"/>
      <c r="AB1859" s="44"/>
      <c r="AC1859" s="43"/>
      <c r="AD1859" s="43"/>
      <c r="AE1859" s="43"/>
    </row>
    <row r="1860" spans="1:31" x14ac:dyDescent="0.35">
      <c r="C1860" s="33"/>
      <c r="D1860" s="34"/>
      <c r="E1860" s="34"/>
      <c r="F1860" s="34"/>
      <c r="G1860" s="34"/>
      <c r="H1860" s="34"/>
      <c r="I1860" s="34"/>
      <c r="J1860" s="34"/>
      <c r="K1860" s="34"/>
      <c r="L1860" s="34"/>
      <c r="M1860" s="34"/>
      <c r="N1860" s="34"/>
      <c r="O1860" s="34"/>
      <c r="AA1860" s="35"/>
      <c r="AB1860" s="35"/>
      <c r="AC1860" s="34"/>
      <c r="AD1860" s="34"/>
      <c r="AE1860" s="34"/>
    </row>
    <row r="1861" spans="1:31" ht="15" thickBot="1" x14ac:dyDescent="0.4">
      <c r="A1861" s="45"/>
      <c r="B1861" s="45"/>
      <c r="C1861" s="46"/>
      <c r="D1861" s="47"/>
      <c r="E1861" s="47"/>
      <c r="F1861" s="47"/>
      <c r="G1861" s="47"/>
      <c r="H1861" s="47"/>
      <c r="I1861" s="47"/>
      <c r="J1861" s="47"/>
      <c r="K1861" s="47"/>
      <c r="L1861" s="47"/>
      <c r="M1861" s="47"/>
      <c r="N1861" s="47"/>
      <c r="O1861" s="47"/>
      <c r="P1861" s="47"/>
      <c r="Q1861" s="47"/>
      <c r="R1861" s="47"/>
      <c r="S1861" s="47"/>
      <c r="T1861" s="45"/>
      <c r="U1861" s="45"/>
      <c r="V1861" s="45"/>
      <c r="W1861" s="45"/>
      <c r="X1861" s="47"/>
      <c r="Y1861" s="45"/>
      <c r="Z1861" s="45"/>
      <c r="AA1861" s="48"/>
      <c r="AB1861" s="48"/>
      <c r="AC1861" s="47"/>
      <c r="AD1861" s="47"/>
      <c r="AE1861" s="47"/>
    </row>
    <row r="1862" spans="1:31" x14ac:dyDescent="0.35">
      <c r="A1862" s="41"/>
      <c r="B1862" s="41"/>
      <c r="C1862" s="42"/>
      <c r="D1862" s="43"/>
      <c r="E1862" s="43"/>
      <c r="F1862" s="43"/>
      <c r="G1862" s="43"/>
      <c r="H1862" s="43"/>
      <c r="I1862" s="43"/>
      <c r="J1862" s="43"/>
      <c r="K1862" s="43"/>
      <c r="L1862" s="43"/>
      <c r="M1862" s="43"/>
      <c r="N1862" s="43"/>
      <c r="O1862" s="43"/>
      <c r="P1862" s="43"/>
      <c r="Q1862" s="43"/>
      <c r="R1862" s="43"/>
      <c r="S1862" s="43"/>
      <c r="T1862" s="43"/>
      <c r="U1862" s="43"/>
      <c r="V1862" s="41"/>
      <c r="W1862" s="41"/>
      <c r="X1862" s="41"/>
      <c r="Y1862" s="41"/>
      <c r="Z1862" s="41"/>
      <c r="AA1862" s="44"/>
      <c r="AB1862" s="44"/>
      <c r="AC1862" s="43"/>
      <c r="AD1862" s="43"/>
      <c r="AE1862" s="43"/>
    </row>
    <row r="1863" spans="1:31" x14ac:dyDescent="0.35">
      <c r="C1863" s="33"/>
      <c r="D1863" s="34"/>
      <c r="E1863" s="34"/>
      <c r="F1863" s="34"/>
      <c r="G1863" s="34"/>
      <c r="H1863" s="34"/>
      <c r="I1863" s="34"/>
      <c r="J1863" s="34"/>
      <c r="K1863" s="34"/>
      <c r="L1863" s="34"/>
      <c r="M1863" s="34"/>
      <c r="N1863" s="34"/>
      <c r="O1863" s="34"/>
      <c r="AA1863" s="35"/>
      <c r="AB1863" s="35"/>
      <c r="AC1863" s="34"/>
      <c r="AD1863" s="34"/>
      <c r="AE1863" s="34"/>
    </row>
    <row r="1864" spans="1:31" ht="15" thickBot="1" x14ac:dyDescent="0.4">
      <c r="A1864" s="45"/>
      <c r="B1864" s="45"/>
      <c r="C1864" s="46"/>
      <c r="D1864" s="47"/>
      <c r="E1864" s="47"/>
      <c r="F1864" s="47"/>
      <c r="G1864" s="47"/>
      <c r="H1864" s="47"/>
      <c r="I1864" s="47"/>
      <c r="J1864" s="47"/>
      <c r="K1864" s="47"/>
      <c r="L1864" s="47"/>
      <c r="M1864" s="47"/>
      <c r="N1864" s="47"/>
      <c r="O1864" s="47"/>
      <c r="P1864" s="47"/>
      <c r="Q1864" s="47"/>
      <c r="R1864" s="47"/>
      <c r="S1864" s="47"/>
      <c r="T1864" s="45"/>
      <c r="U1864" s="45"/>
      <c r="V1864" s="45"/>
      <c r="W1864" s="45"/>
      <c r="X1864" s="47"/>
      <c r="Y1864" s="45"/>
      <c r="Z1864" s="45"/>
      <c r="AA1864" s="48"/>
      <c r="AB1864" s="48"/>
      <c r="AC1864" s="47"/>
      <c r="AD1864" s="47"/>
      <c r="AE1864" s="47"/>
    </row>
    <row r="1865" spans="1:31" x14ac:dyDescent="0.35">
      <c r="A1865" s="41"/>
      <c r="B1865" s="41"/>
      <c r="C1865" s="42"/>
      <c r="D1865" s="43"/>
      <c r="E1865" s="43"/>
      <c r="F1865" s="43"/>
      <c r="G1865" s="43"/>
      <c r="H1865" s="43"/>
      <c r="I1865" s="43"/>
      <c r="J1865" s="43"/>
      <c r="K1865" s="43"/>
      <c r="L1865" s="43"/>
      <c r="M1865" s="43"/>
      <c r="N1865" s="43"/>
      <c r="O1865" s="43"/>
      <c r="P1865" s="43"/>
      <c r="Q1865" s="43"/>
      <c r="R1865" s="43"/>
      <c r="S1865" s="43"/>
      <c r="T1865" s="43"/>
      <c r="U1865" s="43"/>
      <c r="V1865" s="41"/>
      <c r="W1865" s="41"/>
      <c r="X1865" s="41"/>
      <c r="Y1865" s="41"/>
      <c r="Z1865" s="41"/>
      <c r="AA1865" s="44"/>
      <c r="AB1865" s="44"/>
      <c r="AC1865" s="43"/>
      <c r="AD1865" s="43"/>
      <c r="AE1865" s="43"/>
    </row>
    <row r="1866" spans="1:31" x14ac:dyDescent="0.35">
      <c r="C1866" s="33"/>
      <c r="D1866" s="34"/>
      <c r="E1866" s="34"/>
      <c r="F1866" s="34"/>
      <c r="G1866" s="34"/>
      <c r="H1866" s="34"/>
      <c r="I1866" s="34"/>
      <c r="J1866" s="34"/>
      <c r="K1866" s="34"/>
      <c r="L1866" s="34"/>
      <c r="M1866" s="34"/>
      <c r="N1866" s="34"/>
      <c r="O1866" s="34"/>
      <c r="AA1866" s="35"/>
      <c r="AB1866" s="35"/>
      <c r="AC1866" s="34"/>
      <c r="AD1866" s="34"/>
      <c r="AE1866" s="34"/>
    </row>
    <row r="1867" spans="1:31" ht="15" thickBot="1" x14ac:dyDescent="0.4">
      <c r="A1867" s="45"/>
      <c r="B1867" s="45"/>
      <c r="C1867" s="46"/>
      <c r="D1867" s="47"/>
      <c r="E1867" s="47"/>
      <c r="F1867" s="47"/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  <c r="S1867" s="47"/>
      <c r="T1867" s="45"/>
      <c r="U1867" s="45"/>
      <c r="V1867" s="45"/>
      <c r="W1867" s="45"/>
      <c r="X1867" s="47"/>
      <c r="Y1867" s="45"/>
      <c r="Z1867" s="45"/>
      <c r="AA1867" s="48"/>
      <c r="AB1867" s="48"/>
      <c r="AC1867" s="47"/>
      <c r="AD1867" s="47"/>
      <c r="AE1867" s="47"/>
    </row>
    <row r="1868" spans="1:31" x14ac:dyDescent="0.35">
      <c r="A1868" s="41"/>
      <c r="B1868" s="41"/>
      <c r="C1868" s="42"/>
      <c r="D1868" s="43"/>
      <c r="E1868" s="43"/>
      <c r="F1868" s="43"/>
      <c r="G1868" s="43"/>
      <c r="H1868" s="43"/>
      <c r="I1868" s="43"/>
      <c r="J1868" s="43"/>
      <c r="K1868" s="43"/>
      <c r="L1868" s="43"/>
      <c r="M1868" s="43"/>
      <c r="N1868" s="43"/>
      <c r="O1868" s="43"/>
      <c r="P1868" s="43"/>
      <c r="Q1868" s="43"/>
      <c r="R1868" s="43"/>
      <c r="S1868" s="43"/>
      <c r="T1868" s="43"/>
      <c r="U1868" s="43"/>
      <c r="V1868" s="41"/>
      <c r="W1868" s="41"/>
      <c r="X1868" s="41"/>
      <c r="Y1868" s="41"/>
      <c r="Z1868" s="41"/>
      <c r="AA1868" s="44"/>
      <c r="AB1868" s="44"/>
      <c r="AC1868" s="43"/>
      <c r="AD1868" s="43"/>
      <c r="AE1868" s="43"/>
    </row>
    <row r="1869" spans="1:31" x14ac:dyDescent="0.35">
      <c r="C1869" s="33"/>
      <c r="D1869" s="34"/>
      <c r="E1869" s="34"/>
      <c r="F1869" s="34"/>
      <c r="G1869" s="34"/>
      <c r="H1869" s="34"/>
      <c r="I1869" s="34"/>
      <c r="J1869" s="34"/>
      <c r="K1869" s="34"/>
      <c r="L1869" s="34"/>
      <c r="M1869" s="34"/>
      <c r="N1869" s="34"/>
      <c r="O1869" s="34"/>
      <c r="AA1869" s="35"/>
      <c r="AB1869" s="35"/>
      <c r="AC1869" s="34"/>
      <c r="AD1869" s="34"/>
      <c r="AE1869" s="34"/>
    </row>
    <row r="1870" spans="1:31" ht="15" thickBot="1" x14ac:dyDescent="0.4">
      <c r="A1870" s="45"/>
      <c r="B1870" s="45"/>
      <c r="C1870" s="46"/>
      <c r="D1870" s="47"/>
      <c r="E1870" s="47"/>
      <c r="F1870" s="47"/>
      <c r="G1870" s="47"/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/>
      <c r="S1870" s="47"/>
      <c r="T1870" s="45"/>
      <c r="U1870" s="45"/>
      <c r="V1870" s="45"/>
      <c r="W1870" s="45"/>
      <c r="X1870" s="47"/>
      <c r="Y1870" s="45"/>
      <c r="Z1870" s="45"/>
      <c r="AA1870" s="48"/>
      <c r="AB1870" s="48"/>
      <c r="AC1870" s="47"/>
      <c r="AD1870" s="47"/>
      <c r="AE1870" s="47"/>
    </row>
    <row r="1871" spans="1:31" x14ac:dyDescent="0.35">
      <c r="A1871" s="41"/>
      <c r="B1871" s="41"/>
      <c r="C1871" s="42"/>
      <c r="D1871" s="43"/>
      <c r="E1871" s="43"/>
      <c r="F1871" s="43"/>
      <c r="G1871" s="43"/>
      <c r="H1871" s="43"/>
      <c r="I1871" s="43"/>
      <c r="J1871" s="43"/>
      <c r="K1871" s="43"/>
      <c r="L1871" s="43"/>
      <c r="M1871" s="43"/>
      <c r="N1871" s="43"/>
      <c r="O1871" s="43"/>
      <c r="P1871" s="43"/>
      <c r="Q1871" s="43"/>
      <c r="R1871" s="43"/>
      <c r="S1871" s="43"/>
      <c r="T1871" s="43"/>
      <c r="U1871" s="43"/>
      <c r="V1871" s="41"/>
      <c r="W1871" s="41"/>
      <c r="X1871" s="41"/>
      <c r="Y1871" s="41"/>
      <c r="Z1871" s="41"/>
      <c r="AA1871" s="44"/>
      <c r="AB1871" s="44"/>
      <c r="AC1871" s="43"/>
      <c r="AD1871" s="43"/>
      <c r="AE1871" s="43"/>
    </row>
    <row r="1872" spans="1:31" x14ac:dyDescent="0.35">
      <c r="C1872" s="33"/>
      <c r="D1872" s="34"/>
      <c r="E1872" s="34"/>
      <c r="F1872" s="34"/>
      <c r="G1872" s="34"/>
      <c r="H1872" s="34"/>
      <c r="I1872" s="34"/>
      <c r="J1872" s="34"/>
      <c r="K1872" s="34"/>
      <c r="L1872" s="34"/>
      <c r="M1872" s="34"/>
      <c r="N1872" s="34"/>
      <c r="O1872" s="34"/>
      <c r="AA1872" s="35"/>
      <c r="AB1872" s="35"/>
      <c r="AC1872" s="34"/>
      <c r="AD1872" s="34"/>
      <c r="AE1872" s="34"/>
    </row>
    <row r="1873" spans="1:31" ht="15" thickBot="1" x14ac:dyDescent="0.4">
      <c r="A1873" s="45"/>
      <c r="B1873" s="45"/>
      <c r="C1873" s="46"/>
      <c r="D1873" s="47"/>
      <c r="E1873" s="47"/>
      <c r="F1873" s="47"/>
      <c r="G1873" s="47"/>
      <c r="H1873" s="47"/>
      <c r="I1873" s="47"/>
      <c r="J1873" s="47"/>
      <c r="K1873" s="47"/>
      <c r="L1873" s="47"/>
      <c r="M1873" s="47"/>
      <c r="N1873" s="47"/>
      <c r="O1873" s="47"/>
      <c r="P1873" s="47"/>
      <c r="Q1873" s="47"/>
      <c r="R1873" s="47"/>
      <c r="S1873" s="47"/>
      <c r="T1873" s="45"/>
      <c r="U1873" s="45"/>
      <c r="V1873" s="45"/>
      <c r="W1873" s="45"/>
      <c r="X1873" s="47"/>
      <c r="Y1873" s="45"/>
      <c r="Z1873" s="45"/>
      <c r="AA1873" s="48"/>
      <c r="AB1873" s="48"/>
      <c r="AC1873" s="47"/>
      <c r="AD1873" s="47"/>
      <c r="AE1873" s="47"/>
    </row>
    <row r="1874" spans="1:31" x14ac:dyDescent="0.35">
      <c r="A1874" s="41"/>
      <c r="B1874" s="41"/>
      <c r="C1874" s="42"/>
      <c r="D1874" s="43"/>
      <c r="E1874" s="43"/>
      <c r="F1874" s="43"/>
      <c r="G1874" s="43"/>
      <c r="H1874" s="43"/>
      <c r="I1874" s="43"/>
      <c r="J1874" s="43"/>
      <c r="K1874" s="43"/>
      <c r="L1874" s="43"/>
      <c r="M1874" s="43"/>
      <c r="N1874" s="43"/>
      <c r="O1874" s="43"/>
      <c r="P1874" s="43"/>
      <c r="Q1874" s="43"/>
      <c r="R1874" s="43"/>
      <c r="S1874" s="43"/>
      <c r="T1874" s="43"/>
      <c r="U1874" s="43"/>
      <c r="V1874" s="41"/>
      <c r="W1874" s="41"/>
      <c r="X1874" s="41"/>
      <c r="Y1874" s="41"/>
      <c r="Z1874" s="41"/>
      <c r="AA1874" s="44"/>
      <c r="AB1874" s="44"/>
      <c r="AC1874" s="43"/>
      <c r="AD1874" s="43"/>
      <c r="AE1874" s="43"/>
    </row>
    <row r="1875" spans="1:31" x14ac:dyDescent="0.35">
      <c r="C1875" s="33"/>
      <c r="D1875" s="34"/>
      <c r="E1875" s="34"/>
      <c r="F1875" s="34"/>
      <c r="G1875" s="34"/>
      <c r="H1875" s="34"/>
      <c r="I1875" s="34"/>
      <c r="J1875" s="34"/>
      <c r="K1875" s="34"/>
      <c r="L1875" s="34"/>
      <c r="M1875" s="34"/>
      <c r="N1875" s="34"/>
      <c r="O1875" s="34"/>
      <c r="AA1875" s="35"/>
      <c r="AB1875" s="35"/>
      <c r="AC1875" s="34"/>
      <c r="AD1875" s="34"/>
      <c r="AE1875" s="34"/>
    </row>
    <row r="1876" spans="1:31" ht="15" thickBot="1" x14ac:dyDescent="0.4">
      <c r="A1876" s="45"/>
      <c r="B1876" s="45"/>
      <c r="C1876" s="46"/>
      <c r="D1876" s="47"/>
      <c r="E1876" s="47"/>
      <c r="F1876" s="47"/>
      <c r="G1876" s="47"/>
      <c r="H1876" s="47"/>
      <c r="I1876" s="47"/>
      <c r="J1876" s="47"/>
      <c r="K1876" s="47"/>
      <c r="L1876" s="47"/>
      <c r="M1876" s="47"/>
      <c r="N1876" s="47"/>
      <c r="O1876" s="47"/>
      <c r="P1876" s="47"/>
      <c r="Q1876" s="47"/>
      <c r="R1876" s="47"/>
      <c r="S1876" s="47"/>
      <c r="T1876" s="45"/>
      <c r="U1876" s="45"/>
      <c r="V1876" s="45"/>
      <c r="W1876" s="45"/>
      <c r="X1876" s="47"/>
      <c r="Y1876" s="45"/>
      <c r="Z1876" s="45"/>
      <c r="AA1876" s="48"/>
      <c r="AB1876" s="48"/>
      <c r="AC1876" s="47"/>
      <c r="AD1876" s="47"/>
      <c r="AE1876" s="47"/>
    </row>
    <row r="1877" spans="1:31" x14ac:dyDescent="0.35">
      <c r="A1877" s="41"/>
      <c r="B1877" s="41"/>
      <c r="C1877" s="42"/>
      <c r="D1877" s="43"/>
      <c r="E1877" s="43"/>
      <c r="F1877" s="43"/>
      <c r="G1877" s="43"/>
      <c r="H1877" s="43"/>
      <c r="I1877" s="43"/>
      <c r="J1877" s="43"/>
      <c r="K1877" s="43"/>
      <c r="L1877" s="43"/>
      <c r="M1877" s="43"/>
      <c r="N1877" s="43"/>
      <c r="O1877" s="43"/>
      <c r="P1877" s="43"/>
      <c r="Q1877" s="43"/>
      <c r="R1877" s="43"/>
      <c r="S1877" s="43"/>
      <c r="T1877" s="43"/>
      <c r="U1877" s="43"/>
      <c r="V1877" s="41"/>
      <c r="W1877" s="41"/>
      <c r="X1877" s="41"/>
      <c r="Y1877" s="41"/>
      <c r="Z1877" s="41"/>
      <c r="AA1877" s="44"/>
      <c r="AB1877" s="44"/>
      <c r="AC1877" s="43"/>
      <c r="AD1877" s="43"/>
      <c r="AE1877" s="43"/>
    </row>
    <row r="1878" spans="1:31" x14ac:dyDescent="0.35">
      <c r="C1878" s="33"/>
      <c r="D1878" s="34"/>
      <c r="E1878" s="34"/>
      <c r="F1878" s="34"/>
      <c r="G1878" s="34"/>
      <c r="H1878" s="34"/>
      <c r="I1878" s="34"/>
      <c r="J1878" s="34"/>
      <c r="K1878" s="34"/>
      <c r="L1878" s="34"/>
      <c r="M1878" s="34"/>
      <c r="N1878" s="34"/>
      <c r="O1878" s="34"/>
      <c r="AA1878" s="35"/>
      <c r="AB1878" s="35"/>
      <c r="AC1878" s="34"/>
      <c r="AD1878" s="34"/>
      <c r="AE1878" s="34"/>
    </row>
    <row r="1879" spans="1:31" ht="15" thickBot="1" x14ac:dyDescent="0.4">
      <c r="A1879" s="45"/>
      <c r="B1879" s="45"/>
      <c r="C1879" s="46"/>
      <c r="D1879" s="47"/>
      <c r="E1879" s="47"/>
      <c r="F1879" s="47"/>
      <c r="G1879" s="47"/>
      <c r="H1879" s="47"/>
      <c r="I1879" s="47"/>
      <c r="J1879" s="47"/>
      <c r="K1879" s="47"/>
      <c r="L1879" s="47"/>
      <c r="M1879" s="47"/>
      <c r="N1879" s="47"/>
      <c r="O1879" s="47"/>
      <c r="P1879" s="47"/>
      <c r="Q1879" s="47"/>
      <c r="R1879" s="47"/>
      <c r="S1879" s="47"/>
      <c r="T1879" s="45"/>
      <c r="U1879" s="45"/>
      <c r="V1879" s="45"/>
      <c r="W1879" s="45"/>
      <c r="X1879" s="47"/>
      <c r="Y1879" s="45"/>
      <c r="Z1879" s="45"/>
      <c r="AA1879" s="48"/>
      <c r="AB1879" s="48"/>
      <c r="AC1879" s="47"/>
      <c r="AD1879" s="47"/>
      <c r="AE1879" s="47"/>
    </row>
    <row r="1880" spans="1:31" x14ac:dyDescent="0.35">
      <c r="A1880" s="41"/>
      <c r="B1880" s="41"/>
      <c r="C1880" s="42"/>
      <c r="D1880" s="43"/>
      <c r="E1880" s="43"/>
      <c r="F1880" s="43"/>
      <c r="G1880" s="43"/>
      <c r="H1880" s="43"/>
      <c r="I1880" s="43"/>
      <c r="J1880" s="43"/>
      <c r="K1880" s="43"/>
      <c r="L1880" s="43"/>
      <c r="M1880" s="43"/>
      <c r="N1880" s="43"/>
      <c r="O1880" s="43"/>
      <c r="P1880" s="43"/>
      <c r="Q1880" s="43"/>
      <c r="R1880" s="43"/>
      <c r="S1880" s="43"/>
      <c r="T1880" s="43"/>
      <c r="U1880" s="43"/>
      <c r="V1880" s="41"/>
      <c r="W1880" s="41"/>
      <c r="X1880" s="41"/>
      <c r="Y1880" s="41"/>
      <c r="Z1880" s="41"/>
      <c r="AA1880" s="44"/>
      <c r="AB1880" s="44"/>
      <c r="AC1880" s="43"/>
      <c r="AD1880" s="43"/>
      <c r="AE1880" s="43"/>
    </row>
    <row r="1881" spans="1:31" x14ac:dyDescent="0.35">
      <c r="C1881" s="33"/>
      <c r="D1881" s="34"/>
      <c r="E1881" s="34"/>
      <c r="F1881" s="34"/>
      <c r="G1881" s="34"/>
      <c r="H1881" s="34"/>
      <c r="I1881" s="34"/>
      <c r="J1881" s="34"/>
      <c r="K1881" s="34"/>
      <c r="L1881" s="34"/>
      <c r="M1881" s="34"/>
      <c r="N1881" s="34"/>
      <c r="O1881" s="34"/>
      <c r="AA1881" s="35"/>
      <c r="AB1881" s="35"/>
      <c r="AC1881" s="34"/>
      <c r="AD1881" s="34"/>
      <c r="AE1881" s="34"/>
    </row>
    <row r="1882" spans="1:31" ht="15" thickBot="1" x14ac:dyDescent="0.4">
      <c r="A1882" s="45"/>
      <c r="B1882" s="45"/>
      <c r="C1882" s="46"/>
      <c r="D1882" s="47"/>
      <c r="E1882" s="47"/>
      <c r="F1882" s="47"/>
      <c r="G1882" s="47"/>
      <c r="H1882" s="47"/>
      <c r="I1882" s="47"/>
      <c r="J1882" s="47"/>
      <c r="K1882" s="47"/>
      <c r="L1882" s="47"/>
      <c r="M1882" s="47"/>
      <c r="N1882" s="47"/>
      <c r="O1882" s="47"/>
      <c r="P1882" s="47"/>
      <c r="Q1882" s="47"/>
      <c r="R1882" s="47"/>
      <c r="S1882" s="47"/>
      <c r="T1882" s="45"/>
      <c r="U1882" s="45"/>
      <c r="V1882" s="45"/>
      <c r="W1882" s="45"/>
      <c r="X1882" s="47"/>
      <c r="Y1882" s="45"/>
      <c r="Z1882" s="45"/>
      <c r="AA1882" s="48"/>
      <c r="AB1882" s="48"/>
      <c r="AC1882" s="47"/>
      <c r="AD1882" s="47"/>
      <c r="AE1882" s="47"/>
    </row>
    <row r="1883" spans="1:31" x14ac:dyDescent="0.35">
      <c r="A1883" s="41"/>
      <c r="B1883" s="41"/>
      <c r="C1883" s="42"/>
      <c r="D1883" s="43"/>
      <c r="E1883" s="43"/>
      <c r="F1883" s="43"/>
      <c r="G1883" s="43"/>
      <c r="H1883" s="43"/>
      <c r="I1883" s="43"/>
      <c r="J1883" s="43"/>
      <c r="K1883" s="43"/>
      <c r="L1883" s="43"/>
      <c r="M1883" s="43"/>
      <c r="N1883" s="43"/>
      <c r="O1883" s="43"/>
      <c r="P1883" s="43"/>
      <c r="Q1883" s="43"/>
      <c r="R1883" s="43"/>
      <c r="S1883" s="43"/>
      <c r="T1883" s="43"/>
      <c r="U1883" s="43"/>
      <c r="V1883" s="41"/>
      <c r="W1883" s="41"/>
      <c r="X1883" s="41"/>
      <c r="Y1883" s="41"/>
      <c r="Z1883" s="41"/>
      <c r="AA1883" s="44"/>
      <c r="AB1883" s="44"/>
      <c r="AC1883" s="43"/>
      <c r="AD1883" s="43"/>
      <c r="AE1883" s="43"/>
    </row>
    <row r="1884" spans="1:31" x14ac:dyDescent="0.35">
      <c r="C1884" s="33"/>
      <c r="D1884" s="34"/>
      <c r="E1884" s="34"/>
      <c r="F1884" s="34"/>
      <c r="G1884" s="34"/>
      <c r="H1884" s="34"/>
      <c r="I1884" s="34"/>
      <c r="J1884" s="34"/>
      <c r="K1884" s="34"/>
      <c r="L1884" s="34"/>
      <c r="M1884" s="34"/>
      <c r="N1884" s="34"/>
      <c r="O1884" s="34"/>
      <c r="AA1884" s="35"/>
      <c r="AB1884" s="35"/>
      <c r="AC1884" s="34"/>
      <c r="AD1884" s="34"/>
      <c r="AE1884" s="34"/>
    </row>
    <row r="1885" spans="1:31" ht="15" thickBot="1" x14ac:dyDescent="0.4">
      <c r="A1885" s="45"/>
      <c r="B1885" s="45"/>
      <c r="C1885" s="46"/>
      <c r="D1885" s="47"/>
      <c r="E1885" s="47"/>
      <c r="F1885" s="47"/>
      <c r="G1885" s="47"/>
      <c r="H1885" s="47"/>
      <c r="I1885" s="47"/>
      <c r="J1885" s="47"/>
      <c r="K1885" s="47"/>
      <c r="L1885" s="47"/>
      <c r="M1885" s="47"/>
      <c r="N1885" s="47"/>
      <c r="O1885" s="47"/>
      <c r="P1885" s="47"/>
      <c r="Q1885" s="47"/>
      <c r="R1885" s="47"/>
      <c r="S1885" s="47"/>
      <c r="T1885" s="45"/>
      <c r="U1885" s="45"/>
      <c r="V1885" s="45"/>
      <c r="W1885" s="45"/>
      <c r="X1885" s="47"/>
      <c r="Y1885" s="45"/>
      <c r="Z1885" s="45"/>
      <c r="AA1885" s="48"/>
      <c r="AB1885" s="48"/>
      <c r="AC1885" s="47"/>
      <c r="AD1885" s="47"/>
      <c r="AE1885" s="47"/>
    </row>
    <row r="1886" spans="1:31" x14ac:dyDescent="0.35">
      <c r="A1886" s="41"/>
      <c r="B1886" s="41"/>
      <c r="C1886" s="42"/>
      <c r="D1886" s="43"/>
      <c r="E1886" s="43"/>
      <c r="F1886" s="43"/>
      <c r="G1886" s="43"/>
      <c r="H1886" s="43"/>
      <c r="I1886" s="43"/>
      <c r="J1886" s="43"/>
      <c r="K1886" s="43"/>
      <c r="L1886" s="43"/>
      <c r="M1886" s="43"/>
      <c r="N1886" s="43"/>
      <c r="O1886" s="43"/>
      <c r="P1886" s="43"/>
      <c r="Q1886" s="43"/>
      <c r="R1886" s="43"/>
      <c r="S1886" s="43"/>
      <c r="T1886" s="43"/>
      <c r="U1886" s="43"/>
      <c r="V1886" s="41"/>
      <c r="W1886" s="41"/>
      <c r="X1886" s="41"/>
      <c r="Y1886" s="41"/>
      <c r="Z1886" s="41"/>
      <c r="AA1886" s="44"/>
      <c r="AB1886" s="44"/>
      <c r="AC1886" s="43"/>
      <c r="AD1886" s="43"/>
      <c r="AE1886" s="43"/>
    </row>
    <row r="1887" spans="1:31" x14ac:dyDescent="0.35">
      <c r="C1887" s="33"/>
      <c r="D1887" s="34"/>
      <c r="E1887" s="34"/>
      <c r="F1887" s="34"/>
      <c r="G1887" s="34"/>
      <c r="H1887" s="34"/>
      <c r="I1887" s="34"/>
      <c r="J1887" s="34"/>
      <c r="K1887" s="34"/>
      <c r="L1887" s="34"/>
      <c r="M1887" s="34"/>
      <c r="N1887" s="34"/>
      <c r="O1887" s="34"/>
      <c r="AA1887" s="35"/>
      <c r="AB1887" s="35"/>
      <c r="AC1887" s="34"/>
      <c r="AD1887" s="34"/>
      <c r="AE1887" s="34"/>
    </row>
    <row r="1888" spans="1:31" ht="15" thickBot="1" x14ac:dyDescent="0.4">
      <c r="A1888" s="45"/>
      <c r="B1888" s="45"/>
      <c r="C1888" s="46"/>
      <c r="D1888" s="47"/>
      <c r="E1888" s="47"/>
      <c r="F1888" s="47"/>
      <c r="G1888" s="47"/>
      <c r="H1888" s="47"/>
      <c r="I1888" s="47"/>
      <c r="J1888" s="47"/>
      <c r="K1888" s="47"/>
      <c r="L1888" s="47"/>
      <c r="M1888" s="47"/>
      <c r="N1888" s="47"/>
      <c r="O1888" s="47"/>
      <c r="P1888" s="47"/>
      <c r="Q1888" s="47"/>
      <c r="R1888" s="47"/>
      <c r="S1888" s="47"/>
      <c r="T1888" s="45"/>
      <c r="U1888" s="45"/>
      <c r="V1888" s="45"/>
      <c r="W1888" s="45"/>
      <c r="X1888" s="47"/>
      <c r="Y1888" s="45"/>
      <c r="Z1888" s="45"/>
      <c r="AA1888" s="48"/>
      <c r="AB1888" s="48"/>
      <c r="AC1888" s="47"/>
      <c r="AD1888" s="47"/>
      <c r="AE1888" s="47"/>
    </row>
    <row r="1889" spans="1:31" x14ac:dyDescent="0.35">
      <c r="A1889" s="41"/>
      <c r="B1889" s="41"/>
      <c r="C1889" s="42"/>
      <c r="D1889" s="43"/>
      <c r="E1889" s="43"/>
      <c r="F1889" s="43"/>
      <c r="G1889" s="43"/>
      <c r="H1889" s="43"/>
      <c r="I1889" s="43"/>
      <c r="J1889" s="43"/>
      <c r="K1889" s="43"/>
      <c r="L1889" s="43"/>
      <c r="M1889" s="43"/>
      <c r="N1889" s="43"/>
      <c r="O1889" s="43"/>
      <c r="P1889" s="43"/>
      <c r="Q1889" s="43"/>
      <c r="R1889" s="43"/>
      <c r="S1889" s="43"/>
      <c r="T1889" s="43"/>
      <c r="U1889" s="43"/>
      <c r="V1889" s="41"/>
      <c r="W1889" s="41"/>
      <c r="X1889" s="41"/>
      <c r="Y1889" s="41"/>
      <c r="Z1889" s="41"/>
      <c r="AA1889" s="44"/>
      <c r="AB1889" s="44"/>
      <c r="AC1889" s="43"/>
      <c r="AD1889" s="43"/>
      <c r="AE1889" s="43"/>
    </row>
    <row r="1890" spans="1:31" x14ac:dyDescent="0.35">
      <c r="C1890" s="33"/>
      <c r="D1890" s="34"/>
      <c r="E1890" s="34"/>
      <c r="F1890" s="34"/>
      <c r="G1890" s="34"/>
      <c r="H1890" s="34"/>
      <c r="I1890" s="34"/>
      <c r="J1890" s="34"/>
      <c r="K1890" s="34"/>
      <c r="L1890" s="34"/>
      <c r="M1890" s="34"/>
      <c r="N1890" s="34"/>
      <c r="O1890" s="34"/>
      <c r="AA1890" s="35"/>
      <c r="AB1890" s="35"/>
      <c r="AC1890" s="34"/>
      <c r="AD1890" s="34"/>
      <c r="AE1890" s="34"/>
    </row>
    <row r="1891" spans="1:31" ht="15" thickBot="1" x14ac:dyDescent="0.4">
      <c r="A1891" s="45"/>
      <c r="B1891" s="45"/>
      <c r="C1891" s="46"/>
      <c r="D1891" s="47"/>
      <c r="E1891" s="47"/>
      <c r="F1891" s="47"/>
      <c r="G1891" s="47"/>
      <c r="H1891" s="47"/>
      <c r="I1891" s="47"/>
      <c r="J1891" s="47"/>
      <c r="K1891" s="47"/>
      <c r="L1891" s="47"/>
      <c r="M1891" s="47"/>
      <c r="N1891" s="47"/>
      <c r="O1891" s="47"/>
      <c r="P1891" s="47"/>
      <c r="Q1891" s="47"/>
      <c r="R1891" s="47"/>
      <c r="S1891" s="47"/>
      <c r="T1891" s="45"/>
      <c r="U1891" s="45"/>
      <c r="V1891" s="45"/>
      <c r="W1891" s="45"/>
      <c r="X1891" s="47"/>
      <c r="Y1891" s="45"/>
      <c r="Z1891" s="45"/>
      <c r="AA1891" s="48"/>
      <c r="AB1891" s="48"/>
      <c r="AC1891" s="47"/>
      <c r="AD1891" s="47"/>
      <c r="AE1891" s="47"/>
    </row>
    <row r="1892" spans="1:31" x14ac:dyDescent="0.35">
      <c r="A1892" s="41"/>
      <c r="B1892" s="41"/>
      <c r="C1892" s="42"/>
      <c r="D1892" s="43"/>
      <c r="E1892" s="43"/>
      <c r="F1892" s="43"/>
      <c r="G1892" s="43"/>
      <c r="H1892" s="43"/>
      <c r="I1892" s="43"/>
      <c r="J1892" s="43"/>
      <c r="K1892" s="43"/>
      <c r="L1892" s="43"/>
      <c r="M1892" s="43"/>
      <c r="N1892" s="43"/>
      <c r="O1892" s="43"/>
      <c r="P1892" s="43"/>
      <c r="Q1892" s="43"/>
      <c r="R1892" s="43"/>
      <c r="S1892" s="43"/>
      <c r="T1892" s="43"/>
      <c r="U1892" s="43"/>
      <c r="V1892" s="41"/>
      <c r="W1892" s="41"/>
      <c r="X1892" s="41"/>
      <c r="Y1892" s="41"/>
      <c r="Z1892" s="41"/>
      <c r="AA1892" s="44"/>
      <c r="AB1892" s="44"/>
      <c r="AC1892" s="43"/>
      <c r="AD1892" s="43"/>
      <c r="AE1892" s="43"/>
    </row>
    <row r="1893" spans="1:31" x14ac:dyDescent="0.35">
      <c r="C1893" s="33"/>
      <c r="D1893" s="34"/>
      <c r="E1893" s="34"/>
      <c r="F1893" s="34"/>
      <c r="G1893" s="34"/>
      <c r="H1893" s="34"/>
      <c r="I1893" s="34"/>
      <c r="J1893" s="34"/>
      <c r="K1893" s="34"/>
      <c r="L1893" s="34"/>
      <c r="M1893" s="34"/>
      <c r="N1893" s="34"/>
      <c r="O1893" s="34"/>
      <c r="AA1893" s="35"/>
      <c r="AB1893" s="35"/>
      <c r="AC1893" s="34"/>
      <c r="AD1893" s="34"/>
      <c r="AE1893" s="34"/>
    </row>
    <row r="1894" spans="1:31" ht="15" thickBot="1" x14ac:dyDescent="0.4">
      <c r="A1894" s="45"/>
      <c r="B1894" s="45"/>
      <c r="C1894" s="46"/>
      <c r="D1894" s="47"/>
      <c r="E1894" s="47"/>
      <c r="F1894" s="47"/>
      <c r="G1894" s="47"/>
      <c r="H1894" s="47"/>
      <c r="I1894" s="47"/>
      <c r="J1894" s="47"/>
      <c r="K1894" s="47"/>
      <c r="L1894" s="47"/>
      <c r="M1894" s="47"/>
      <c r="N1894" s="47"/>
      <c r="O1894" s="47"/>
      <c r="P1894" s="47"/>
      <c r="Q1894" s="47"/>
      <c r="R1894" s="47"/>
      <c r="S1894" s="47"/>
      <c r="T1894" s="45"/>
      <c r="U1894" s="45"/>
      <c r="V1894" s="45"/>
      <c r="W1894" s="45"/>
      <c r="X1894" s="47"/>
      <c r="Y1894" s="45"/>
      <c r="Z1894" s="45"/>
      <c r="AA1894" s="48"/>
      <c r="AB1894" s="48"/>
      <c r="AC1894" s="47"/>
      <c r="AD1894" s="47"/>
      <c r="AE1894" s="47"/>
    </row>
    <row r="1895" spans="1:31" x14ac:dyDescent="0.35">
      <c r="A1895" s="41"/>
      <c r="B1895" s="41"/>
      <c r="C1895" s="42"/>
      <c r="D1895" s="43"/>
      <c r="E1895" s="43"/>
      <c r="F1895" s="43"/>
      <c r="G1895" s="43"/>
      <c r="H1895" s="43"/>
      <c r="I1895" s="43"/>
      <c r="J1895" s="43"/>
      <c r="K1895" s="43"/>
      <c r="L1895" s="43"/>
      <c r="M1895" s="43"/>
      <c r="N1895" s="43"/>
      <c r="O1895" s="43"/>
      <c r="P1895" s="43"/>
      <c r="Q1895" s="43"/>
      <c r="R1895" s="43"/>
      <c r="S1895" s="43"/>
      <c r="T1895" s="43"/>
      <c r="U1895" s="43"/>
      <c r="V1895" s="41"/>
      <c r="W1895" s="41"/>
      <c r="X1895" s="41"/>
      <c r="Y1895" s="41"/>
      <c r="Z1895" s="41"/>
      <c r="AA1895" s="44"/>
      <c r="AB1895" s="44"/>
      <c r="AC1895" s="43"/>
      <c r="AD1895" s="43"/>
      <c r="AE1895" s="43"/>
    </row>
    <row r="1896" spans="1:31" x14ac:dyDescent="0.35">
      <c r="C1896" s="33"/>
      <c r="D1896" s="34"/>
      <c r="E1896" s="34"/>
      <c r="F1896" s="34"/>
      <c r="G1896" s="34"/>
      <c r="H1896" s="34"/>
      <c r="I1896" s="34"/>
      <c r="J1896" s="34"/>
      <c r="K1896" s="34"/>
      <c r="L1896" s="34"/>
      <c r="M1896" s="34"/>
      <c r="N1896" s="34"/>
      <c r="O1896" s="34"/>
      <c r="AA1896" s="35"/>
      <c r="AB1896" s="35"/>
      <c r="AC1896" s="34"/>
      <c r="AD1896" s="34"/>
      <c r="AE1896" s="34"/>
    </row>
    <row r="1897" spans="1:31" ht="15" thickBot="1" x14ac:dyDescent="0.4">
      <c r="A1897" s="45"/>
      <c r="B1897" s="45"/>
      <c r="C1897" s="46"/>
      <c r="D1897" s="47"/>
      <c r="E1897" s="47"/>
      <c r="F1897" s="47"/>
      <c r="G1897" s="47"/>
      <c r="H1897" s="47"/>
      <c r="I1897" s="47"/>
      <c r="J1897" s="47"/>
      <c r="K1897" s="47"/>
      <c r="L1897" s="47"/>
      <c r="M1897" s="47"/>
      <c r="N1897" s="47"/>
      <c r="O1897" s="47"/>
      <c r="P1897" s="47"/>
      <c r="Q1897" s="47"/>
      <c r="R1897" s="47"/>
      <c r="S1897" s="47"/>
      <c r="T1897" s="45"/>
      <c r="U1897" s="45"/>
      <c r="V1897" s="45"/>
      <c r="W1897" s="45"/>
      <c r="X1897" s="47"/>
      <c r="Y1897" s="45"/>
      <c r="Z1897" s="45"/>
      <c r="AA1897" s="48"/>
      <c r="AB1897" s="48"/>
      <c r="AC1897" s="47"/>
      <c r="AD1897" s="47"/>
      <c r="AE1897" s="47"/>
    </row>
    <row r="1898" spans="1:31" x14ac:dyDescent="0.35">
      <c r="A1898" s="41"/>
      <c r="B1898" s="41"/>
      <c r="C1898" s="42"/>
      <c r="D1898" s="43"/>
      <c r="E1898" s="43"/>
      <c r="F1898" s="43"/>
      <c r="G1898" s="43"/>
      <c r="H1898" s="43"/>
      <c r="I1898" s="43"/>
      <c r="J1898" s="43"/>
      <c r="K1898" s="43"/>
      <c r="L1898" s="43"/>
      <c r="M1898" s="43"/>
      <c r="N1898" s="43"/>
      <c r="O1898" s="43"/>
      <c r="P1898" s="43"/>
      <c r="Q1898" s="43"/>
      <c r="R1898" s="43"/>
      <c r="S1898" s="43"/>
      <c r="T1898" s="43"/>
      <c r="U1898" s="43"/>
      <c r="V1898" s="41"/>
      <c r="W1898" s="41"/>
      <c r="X1898" s="41"/>
      <c r="Y1898" s="41"/>
      <c r="Z1898" s="41"/>
      <c r="AA1898" s="44"/>
      <c r="AB1898" s="44"/>
      <c r="AC1898" s="43"/>
      <c r="AD1898" s="43"/>
      <c r="AE1898" s="43"/>
    </row>
    <row r="1899" spans="1:31" x14ac:dyDescent="0.35">
      <c r="C1899" s="33"/>
      <c r="D1899" s="34"/>
      <c r="E1899" s="34"/>
      <c r="F1899" s="34"/>
      <c r="G1899" s="34"/>
      <c r="H1899" s="34"/>
      <c r="I1899" s="34"/>
      <c r="J1899" s="34"/>
      <c r="K1899" s="34"/>
      <c r="L1899" s="34"/>
      <c r="M1899" s="34"/>
      <c r="N1899" s="34"/>
      <c r="O1899" s="34"/>
      <c r="AA1899" s="35"/>
      <c r="AB1899" s="35"/>
      <c r="AC1899" s="34"/>
      <c r="AD1899" s="34"/>
      <c r="AE1899" s="34"/>
    </row>
    <row r="1900" spans="1:31" ht="15" thickBot="1" x14ac:dyDescent="0.4">
      <c r="A1900" s="45"/>
      <c r="B1900" s="45"/>
      <c r="C1900" s="46"/>
      <c r="D1900" s="47"/>
      <c r="E1900" s="47"/>
      <c r="F1900" s="47"/>
      <c r="G1900" s="47"/>
      <c r="H1900" s="47"/>
      <c r="I1900" s="47"/>
      <c r="J1900" s="47"/>
      <c r="K1900" s="47"/>
      <c r="L1900" s="47"/>
      <c r="M1900" s="47"/>
      <c r="N1900" s="47"/>
      <c r="O1900" s="47"/>
      <c r="P1900" s="47"/>
      <c r="Q1900" s="47"/>
      <c r="R1900" s="47"/>
      <c r="S1900" s="47"/>
      <c r="T1900" s="45"/>
      <c r="U1900" s="45"/>
      <c r="V1900" s="45"/>
      <c r="W1900" s="45"/>
      <c r="X1900" s="47"/>
      <c r="Y1900" s="45"/>
      <c r="Z1900" s="45"/>
      <c r="AA1900" s="48"/>
      <c r="AB1900" s="48"/>
      <c r="AC1900" s="47"/>
      <c r="AD1900" s="47"/>
      <c r="AE1900" s="47"/>
    </row>
    <row r="1901" spans="1:31" x14ac:dyDescent="0.35">
      <c r="A1901" s="41"/>
      <c r="B1901" s="41"/>
      <c r="C1901" s="42"/>
      <c r="D1901" s="43"/>
      <c r="E1901" s="43"/>
      <c r="F1901" s="43"/>
      <c r="G1901" s="43"/>
      <c r="H1901" s="43"/>
      <c r="I1901" s="43"/>
      <c r="J1901" s="43"/>
      <c r="K1901" s="43"/>
      <c r="L1901" s="43"/>
      <c r="M1901" s="43"/>
      <c r="N1901" s="43"/>
      <c r="O1901" s="43"/>
      <c r="P1901" s="43"/>
      <c r="Q1901" s="43"/>
      <c r="R1901" s="43"/>
      <c r="S1901" s="43"/>
      <c r="T1901" s="43"/>
      <c r="U1901" s="43"/>
      <c r="V1901" s="41"/>
      <c r="W1901" s="41"/>
      <c r="X1901" s="41"/>
      <c r="Y1901" s="41"/>
      <c r="Z1901" s="41"/>
      <c r="AA1901" s="44"/>
      <c r="AB1901" s="44"/>
      <c r="AC1901" s="43"/>
      <c r="AD1901" s="43"/>
      <c r="AE1901" s="43"/>
    </row>
    <row r="1902" spans="1:31" x14ac:dyDescent="0.35">
      <c r="C1902" s="33"/>
      <c r="D1902" s="34"/>
      <c r="E1902" s="34"/>
      <c r="F1902" s="34"/>
      <c r="G1902" s="34"/>
      <c r="H1902" s="34"/>
      <c r="I1902" s="34"/>
      <c r="J1902" s="34"/>
      <c r="K1902" s="34"/>
      <c r="L1902" s="34"/>
      <c r="M1902" s="34"/>
      <c r="N1902" s="34"/>
      <c r="O1902" s="34"/>
      <c r="AA1902" s="35"/>
      <c r="AB1902" s="35"/>
      <c r="AC1902" s="34"/>
      <c r="AD1902" s="34"/>
      <c r="AE1902" s="34"/>
    </row>
    <row r="1903" spans="1:31" ht="15" thickBot="1" x14ac:dyDescent="0.4">
      <c r="A1903" s="45"/>
      <c r="B1903" s="45"/>
      <c r="C1903" s="46"/>
      <c r="D1903" s="47"/>
      <c r="E1903" s="47"/>
      <c r="F1903" s="47"/>
      <c r="G1903" s="47"/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  <c r="S1903" s="47"/>
      <c r="T1903" s="45"/>
      <c r="U1903" s="45"/>
      <c r="V1903" s="45"/>
      <c r="W1903" s="45"/>
      <c r="X1903" s="47"/>
      <c r="Y1903" s="45"/>
      <c r="Z1903" s="45"/>
      <c r="AA1903" s="48"/>
      <c r="AB1903" s="48"/>
      <c r="AC1903" s="47"/>
      <c r="AD1903" s="47"/>
      <c r="AE1903" s="47"/>
    </row>
    <row r="1904" spans="1:31" x14ac:dyDescent="0.35">
      <c r="A1904" s="41"/>
      <c r="B1904" s="41"/>
      <c r="C1904" s="42"/>
      <c r="D1904" s="43"/>
      <c r="E1904" s="43"/>
      <c r="F1904" s="43"/>
      <c r="G1904" s="43"/>
      <c r="H1904" s="43"/>
      <c r="I1904" s="43"/>
      <c r="J1904" s="43"/>
      <c r="K1904" s="43"/>
      <c r="L1904" s="43"/>
      <c r="M1904" s="43"/>
      <c r="N1904" s="43"/>
      <c r="O1904" s="43"/>
      <c r="P1904" s="43"/>
      <c r="Q1904" s="43"/>
      <c r="R1904" s="43"/>
      <c r="S1904" s="43"/>
      <c r="T1904" s="43"/>
      <c r="U1904" s="43"/>
      <c r="V1904" s="41"/>
      <c r="W1904" s="41"/>
      <c r="X1904" s="41"/>
      <c r="Y1904" s="41"/>
      <c r="Z1904" s="41"/>
      <c r="AA1904" s="44"/>
      <c r="AB1904" s="44"/>
      <c r="AC1904" s="43"/>
      <c r="AD1904" s="43"/>
      <c r="AE1904" s="43"/>
    </row>
    <row r="1905" spans="1:31" x14ac:dyDescent="0.35">
      <c r="C1905" s="33"/>
      <c r="D1905" s="34"/>
      <c r="E1905" s="34"/>
      <c r="F1905" s="34"/>
      <c r="G1905" s="34"/>
      <c r="H1905" s="34"/>
      <c r="I1905" s="34"/>
      <c r="J1905" s="34"/>
      <c r="K1905" s="34"/>
      <c r="L1905" s="34"/>
      <c r="M1905" s="34"/>
      <c r="N1905" s="34"/>
      <c r="O1905" s="34"/>
      <c r="AA1905" s="35"/>
      <c r="AB1905" s="35"/>
      <c r="AC1905" s="34"/>
      <c r="AD1905" s="34"/>
      <c r="AE1905" s="34"/>
    </row>
    <row r="1906" spans="1:31" ht="15" thickBot="1" x14ac:dyDescent="0.4">
      <c r="A1906" s="45"/>
      <c r="B1906" s="45"/>
      <c r="C1906" s="46"/>
      <c r="D1906" s="47"/>
      <c r="E1906" s="47"/>
      <c r="F1906" s="47"/>
      <c r="G1906" s="47"/>
      <c r="H1906" s="47"/>
      <c r="I1906" s="47"/>
      <c r="J1906" s="47"/>
      <c r="K1906" s="47"/>
      <c r="L1906" s="47"/>
      <c r="M1906" s="47"/>
      <c r="N1906" s="47"/>
      <c r="O1906" s="47"/>
      <c r="P1906" s="47"/>
      <c r="Q1906" s="47"/>
      <c r="R1906" s="47"/>
      <c r="S1906" s="47"/>
      <c r="T1906" s="45"/>
      <c r="U1906" s="45"/>
      <c r="V1906" s="45"/>
      <c r="W1906" s="45"/>
      <c r="X1906" s="47"/>
      <c r="Y1906" s="45"/>
      <c r="Z1906" s="45"/>
      <c r="AA1906" s="48"/>
      <c r="AB1906" s="48"/>
      <c r="AC1906" s="47"/>
      <c r="AD1906" s="47"/>
      <c r="AE1906" s="47"/>
    </row>
    <row r="1907" spans="1:31" x14ac:dyDescent="0.35">
      <c r="A1907" s="41"/>
      <c r="B1907" s="41"/>
      <c r="C1907" s="42"/>
      <c r="D1907" s="43"/>
      <c r="E1907" s="43"/>
      <c r="F1907" s="43"/>
      <c r="G1907" s="43"/>
      <c r="H1907" s="43"/>
      <c r="I1907" s="43"/>
      <c r="J1907" s="43"/>
      <c r="K1907" s="43"/>
      <c r="L1907" s="43"/>
      <c r="M1907" s="43"/>
      <c r="N1907" s="43"/>
      <c r="O1907" s="43"/>
      <c r="P1907" s="43"/>
      <c r="Q1907" s="43"/>
      <c r="R1907" s="43"/>
      <c r="S1907" s="43"/>
      <c r="T1907" s="43"/>
      <c r="U1907" s="43"/>
      <c r="V1907" s="41"/>
      <c r="W1907" s="41"/>
      <c r="X1907" s="41"/>
      <c r="Y1907" s="41"/>
      <c r="Z1907" s="41"/>
      <c r="AA1907" s="44"/>
      <c r="AB1907" s="44"/>
      <c r="AC1907" s="43"/>
      <c r="AD1907" s="43"/>
      <c r="AE1907" s="43"/>
    </row>
    <row r="1908" spans="1:31" x14ac:dyDescent="0.35">
      <c r="C1908" s="33"/>
      <c r="D1908" s="34"/>
      <c r="E1908" s="34"/>
      <c r="F1908" s="34"/>
      <c r="G1908" s="34"/>
      <c r="H1908" s="34"/>
      <c r="I1908" s="34"/>
      <c r="J1908" s="34"/>
      <c r="K1908" s="34"/>
      <c r="L1908" s="34"/>
      <c r="M1908" s="34"/>
      <c r="N1908" s="34"/>
      <c r="O1908" s="34"/>
      <c r="AA1908" s="35"/>
      <c r="AB1908" s="35"/>
      <c r="AC1908" s="34"/>
      <c r="AD1908" s="34"/>
      <c r="AE1908" s="34"/>
    </row>
    <row r="1909" spans="1:31" ht="15" thickBot="1" x14ac:dyDescent="0.4">
      <c r="A1909" s="45"/>
      <c r="B1909" s="45"/>
      <c r="C1909" s="46"/>
      <c r="D1909" s="47"/>
      <c r="E1909" s="47"/>
      <c r="F1909" s="47"/>
      <c r="G1909" s="47"/>
      <c r="H1909" s="47"/>
      <c r="I1909" s="47"/>
      <c r="J1909" s="47"/>
      <c r="K1909" s="47"/>
      <c r="L1909" s="47"/>
      <c r="M1909" s="47"/>
      <c r="N1909" s="47"/>
      <c r="O1909" s="47"/>
      <c r="P1909" s="47"/>
      <c r="Q1909" s="47"/>
      <c r="R1909" s="47"/>
      <c r="S1909" s="47"/>
      <c r="T1909" s="45"/>
      <c r="U1909" s="45"/>
      <c r="V1909" s="45"/>
      <c r="W1909" s="45"/>
      <c r="X1909" s="47"/>
      <c r="Y1909" s="45"/>
      <c r="Z1909" s="45"/>
      <c r="AA1909" s="48"/>
      <c r="AB1909" s="48"/>
      <c r="AC1909" s="47"/>
      <c r="AD1909" s="47"/>
      <c r="AE1909" s="47"/>
    </row>
    <row r="1910" spans="1:31" x14ac:dyDescent="0.35">
      <c r="A1910" s="41"/>
      <c r="B1910" s="41"/>
      <c r="C1910" s="42"/>
      <c r="D1910" s="43"/>
      <c r="E1910" s="43"/>
      <c r="F1910" s="43"/>
      <c r="G1910" s="43"/>
      <c r="H1910" s="43"/>
      <c r="I1910" s="43"/>
      <c r="J1910" s="43"/>
      <c r="K1910" s="43"/>
      <c r="L1910" s="43"/>
      <c r="M1910" s="43"/>
      <c r="N1910" s="43"/>
      <c r="O1910" s="43"/>
      <c r="P1910" s="43"/>
      <c r="Q1910" s="43"/>
      <c r="R1910" s="43"/>
      <c r="S1910" s="43"/>
      <c r="T1910" s="43"/>
      <c r="U1910" s="43"/>
      <c r="V1910" s="41"/>
      <c r="W1910" s="41"/>
      <c r="X1910" s="41"/>
      <c r="Y1910" s="41"/>
      <c r="Z1910" s="41"/>
      <c r="AA1910" s="44"/>
      <c r="AB1910" s="44"/>
      <c r="AC1910" s="43"/>
      <c r="AD1910" s="43"/>
      <c r="AE1910" s="43"/>
    </row>
    <row r="1911" spans="1:31" x14ac:dyDescent="0.35">
      <c r="C1911" s="33"/>
      <c r="D1911" s="34"/>
      <c r="E1911" s="34"/>
      <c r="F1911" s="34"/>
      <c r="G1911" s="34"/>
      <c r="H1911" s="34"/>
      <c r="I1911" s="34"/>
      <c r="J1911" s="34"/>
      <c r="K1911" s="34"/>
      <c r="L1911" s="34"/>
      <c r="M1911" s="34"/>
      <c r="N1911" s="34"/>
      <c r="O1911" s="34"/>
      <c r="AA1911" s="35"/>
      <c r="AB1911" s="35"/>
      <c r="AC1911" s="34"/>
      <c r="AD1911" s="34"/>
      <c r="AE1911" s="34"/>
    </row>
    <row r="1912" spans="1:31" ht="15" thickBot="1" x14ac:dyDescent="0.4">
      <c r="A1912" s="45"/>
      <c r="B1912" s="45"/>
      <c r="C1912" s="46"/>
      <c r="D1912" s="47"/>
      <c r="E1912" s="47"/>
      <c r="F1912" s="47"/>
      <c r="G1912" s="47"/>
      <c r="H1912" s="47"/>
      <c r="I1912" s="47"/>
      <c r="J1912" s="47"/>
      <c r="K1912" s="47"/>
      <c r="L1912" s="47"/>
      <c r="M1912" s="47"/>
      <c r="N1912" s="47"/>
      <c r="O1912" s="47"/>
      <c r="P1912" s="47"/>
      <c r="Q1912" s="47"/>
      <c r="R1912" s="47"/>
      <c r="S1912" s="47"/>
      <c r="T1912" s="45"/>
      <c r="U1912" s="45"/>
      <c r="V1912" s="45"/>
      <c r="W1912" s="45"/>
      <c r="X1912" s="47"/>
      <c r="Y1912" s="45"/>
      <c r="Z1912" s="45"/>
      <c r="AA1912" s="48"/>
      <c r="AB1912" s="48"/>
      <c r="AC1912" s="47"/>
      <c r="AD1912" s="47"/>
      <c r="AE1912" s="47"/>
    </row>
    <row r="1913" spans="1:31" x14ac:dyDescent="0.35">
      <c r="A1913" s="41"/>
      <c r="B1913" s="41"/>
      <c r="C1913" s="42"/>
      <c r="D1913" s="43"/>
      <c r="E1913" s="43"/>
      <c r="F1913" s="43"/>
      <c r="G1913" s="43"/>
      <c r="H1913" s="43"/>
      <c r="I1913" s="43"/>
      <c r="J1913" s="43"/>
      <c r="K1913" s="43"/>
      <c r="L1913" s="43"/>
      <c r="M1913" s="43"/>
      <c r="N1913" s="43"/>
      <c r="O1913" s="43"/>
      <c r="P1913" s="43"/>
      <c r="Q1913" s="43"/>
      <c r="R1913" s="43"/>
      <c r="S1913" s="43"/>
      <c r="T1913" s="43"/>
      <c r="U1913" s="43"/>
      <c r="V1913" s="41"/>
      <c r="W1913" s="41"/>
      <c r="X1913" s="41"/>
      <c r="Y1913" s="41"/>
      <c r="Z1913" s="41"/>
      <c r="AA1913" s="44"/>
      <c r="AB1913" s="44"/>
      <c r="AC1913" s="43"/>
      <c r="AD1913" s="43"/>
      <c r="AE1913" s="43"/>
    </row>
    <row r="1914" spans="1:31" x14ac:dyDescent="0.35">
      <c r="C1914" s="33"/>
      <c r="D1914" s="34"/>
      <c r="E1914" s="34"/>
      <c r="F1914" s="34"/>
      <c r="G1914" s="34"/>
      <c r="H1914" s="34"/>
      <c r="I1914" s="34"/>
      <c r="J1914" s="34"/>
      <c r="K1914" s="34"/>
      <c r="L1914" s="34"/>
      <c r="M1914" s="34"/>
      <c r="N1914" s="34"/>
      <c r="O1914" s="34"/>
      <c r="AA1914" s="35"/>
      <c r="AB1914" s="35"/>
      <c r="AC1914" s="34"/>
      <c r="AD1914" s="34"/>
      <c r="AE1914" s="34"/>
    </row>
    <row r="1915" spans="1:31" ht="15" thickBot="1" x14ac:dyDescent="0.4">
      <c r="A1915" s="45"/>
      <c r="B1915" s="45"/>
      <c r="C1915" s="46"/>
      <c r="D1915" s="47"/>
      <c r="E1915" s="47"/>
      <c r="F1915" s="47"/>
      <c r="G1915" s="47"/>
      <c r="H1915" s="47"/>
      <c r="I1915" s="47"/>
      <c r="J1915" s="47"/>
      <c r="K1915" s="47"/>
      <c r="L1915" s="47"/>
      <c r="M1915" s="47"/>
      <c r="N1915" s="47"/>
      <c r="O1915" s="47"/>
      <c r="P1915" s="47"/>
      <c r="Q1915" s="47"/>
      <c r="R1915" s="47"/>
      <c r="S1915" s="47"/>
      <c r="T1915" s="45"/>
      <c r="U1915" s="45"/>
      <c r="V1915" s="45"/>
      <c r="W1915" s="45"/>
      <c r="X1915" s="47"/>
      <c r="Y1915" s="45"/>
      <c r="Z1915" s="45"/>
      <c r="AA1915" s="48"/>
      <c r="AB1915" s="48"/>
      <c r="AC1915" s="47"/>
      <c r="AD1915" s="47"/>
      <c r="AE1915" s="47"/>
    </row>
    <row r="1916" spans="1:31" x14ac:dyDescent="0.35">
      <c r="A1916" s="41"/>
      <c r="B1916" s="41"/>
      <c r="C1916" s="42"/>
      <c r="D1916" s="43"/>
      <c r="E1916" s="43"/>
      <c r="F1916" s="43"/>
      <c r="G1916" s="43"/>
      <c r="H1916" s="43"/>
      <c r="I1916" s="43"/>
      <c r="J1916" s="43"/>
      <c r="K1916" s="43"/>
      <c r="L1916" s="43"/>
      <c r="M1916" s="43"/>
      <c r="N1916" s="43"/>
      <c r="O1916" s="43"/>
      <c r="P1916" s="43"/>
      <c r="Q1916" s="43"/>
      <c r="R1916" s="43"/>
      <c r="S1916" s="43"/>
      <c r="T1916" s="43"/>
      <c r="U1916" s="43"/>
      <c r="V1916" s="41"/>
      <c r="W1916" s="41"/>
      <c r="X1916" s="41"/>
      <c r="Y1916" s="41"/>
      <c r="Z1916" s="41"/>
      <c r="AA1916" s="44"/>
      <c r="AB1916" s="44"/>
      <c r="AC1916" s="43"/>
      <c r="AD1916" s="43"/>
      <c r="AE1916" s="43"/>
    </row>
    <row r="1917" spans="1:31" x14ac:dyDescent="0.35">
      <c r="C1917" s="33"/>
      <c r="D1917" s="34"/>
      <c r="E1917" s="34"/>
      <c r="F1917" s="34"/>
      <c r="G1917" s="34"/>
      <c r="H1917" s="34"/>
      <c r="I1917" s="34"/>
      <c r="J1917" s="34"/>
      <c r="K1917" s="34"/>
      <c r="L1917" s="34"/>
      <c r="M1917" s="34"/>
      <c r="N1917" s="34"/>
      <c r="O1917" s="34"/>
      <c r="AA1917" s="35"/>
      <c r="AB1917" s="35"/>
      <c r="AC1917" s="34"/>
      <c r="AD1917" s="34"/>
      <c r="AE1917" s="34"/>
    </row>
    <row r="1918" spans="1:31" ht="15" thickBot="1" x14ac:dyDescent="0.4">
      <c r="A1918" s="45"/>
      <c r="B1918" s="45"/>
      <c r="C1918" s="46"/>
      <c r="D1918" s="47"/>
      <c r="E1918" s="47"/>
      <c r="F1918" s="47"/>
      <c r="G1918" s="47"/>
      <c r="H1918" s="47"/>
      <c r="I1918" s="47"/>
      <c r="J1918" s="47"/>
      <c r="K1918" s="47"/>
      <c r="L1918" s="47"/>
      <c r="M1918" s="47"/>
      <c r="N1918" s="47"/>
      <c r="O1918" s="47"/>
      <c r="P1918" s="47"/>
      <c r="Q1918" s="47"/>
      <c r="R1918" s="47"/>
      <c r="S1918" s="47"/>
      <c r="T1918" s="45"/>
      <c r="U1918" s="45"/>
      <c r="V1918" s="45"/>
      <c r="W1918" s="45"/>
      <c r="X1918" s="47"/>
      <c r="Y1918" s="45"/>
      <c r="Z1918" s="45"/>
      <c r="AA1918" s="48"/>
      <c r="AB1918" s="48"/>
      <c r="AC1918" s="47"/>
      <c r="AD1918" s="47"/>
      <c r="AE1918" s="47"/>
    </row>
    <row r="1919" spans="1:31" x14ac:dyDescent="0.35">
      <c r="A1919" s="41"/>
      <c r="B1919" s="41"/>
      <c r="C1919" s="42"/>
      <c r="D1919" s="43"/>
      <c r="E1919" s="43"/>
      <c r="F1919" s="43"/>
      <c r="G1919" s="43"/>
      <c r="H1919" s="43"/>
      <c r="I1919" s="43"/>
      <c r="J1919" s="43"/>
      <c r="K1919" s="43"/>
      <c r="L1919" s="43"/>
      <c r="M1919" s="43"/>
      <c r="N1919" s="43"/>
      <c r="O1919" s="43"/>
      <c r="P1919" s="43"/>
      <c r="Q1919" s="43"/>
      <c r="R1919" s="43"/>
      <c r="S1919" s="43"/>
      <c r="T1919" s="43"/>
      <c r="U1919" s="43"/>
      <c r="V1919" s="41"/>
      <c r="W1919" s="41"/>
      <c r="X1919" s="41"/>
      <c r="Y1919" s="41"/>
      <c r="Z1919" s="41"/>
      <c r="AA1919" s="44"/>
      <c r="AB1919" s="44"/>
      <c r="AC1919" s="43"/>
      <c r="AD1919" s="43"/>
      <c r="AE1919" s="43"/>
    </row>
    <row r="1920" spans="1:31" x14ac:dyDescent="0.35">
      <c r="C1920" s="33"/>
      <c r="D1920" s="34"/>
      <c r="E1920" s="34"/>
      <c r="F1920" s="34"/>
      <c r="G1920" s="34"/>
      <c r="H1920" s="34"/>
      <c r="I1920" s="34"/>
      <c r="J1920" s="34"/>
      <c r="K1920" s="34"/>
      <c r="L1920" s="34"/>
      <c r="M1920" s="34"/>
      <c r="N1920" s="34"/>
      <c r="O1920" s="34"/>
      <c r="AA1920" s="35"/>
      <c r="AB1920" s="35"/>
      <c r="AC1920" s="34"/>
      <c r="AD1920" s="34"/>
      <c r="AE1920" s="34"/>
    </row>
    <row r="1921" spans="1:31" ht="15" thickBot="1" x14ac:dyDescent="0.4">
      <c r="A1921" s="45"/>
      <c r="B1921" s="45"/>
      <c r="C1921" s="46"/>
      <c r="D1921" s="47"/>
      <c r="E1921" s="47"/>
      <c r="F1921" s="47"/>
      <c r="G1921" s="47"/>
      <c r="H1921" s="47"/>
      <c r="I1921" s="47"/>
      <c r="J1921" s="47"/>
      <c r="K1921" s="47"/>
      <c r="L1921" s="47"/>
      <c r="M1921" s="47"/>
      <c r="N1921" s="47"/>
      <c r="O1921" s="47"/>
      <c r="P1921" s="47"/>
      <c r="Q1921" s="47"/>
      <c r="R1921" s="47"/>
      <c r="S1921" s="47"/>
      <c r="T1921" s="45"/>
      <c r="U1921" s="45"/>
      <c r="V1921" s="45"/>
      <c r="W1921" s="45"/>
      <c r="X1921" s="47"/>
      <c r="Y1921" s="45"/>
      <c r="Z1921" s="45"/>
      <c r="AA1921" s="48"/>
      <c r="AB1921" s="48"/>
      <c r="AC1921" s="47"/>
      <c r="AD1921" s="47"/>
      <c r="AE1921" s="47"/>
    </row>
    <row r="1922" spans="1:31" x14ac:dyDescent="0.35">
      <c r="A1922" s="41"/>
      <c r="B1922" s="41"/>
      <c r="C1922" s="42"/>
      <c r="D1922" s="43"/>
      <c r="E1922" s="43"/>
      <c r="F1922" s="43"/>
      <c r="G1922" s="43"/>
      <c r="H1922" s="43"/>
      <c r="I1922" s="43"/>
      <c r="J1922" s="43"/>
      <c r="K1922" s="43"/>
      <c r="L1922" s="43"/>
      <c r="M1922" s="43"/>
      <c r="N1922" s="43"/>
      <c r="O1922" s="43"/>
      <c r="P1922" s="43"/>
      <c r="Q1922" s="43"/>
      <c r="R1922" s="43"/>
      <c r="S1922" s="43"/>
      <c r="T1922" s="43"/>
      <c r="U1922" s="43"/>
      <c r="V1922" s="41"/>
      <c r="W1922" s="41"/>
      <c r="X1922" s="41"/>
      <c r="Y1922" s="41"/>
      <c r="Z1922" s="41"/>
      <c r="AA1922" s="44"/>
      <c r="AB1922" s="44"/>
      <c r="AC1922" s="43"/>
      <c r="AD1922" s="43"/>
      <c r="AE1922" s="43"/>
    </row>
    <row r="1923" spans="1:31" x14ac:dyDescent="0.35">
      <c r="C1923" s="33"/>
      <c r="D1923" s="34"/>
      <c r="E1923" s="34"/>
      <c r="F1923" s="34"/>
      <c r="G1923" s="34"/>
      <c r="H1923" s="34"/>
      <c r="I1923" s="34"/>
      <c r="J1923" s="34"/>
      <c r="K1923" s="34"/>
      <c r="L1923" s="34"/>
      <c r="M1923" s="34"/>
      <c r="N1923" s="34"/>
      <c r="O1923" s="34"/>
      <c r="AA1923" s="35"/>
      <c r="AB1923" s="35"/>
      <c r="AC1923" s="34"/>
      <c r="AD1923" s="34"/>
      <c r="AE1923" s="34"/>
    </row>
    <row r="1924" spans="1:31" ht="15" thickBot="1" x14ac:dyDescent="0.4">
      <c r="A1924" s="45"/>
      <c r="B1924" s="45"/>
      <c r="C1924" s="46"/>
      <c r="D1924" s="47"/>
      <c r="E1924" s="47"/>
      <c r="F1924" s="47"/>
      <c r="G1924" s="47"/>
      <c r="H1924" s="47"/>
      <c r="I1924" s="47"/>
      <c r="J1924" s="47"/>
      <c r="K1924" s="47"/>
      <c r="L1924" s="47"/>
      <c r="M1924" s="47"/>
      <c r="N1924" s="47"/>
      <c r="O1924" s="47"/>
      <c r="P1924" s="47"/>
      <c r="Q1924" s="47"/>
      <c r="R1924" s="47"/>
      <c r="S1924" s="47"/>
      <c r="T1924" s="45"/>
      <c r="U1924" s="45"/>
      <c r="V1924" s="45"/>
      <c r="W1924" s="45"/>
      <c r="X1924" s="47"/>
      <c r="Y1924" s="45"/>
      <c r="Z1924" s="45"/>
      <c r="AA1924" s="48"/>
      <c r="AB1924" s="48"/>
      <c r="AC1924" s="47"/>
      <c r="AD1924" s="47"/>
      <c r="AE1924" s="47"/>
    </row>
    <row r="1925" spans="1:31" x14ac:dyDescent="0.35">
      <c r="A1925" s="41"/>
      <c r="B1925" s="41"/>
      <c r="C1925" s="42"/>
      <c r="D1925" s="43"/>
      <c r="E1925" s="43"/>
      <c r="F1925" s="43"/>
      <c r="G1925" s="43"/>
      <c r="H1925" s="43"/>
      <c r="I1925" s="43"/>
      <c r="J1925" s="43"/>
      <c r="K1925" s="43"/>
      <c r="L1925" s="43"/>
      <c r="M1925" s="43"/>
      <c r="N1925" s="43"/>
      <c r="O1925" s="43"/>
      <c r="P1925" s="43"/>
      <c r="Q1925" s="43"/>
      <c r="R1925" s="43"/>
      <c r="S1925" s="43"/>
      <c r="T1925" s="43"/>
      <c r="U1925" s="43"/>
      <c r="V1925" s="41"/>
      <c r="W1925" s="41"/>
      <c r="X1925" s="41"/>
      <c r="Y1925" s="41"/>
      <c r="Z1925" s="41"/>
      <c r="AA1925" s="44"/>
      <c r="AB1925" s="44"/>
      <c r="AC1925" s="43"/>
      <c r="AD1925" s="43"/>
      <c r="AE1925" s="43"/>
    </row>
    <row r="1926" spans="1:31" x14ac:dyDescent="0.35">
      <c r="C1926" s="33"/>
      <c r="D1926" s="34"/>
      <c r="E1926" s="34"/>
      <c r="F1926" s="34"/>
      <c r="G1926" s="34"/>
      <c r="H1926" s="34"/>
      <c r="I1926" s="34"/>
      <c r="J1926" s="34"/>
      <c r="K1926" s="34"/>
      <c r="L1926" s="34"/>
      <c r="M1926" s="34"/>
      <c r="N1926" s="34"/>
      <c r="O1926" s="34"/>
      <c r="AA1926" s="35"/>
      <c r="AB1926" s="35"/>
      <c r="AC1926" s="34"/>
      <c r="AD1926" s="34"/>
      <c r="AE1926" s="34"/>
    </row>
    <row r="1927" spans="1:31" ht="15" thickBot="1" x14ac:dyDescent="0.4">
      <c r="A1927" s="45"/>
      <c r="B1927" s="45"/>
      <c r="C1927" s="46"/>
      <c r="D1927" s="47"/>
      <c r="E1927" s="47"/>
      <c r="F1927" s="47"/>
      <c r="G1927" s="47"/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  <c r="S1927" s="47"/>
      <c r="T1927" s="45"/>
      <c r="U1927" s="45"/>
      <c r="V1927" s="45"/>
      <c r="W1927" s="45"/>
      <c r="X1927" s="47"/>
      <c r="Y1927" s="45"/>
      <c r="Z1927" s="45"/>
      <c r="AA1927" s="48"/>
      <c r="AB1927" s="48"/>
      <c r="AC1927" s="47"/>
      <c r="AD1927" s="47"/>
      <c r="AE1927" s="47"/>
    </row>
    <row r="1928" spans="1:31" x14ac:dyDescent="0.35">
      <c r="A1928" s="41"/>
      <c r="B1928" s="41"/>
      <c r="C1928" s="42"/>
      <c r="D1928" s="43"/>
      <c r="E1928" s="43"/>
      <c r="F1928" s="43"/>
      <c r="G1928" s="43"/>
      <c r="H1928" s="43"/>
      <c r="I1928" s="43"/>
      <c r="J1928" s="43"/>
      <c r="K1928" s="43"/>
      <c r="L1928" s="43"/>
      <c r="M1928" s="43"/>
      <c r="N1928" s="43"/>
      <c r="O1928" s="43"/>
      <c r="P1928" s="43"/>
      <c r="Q1928" s="43"/>
      <c r="R1928" s="43"/>
      <c r="S1928" s="43"/>
      <c r="T1928" s="43"/>
      <c r="U1928" s="43"/>
      <c r="V1928" s="41"/>
      <c r="W1928" s="41"/>
      <c r="X1928" s="41"/>
      <c r="Y1928" s="41"/>
      <c r="Z1928" s="41"/>
      <c r="AA1928" s="44"/>
      <c r="AB1928" s="44"/>
      <c r="AC1928" s="43"/>
      <c r="AD1928" s="43"/>
      <c r="AE1928" s="43"/>
    </row>
    <row r="1929" spans="1:31" x14ac:dyDescent="0.35">
      <c r="C1929" s="33"/>
      <c r="D1929" s="34"/>
      <c r="E1929" s="34"/>
      <c r="F1929" s="34"/>
      <c r="G1929" s="34"/>
      <c r="H1929" s="34"/>
      <c r="I1929" s="34"/>
      <c r="J1929" s="34"/>
      <c r="K1929" s="34"/>
      <c r="L1929" s="34"/>
      <c r="M1929" s="34"/>
      <c r="N1929" s="34"/>
      <c r="O1929" s="34"/>
      <c r="AA1929" s="35"/>
      <c r="AB1929" s="35"/>
      <c r="AC1929" s="34"/>
      <c r="AD1929" s="34"/>
      <c r="AE1929" s="34"/>
    </row>
    <row r="1930" spans="1:31" ht="15" thickBot="1" x14ac:dyDescent="0.4">
      <c r="A1930" s="45"/>
      <c r="B1930" s="45"/>
      <c r="C1930" s="46"/>
      <c r="D1930" s="47"/>
      <c r="E1930" s="47"/>
      <c r="F1930" s="47"/>
      <c r="G1930" s="47"/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  <c r="S1930" s="47"/>
      <c r="T1930" s="45"/>
      <c r="U1930" s="45"/>
      <c r="V1930" s="45"/>
      <c r="W1930" s="45"/>
      <c r="X1930" s="47"/>
      <c r="Y1930" s="45"/>
      <c r="Z1930" s="45"/>
      <c r="AA1930" s="48"/>
      <c r="AB1930" s="48"/>
      <c r="AC1930" s="47"/>
      <c r="AD1930" s="47"/>
      <c r="AE1930" s="47"/>
    </row>
    <row r="1931" spans="1:31" x14ac:dyDescent="0.35">
      <c r="A1931" s="41"/>
      <c r="B1931" s="41"/>
      <c r="C1931" s="42"/>
      <c r="D1931" s="43"/>
      <c r="E1931" s="43"/>
      <c r="F1931" s="43"/>
      <c r="G1931" s="43"/>
      <c r="H1931" s="43"/>
      <c r="I1931" s="43"/>
      <c r="J1931" s="43"/>
      <c r="K1931" s="43"/>
      <c r="L1931" s="43"/>
      <c r="M1931" s="43"/>
      <c r="N1931" s="43"/>
      <c r="O1931" s="43"/>
      <c r="P1931" s="43"/>
      <c r="Q1931" s="43"/>
      <c r="R1931" s="43"/>
      <c r="S1931" s="43"/>
      <c r="T1931" s="43"/>
      <c r="U1931" s="43"/>
      <c r="V1931" s="41"/>
      <c r="W1931" s="41"/>
      <c r="X1931" s="41"/>
      <c r="Y1931" s="41"/>
      <c r="Z1931" s="41"/>
      <c r="AA1931" s="44"/>
      <c r="AB1931" s="44"/>
      <c r="AC1931" s="43"/>
      <c r="AD1931" s="43"/>
      <c r="AE1931" s="43"/>
    </row>
    <row r="1932" spans="1:31" x14ac:dyDescent="0.35">
      <c r="C1932" s="33"/>
      <c r="D1932" s="34"/>
      <c r="E1932" s="34"/>
      <c r="F1932" s="34"/>
      <c r="G1932" s="34"/>
      <c r="H1932" s="34"/>
      <c r="I1932" s="34"/>
      <c r="J1932" s="34"/>
      <c r="K1932" s="34"/>
      <c r="L1932" s="34"/>
      <c r="M1932" s="34"/>
      <c r="N1932" s="34"/>
      <c r="O1932" s="34"/>
      <c r="AA1932" s="35"/>
      <c r="AB1932" s="35"/>
      <c r="AC1932" s="34"/>
      <c r="AD1932" s="34"/>
      <c r="AE1932" s="34"/>
    </row>
    <row r="1933" spans="1:31" ht="15" thickBot="1" x14ac:dyDescent="0.4">
      <c r="A1933" s="45"/>
      <c r="B1933" s="45"/>
      <c r="C1933" s="46"/>
      <c r="D1933" s="47"/>
      <c r="E1933" s="47"/>
      <c r="F1933" s="47"/>
      <c r="G1933" s="47"/>
      <c r="H1933" s="47"/>
      <c r="I1933" s="47"/>
      <c r="J1933" s="47"/>
      <c r="K1933" s="47"/>
      <c r="L1933" s="47"/>
      <c r="M1933" s="47"/>
      <c r="N1933" s="47"/>
      <c r="O1933" s="47"/>
      <c r="P1933" s="47"/>
      <c r="Q1933" s="47"/>
      <c r="R1933" s="47"/>
      <c r="S1933" s="47"/>
      <c r="T1933" s="45"/>
      <c r="U1933" s="45"/>
      <c r="V1933" s="45"/>
      <c r="W1933" s="45"/>
      <c r="X1933" s="47"/>
      <c r="Y1933" s="45"/>
      <c r="Z1933" s="45"/>
      <c r="AA1933" s="48"/>
      <c r="AB1933" s="48"/>
      <c r="AC1933" s="47"/>
      <c r="AD1933" s="47"/>
      <c r="AE1933" s="47"/>
    </row>
    <row r="1934" spans="1:31" x14ac:dyDescent="0.35">
      <c r="A1934" s="41"/>
      <c r="B1934" s="41"/>
      <c r="C1934" s="42"/>
      <c r="D1934" s="43"/>
      <c r="E1934" s="43"/>
      <c r="F1934" s="43"/>
      <c r="G1934" s="43"/>
      <c r="H1934" s="43"/>
      <c r="I1934" s="43"/>
      <c r="J1934" s="43"/>
      <c r="K1934" s="43"/>
      <c r="L1934" s="43"/>
      <c r="M1934" s="43"/>
      <c r="N1934" s="43"/>
      <c r="O1934" s="43"/>
      <c r="P1934" s="43"/>
      <c r="Q1934" s="43"/>
      <c r="R1934" s="43"/>
      <c r="S1934" s="43"/>
      <c r="T1934" s="43"/>
      <c r="U1934" s="43"/>
      <c r="V1934" s="41"/>
      <c r="W1934" s="41"/>
      <c r="X1934" s="41"/>
      <c r="Y1934" s="41"/>
      <c r="Z1934" s="41"/>
      <c r="AA1934" s="44"/>
      <c r="AB1934" s="44"/>
      <c r="AC1934" s="43"/>
      <c r="AD1934" s="43"/>
      <c r="AE1934" s="43"/>
    </row>
    <row r="1935" spans="1:31" x14ac:dyDescent="0.35">
      <c r="C1935" s="33"/>
      <c r="D1935" s="34"/>
      <c r="E1935" s="34"/>
      <c r="F1935" s="34"/>
      <c r="G1935" s="34"/>
      <c r="H1935" s="34"/>
      <c r="I1935" s="34"/>
      <c r="J1935" s="34"/>
      <c r="K1935" s="34"/>
      <c r="L1935" s="34"/>
      <c r="M1935" s="34"/>
      <c r="N1935" s="34"/>
      <c r="O1935" s="34"/>
      <c r="AA1935" s="35"/>
      <c r="AB1935" s="35"/>
      <c r="AC1935" s="34"/>
      <c r="AD1935" s="34"/>
      <c r="AE1935" s="34"/>
    </row>
    <row r="1936" spans="1:31" ht="15" thickBot="1" x14ac:dyDescent="0.4">
      <c r="A1936" s="45"/>
      <c r="B1936" s="45"/>
      <c r="C1936" s="46"/>
      <c r="D1936" s="47"/>
      <c r="E1936" s="47"/>
      <c r="F1936" s="47"/>
      <c r="G1936" s="47"/>
      <c r="H1936" s="47"/>
      <c r="I1936" s="47"/>
      <c r="J1936" s="47"/>
      <c r="K1936" s="47"/>
      <c r="L1936" s="47"/>
      <c r="M1936" s="47"/>
      <c r="N1936" s="47"/>
      <c r="O1936" s="47"/>
      <c r="P1936" s="47"/>
      <c r="Q1936" s="47"/>
      <c r="R1936" s="47"/>
      <c r="S1936" s="47"/>
      <c r="T1936" s="45"/>
      <c r="U1936" s="45"/>
      <c r="V1936" s="45"/>
      <c r="W1936" s="45"/>
      <c r="X1936" s="47"/>
      <c r="Y1936" s="45"/>
      <c r="Z1936" s="45"/>
      <c r="AA1936" s="48"/>
      <c r="AB1936" s="48"/>
      <c r="AC1936" s="47"/>
      <c r="AD1936" s="47"/>
      <c r="AE1936" s="47"/>
    </row>
    <row r="1937" spans="1:31" x14ac:dyDescent="0.35">
      <c r="A1937" s="41"/>
      <c r="B1937" s="41"/>
      <c r="C1937" s="42"/>
      <c r="D1937" s="43"/>
      <c r="E1937" s="43"/>
      <c r="F1937" s="43"/>
      <c r="G1937" s="43"/>
      <c r="H1937" s="43"/>
      <c r="I1937" s="43"/>
      <c r="J1937" s="43"/>
      <c r="K1937" s="43"/>
      <c r="L1937" s="43"/>
      <c r="M1937" s="43"/>
      <c r="N1937" s="43"/>
      <c r="O1937" s="43"/>
      <c r="P1937" s="43"/>
      <c r="Q1937" s="43"/>
      <c r="R1937" s="43"/>
      <c r="S1937" s="43"/>
      <c r="T1937" s="43"/>
      <c r="U1937" s="43"/>
      <c r="V1937" s="41"/>
      <c r="W1937" s="41"/>
      <c r="X1937" s="41"/>
      <c r="Y1937" s="41"/>
      <c r="Z1937" s="41"/>
      <c r="AA1937" s="44"/>
      <c r="AB1937" s="44"/>
      <c r="AC1937" s="43"/>
      <c r="AD1937" s="43"/>
      <c r="AE1937" s="43"/>
    </row>
    <row r="1938" spans="1:31" x14ac:dyDescent="0.35">
      <c r="C1938" s="33"/>
      <c r="D1938" s="34"/>
      <c r="E1938" s="34"/>
      <c r="F1938" s="34"/>
      <c r="G1938" s="34"/>
      <c r="H1938" s="34"/>
      <c r="I1938" s="34"/>
      <c r="J1938" s="34"/>
      <c r="K1938" s="34"/>
      <c r="L1938" s="34"/>
      <c r="M1938" s="34"/>
      <c r="N1938" s="34"/>
      <c r="O1938" s="34"/>
      <c r="AA1938" s="35"/>
      <c r="AB1938" s="35"/>
      <c r="AC1938" s="34"/>
      <c r="AD1938" s="34"/>
      <c r="AE1938" s="34"/>
    </row>
    <row r="1939" spans="1:31" ht="15" thickBot="1" x14ac:dyDescent="0.4">
      <c r="A1939" s="45"/>
      <c r="B1939" s="45"/>
      <c r="C1939" s="46"/>
      <c r="D1939" s="47"/>
      <c r="E1939" s="47"/>
      <c r="F1939" s="47"/>
      <c r="G1939" s="47"/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  <c r="S1939" s="47"/>
      <c r="T1939" s="45"/>
      <c r="U1939" s="45"/>
      <c r="V1939" s="45"/>
      <c r="W1939" s="45"/>
      <c r="X1939" s="47"/>
      <c r="Y1939" s="45"/>
      <c r="Z1939" s="45"/>
      <c r="AA1939" s="48"/>
      <c r="AB1939" s="48"/>
      <c r="AC1939" s="47"/>
      <c r="AD1939" s="47"/>
      <c r="AE1939" s="47"/>
    </row>
    <row r="1940" spans="1:31" x14ac:dyDescent="0.35">
      <c r="A1940" s="41"/>
      <c r="B1940" s="41"/>
      <c r="C1940" s="42"/>
      <c r="D1940" s="43"/>
      <c r="E1940" s="43"/>
      <c r="F1940" s="43"/>
      <c r="G1940" s="43"/>
      <c r="H1940" s="43"/>
      <c r="I1940" s="43"/>
      <c r="J1940" s="43"/>
      <c r="K1940" s="43"/>
      <c r="L1940" s="43"/>
      <c r="M1940" s="43"/>
      <c r="N1940" s="43"/>
      <c r="O1940" s="43"/>
      <c r="P1940" s="43"/>
      <c r="Q1940" s="43"/>
      <c r="R1940" s="43"/>
      <c r="S1940" s="43"/>
      <c r="T1940" s="43"/>
      <c r="U1940" s="43"/>
      <c r="V1940" s="41"/>
      <c r="W1940" s="41"/>
      <c r="X1940" s="41"/>
      <c r="Y1940" s="41"/>
      <c r="Z1940" s="41"/>
      <c r="AA1940" s="44"/>
      <c r="AB1940" s="44"/>
      <c r="AC1940" s="43"/>
      <c r="AD1940" s="43"/>
      <c r="AE1940" s="43"/>
    </row>
    <row r="1941" spans="1:31" x14ac:dyDescent="0.35">
      <c r="C1941" s="33"/>
      <c r="D1941" s="34"/>
      <c r="E1941" s="34"/>
      <c r="F1941" s="34"/>
      <c r="G1941" s="34"/>
      <c r="H1941" s="34"/>
      <c r="I1941" s="34"/>
      <c r="J1941" s="34"/>
      <c r="K1941" s="34"/>
      <c r="L1941" s="34"/>
      <c r="M1941" s="34"/>
      <c r="N1941" s="34"/>
      <c r="O1941" s="34"/>
      <c r="AA1941" s="35"/>
      <c r="AB1941" s="35"/>
      <c r="AC1941" s="34"/>
      <c r="AD1941" s="34"/>
      <c r="AE1941" s="34"/>
    </row>
    <row r="1942" spans="1:31" ht="15" thickBot="1" x14ac:dyDescent="0.4">
      <c r="A1942" s="45"/>
      <c r="B1942" s="45"/>
      <c r="C1942" s="46"/>
      <c r="D1942" s="47"/>
      <c r="E1942" s="47"/>
      <c r="F1942" s="47"/>
      <c r="G1942" s="47"/>
      <c r="H1942" s="47"/>
      <c r="I1942" s="47"/>
      <c r="J1942" s="47"/>
      <c r="K1942" s="47"/>
      <c r="L1942" s="47"/>
      <c r="M1942" s="47"/>
      <c r="N1942" s="47"/>
      <c r="O1942" s="47"/>
      <c r="P1942" s="47"/>
      <c r="Q1942" s="47"/>
      <c r="R1942" s="47"/>
      <c r="S1942" s="47"/>
      <c r="T1942" s="45"/>
      <c r="U1942" s="45"/>
      <c r="V1942" s="45"/>
      <c r="W1942" s="45"/>
      <c r="X1942" s="47"/>
      <c r="Y1942" s="45"/>
      <c r="Z1942" s="45"/>
      <c r="AA1942" s="48"/>
      <c r="AB1942" s="48"/>
      <c r="AC1942" s="47"/>
      <c r="AD1942" s="47"/>
      <c r="AE1942" s="47"/>
    </row>
    <row r="1943" spans="1:31" x14ac:dyDescent="0.35">
      <c r="A1943" s="41"/>
      <c r="B1943" s="41"/>
      <c r="C1943" s="42"/>
      <c r="D1943" s="43"/>
      <c r="E1943" s="43"/>
      <c r="F1943" s="43"/>
      <c r="G1943" s="43"/>
      <c r="H1943" s="43"/>
      <c r="I1943" s="43"/>
      <c r="J1943" s="43"/>
      <c r="K1943" s="43"/>
      <c r="L1943" s="43"/>
      <c r="M1943" s="43"/>
      <c r="N1943" s="43"/>
      <c r="O1943" s="43"/>
      <c r="P1943" s="43"/>
      <c r="Q1943" s="43"/>
      <c r="R1943" s="43"/>
      <c r="S1943" s="43"/>
      <c r="T1943" s="43"/>
      <c r="U1943" s="43"/>
      <c r="V1943" s="41"/>
      <c r="W1943" s="41"/>
      <c r="X1943" s="41"/>
      <c r="Y1943" s="41"/>
      <c r="Z1943" s="41"/>
      <c r="AA1943" s="44"/>
      <c r="AB1943" s="44"/>
      <c r="AC1943" s="43"/>
      <c r="AD1943" s="43"/>
      <c r="AE1943" s="43"/>
    </row>
    <row r="1944" spans="1:31" x14ac:dyDescent="0.35">
      <c r="C1944" s="33"/>
      <c r="D1944" s="34"/>
      <c r="E1944" s="34"/>
      <c r="F1944" s="34"/>
      <c r="G1944" s="34"/>
      <c r="H1944" s="34"/>
      <c r="I1944" s="34"/>
      <c r="J1944" s="34"/>
      <c r="K1944" s="34"/>
      <c r="L1944" s="34"/>
      <c r="M1944" s="34"/>
      <c r="N1944" s="34"/>
      <c r="O1944" s="34"/>
      <c r="AA1944" s="35"/>
      <c r="AB1944" s="35"/>
      <c r="AC1944" s="34"/>
      <c r="AD1944" s="34"/>
      <c r="AE1944" s="34"/>
    </row>
    <row r="1945" spans="1:31" ht="15" thickBot="1" x14ac:dyDescent="0.4">
      <c r="A1945" s="45"/>
      <c r="B1945" s="45"/>
      <c r="C1945" s="46"/>
      <c r="D1945" s="47"/>
      <c r="E1945" s="47"/>
      <c r="F1945" s="47"/>
      <c r="G1945" s="47"/>
      <c r="H1945" s="47"/>
      <c r="I1945" s="47"/>
      <c r="J1945" s="47"/>
      <c r="K1945" s="47"/>
      <c r="L1945" s="47"/>
      <c r="M1945" s="47"/>
      <c r="N1945" s="47"/>
      <c r="O1945" s="47"/>
      <c r="P1945" s="47"/>
      <c r="Q1945" s="47"/>
      <c r="R1945" s="47"/>
      <c r="S1945" s="47"/>
      <c r="T1945" s="45"/>
      <c r="U1945" s="45"/>
      <c r="V1945" s="45"/>
      <c r="W1945" s="45"/>
      <c r="X1945" s="47"/>
      <c r="Y1945" s="45"/>
      <c r="Z1945" s="45"/>
      <c r="AA1945" s="48"/>
      <c r="AB1945" s="48"/>
      <c r="AC1945" s="47"/>
      <c r="AD1945" s="47"/>
      <c r="AE1945" s="47"/>
    </row>
    <row r="1946" spans="1:31" x14ac:dyDescent="0.35">
      <c r="A1946" s="41"/>
      <c r="B1946" s="41"/>
      <c r="C1946" s="42"/>
      <c r="D1946" s="43"/>
      <c r="E1946" s="43"/>
      <c r="F1946" s="43"/>
      <c r="G1946" s="43"/>
      <c r="H1946" s="43"/>
      <c r="I1946" s="43"/>
      <c r="J1946" s="43"/>
      <c r="K1946" s="43"/>
      <c r="L1946" s="43"/>
      <c r="M1946" s="43"/>
      <c r="N1946" s="43"/>
      <c r="O1946" s="43"/>
      <c r="P1946" s="43"/>
      <c r="Q1946" s="43"/>
      <c r="R1946" s="43"/>
      <c r="S1946" s="43"/>
      <c r="T1946" s="43"/>
      <c r="U1946" s="43"/>
      <c r="V1946" s="41"/>
      <c r="W1946" s="41"/>
      <c r="X1946" s="41"/>
      <c r="Y1946" s="41"/>
      <c r="Z1946" s="41"/>
      <c r="AA1946" s="44"/>
      <c r="AB1946" s="44"/>
      <c r="AC1946" s="43"/>
      <c r="AD1946" s="43"/>
      <c r="AE1946" s="43"/>
    </row>
    <row r="1947" spans="1:31" x14ac:dyDescent="0.35">
      <c r="C1947" s="33"/>
      <c r="D1947" s="34"/>
      <c r="E1947" s="34"/>
      <c r="F1947" s="34"/>
      <c r="G1947" s="34"/>
      <c r="H1947" s="34"/>
      <c r="I1947" s="34"/>
      <c r="J1947" s="34"/>
      <c r="K1947" s="34"/>
      <c r="L1947" s="34"/>
      <c r="M1947" s="34"/>
      <c r="N1947" s="34"/>
      <c r="O1947" s="34"/>
      <c r="AA1947" s="35"/>
      <c r="AB1947" s="35"/>
      <c r="AC1947" s="34"/>
      <c r="AD1947" s="34"/>
      <c r="AE1947" s="34"/>
    </row>
    <row r="1948" spans="1:31" ht="15" thickBot="1" x14ac:dyDescent="0.4">
      <c r="A1948" s="45"/>
      <c r="B1948" s="45"/>
      <c r="C1948" s="46"/>
      <c r="D1948" s="47"/>
      <c r="E1948" s="47"/>
      <c r="F1948" s="47"/>
      <c r="G1948" s="47"/>
      <c r="H1948" s="47"/>
      <c r="I1948" s="47"/>
      <c r="J1948" s="47"/>
      <c r="K1948" s="47"/>
      <c r="L1948" s="47"/>
      <c r="M1948" s="47"/>
      <c r="N1948" s="47"/>
      <c r="O1948" s="47"/>
      <c r="P1948" s="47"/>
      <c r="Q1948" s="47"/>
      <c r="R1948" s="47"/>
      <c r="S1948" s="47"/>
      <c r="T1948" s="45"/>
      <c r="U1948" s="45"/>
      <c r="V1948" s="45"/>
      <c r="W1948" s="45"/>
      <c r="X1948" s="47"/>
      <c r="Y1948" s="45"/>
      <c r="Z1948" s="45"/>
      <c r="AA1948" s="48"/>
      <c r="AB1948" s="48"/>
      <c r="AC1948" s="47"/>
      <c r="AD1948" s="47"/>
      <c r="AE1948" s="47"/>
    </row>
    <row r="1949" spans="1:31" x14ac:dyDescent="0.35">
      <c r="A1949" s="41"/>
      <c r="B1949" s="41"/>
      <c r="C1949" s="42"/>
      <c r="D1949" s="43"/>
      <c r="E1949" s="43"/>
      <c r="F1949" s="43"/>
      <c r="G1949" s="43"/>
      <c r="H1949" s="43"/>
      <c r="I1949" s="43"/>
      <c r="J1949" s="43"/>
      <c r="K1949" s="43"/>
      <c r="L1949" s="43"/>
      <c r="M1949" s="43"/>
      <c r="N1949" s="43"/>
      <c r="O1949" s="43"/>
      <c r="P1949" s="43"/>
      <c r="Q1949" s="43"/>
      <c r="R1949" s="43"/>
      <c r="S1949" s="43"/>
      <c r="T1949" s="43"/>
      <c r="U1949" s="43"/>
      <c r="V1949" s="41"/>
      <c r="W1949" s="41"/>
      <c r="X1949" s="41"/>
      <c r="Y1949" s="41"/>
      <c r="Z1949" s="41"/>
      <c r="AA1949" s="44"/>
      <c r="AB1949" s="44"/>
      <c r="AC1949" s="43"/>
      <c r="AD1949" s="43"/>
      <c r="AE1949" s="43"/>
    </row>
    <row r="1950" spans="1:31" x14ac:dyDescent="0.35">
      <c r="C1950" s="33"/>
      <c r="D1950" s="34"/>
      <c r="E1950" s="34"/>
      <c r="F1950" s="34"/>
      <c r="G1950" s="34"/>
      <c r="H1950" s="34"/>
      <c r="I1950" s="34"/>
      <c r="J1950" s="34"/>
      <c r="K1950" s="34"/>
      <c r="L1950" s="34"/>
      <c r="M1950" s="34"/>
      <c r="N1950" s="34"/>
      <c r="O1950" s="34"/>
      <c r="AA1950" s="35"/>
      <c r="AB1950" s="35"/>
      <c r="AC1950" s="34"/>
      <c r="AD1950" s="34"/>
      <c r="AE1950" s="34"/>
    </row>
    <row r="1951" spans="1:31" ht="15" thickBot="1" x14ac:dyDescent="0.4">
      <c r="A1951" s="45"/>
      <c r="B1951" s="45"/>
      <c r="C1951" s="46"/>
      <c r="D1951" s="47"/>
      <c r="E1951" s="47"/>
      <c r="F1951" s="47"/>
      <c r="G1951" s="47"/>
      <c r="H1951" s="47"/>
      <c r="I1951" s="47"/>
      <c r="J1951" s="47"/>
      <c r="K1951" s="47"/>
      <c r="L1951" s="47"/>
      <c r="M1951" s="47"/>
      <c r="N1951" s="47"/>
      <c r="O1951" s="47"/>
      <c r="P1951" s="47"/>
      <c r="Q1951" s="47"/>
      <c r="R1951" s="47"/>
      <c r="S1951" s="47"/>
      <c r="T1951" s="45"/>
      <c r="U1951" s="45"/>
      <c r="V1951" s="45"/>
      <c r="W1951" s="45"/>
      <c r="X1951" s="47"/>
      <c r="Y1951" s="45"/>
      <c r="Z1951" s="45"/>
      <c r="AA1951" s="48"/>
      <c r="AB1951" s="48"/>
      <c r="AC1951" s="47"/>
      <c r="AD1951" s="47"/>
      <c r="AE1951" s="47"/>
    </row>
    <row r="1952" spans="1:31" x14ac:dyDescent="0.35">
      <c r="A1952" s="41"/>
      <c r="B1952" s="41"/>
      <c r="C1952" s="42"/>
      <c r="D1952" s="43"/>
      <c r="E1952" s="43"/>
      <c r="F1952" s="43"/>
      <c r="G1952" s="43"/>
      <c r="H1952" s="43"/>
      <c r="I1952" s="43"/>
      <c r="J1952" s="43"/>
      <c r="K1952" s="43"/>
      <c r="L1952" s="43"/>
      <c r="M1952" s="43"/>
      <c r="N1952" s="43"/>
      <c r="O1952" s="43"/>
      <c r="P1952" s="43"/>
      <c r="Q1952" s="43"/>
      <c r="R1952" s="43"/>
      <c r="S1952" s="43"/>
      <c r="T1952" s="43"/>
      <c r="U1952" s="43"/>
      <c r="V1952" s="41"/>
      <c r="W1952" s="41"/>
      <c r="X1952" s="41"/>
      <c r="Y1952" s="41"/>
      <c r="Z1952" s="41"/>
      <c r="AA1952" s="44"/>
      <c r="AB1952" s="44"/>
      <c r="AC1952" s="43"/>
      <c r="AD1952" s="43"/>
      <c r="AE1952" s="43"/>
    </row>
    <row r="1953" spans="1:31" x14ac:dyDescent="0.35">
      <c r="C1953" s="33"/>
      <c r="D1953" s="34"/>
      <c r="E1953" s="34"/>
      <c r="F1953" s="34"/>
      <c r="G1953" s="34"/>
      <c r="H1953" s="34"/>
      <c r="I1953" s="34"/>
      <c r="J1953" s="34"/>
      <c r="K1953" s="34"/>
      <c r="L1953" s="34"/>
      <c r="M1953" s="34"/>
      <c r="N1953" s="34"/>
      <c r="O1953" s="34"/>
      <c r="AA1953" s="35"/>
      <c r="AB1953" s="35"/>
      <c r="AC1953" s="34"/>
      <c r="AD1953" s="34"/>
      <c r="AE1953" s="34"/>
    </row>
    <row r="1954" spans="1:31" ht="15" thickBot="1" x14ac:dyDescent="0.4">
      <c r="A1954" s="45"/>
      <c r="B1954" s="45"/>
      <c r="C1954" s="46"/>
      <c r="D1954" s="47"/>
      <c r="E1954" s="47"/>
      <c r="F1954" s="47"/>
      <c r="G1954" s="47"/>
      <c r="H1954" s="47"/>
      <c r="I1954" s="47"/>
      <c r="J1954" s="47"/>
      <c r="K1954" s="47"/>
      <c r="L1954" s="47"/>
      <c r="M1954" s="47"/>
      <c r="N1954" s="47"/>
      <c r="O1954" s="47"/>
      <c r="P1954" s="47"/>
      <c r="Q1954" s="47"/>
      <c r="R1954" s="47"/>
      <c r="S1954" s="47"/>
      <c r="T1954" s="45"/>
      <c r="U1954" s="45"/>
      <c r="V1954" s="45"/>
      <c r="W1954" s="45"/>
      <c r="X1954" s="47"/>
      <c r="Y1954" s="45"/>
      <c r="Z1954" s="45"/>
      <c r="AA1954" s="48"/>
      <c r="AB1954" s="48"/>
      <c r="AC1954" s="47"/>
      <c r="AD1954" s="47"/>
      <c r="AE1954" s="47"/>
    </row>
    <row r="1955" spans="1:31" x14ac:dyDescent="0.35">
      <c r="A1955" s="41"/>
      <c r="B1955" s="41"/>
      <c r="C1955" s="42"/>
      <c r="D1955" s="43"/>
      <c r="E1955" s="43"/>
      <c r="F1955" s="43"/>
      <c r="G1955" s="43"/>
      <c r="H1955" s="43"/>
      <c r="I1955" s="43"/>
      <c r="J1955" s="43"/>
      <c r="K1955" s="43"/>
      <c r="L1955" s="43"/>
      <c r="M1955" s="43"/>
      <c r="N1955" s="43"/>
      <c r="O1955" s="43"/>
      <c r="P1955" s="43"/>
      <c r="Q1955" s="43"/>
      <c r="R1955" s="43"/>
      <c r="S1955" s="43"/>
      <c r="T1955" s="43"/>
      <c r="U1955" s="43"/>
      <c r="V1955" s="41"/>
      <c r="W1955" s="41"/>
      <c r="X1955" s="41"/>
      <c r="Y1955" s="41"/>
      <c r="Z1955" s="41"/>
      <c r="AA1955" s="44"/>
      <c r="AB1955" s="44"/>
      <c r="AC1955" s="43"/>
      <c r="AD1955" s="43"/>
      <c r="AE1955" s="43"/>
    </row>
    <row r="1956" spans="1:31" x14ac:dyDescent="0.35">
      <c r="C1956" s="33"/>
      <c r="D1956" s="34"/>
      <c r="E1956" s="34"/>
      <c r="F1956" s="34"/>
      <c r="G1956" s="34"/>
      <c r="H1956" s="34"/>
      <c r="I1956" s="34"/>
      <c r="J1956" s="34"/>
      <c r="K1956" s="34"/>
      <c r="L1956" s="34"/>
      <c r="M1956" s="34"/>
      <c r="N1956" s="34"/>
      <c r="O1956" s="34"/>
      <c r="AA1956" s="35"/>
      <c r="AB1956" s="35"/>
      <c r="AC1956" s="34"/>
      <c r="AD1956" s="34"/>
      <c r="AE1956" s="34"/>
    </row>
    <row r="1957" spans="1:31" ht="15" thickBot="1" x14ac:dyDescent="0.4">
      <c r="A1957" s="45"/>
      <c r="B1957" s="45"/>
      <c r="C1957" s="46"/>
      <c r="D1957" s="47"/>
      <c r="E1957" s="47"/>
      <c r="F1957" s="47"/>
      <c r="G1957" s="47"/>
      <c r="H1957" s="47"/>
      <c r="I1957" s="47"/>
      <c r="J1957" s="47"/>
      <c r="K1957" s="47"/>
      <c r="L1957" s="47"/>
      <c r="M1957" s="47"/>
      <c r="N1957" s="47"/>
      <c r="O1957" s="47"/>
      <c r="P1957" s="47"/>
      <c r="Q1957" s="47"/>
      <c r="R1957" s="47"/>
      <c r="S1957" s="47"/>
      <c r="T1957" s="45"/>
      <c r="U1957" s="45"/>
      <c r="V1957" s="45"/>
      <c r="W1957" s="45"/>
      <c r="X1957" s="47"/>
      <c r="Y1957" s="45"/>
      <c r="Z1957" s="45"/>
      <c r="AA1957" s="48"/>
      <c r="AB1957" s="48"/>
      <c r="AC1957" s="47"/>
      <c r="AD1957" s="47"/>
      <c r="AE1957" s="47"/>
    </row>
    <row r="1958" spans="1:31" x14ac:dyDescent="0.35">
      <c r="A1958" s="41"/>
      <c r="B1958" s="41"/>
      <c r="C1958" s="42"/>
      <c r="D1958" s="43"/>
      <c r="E1958" s="43"/>
      <c r="F1958" s="43"/>
      <c r="G1958" s="43"/>
      <c r="H1958" s="43"/>
      <c r="I1958" s="43"/>
      <c r="J1958" s="43"/>
      <c r="K1958" s="43"/>
      <c r="L1958" s="43"/>
      <c r="M1958" s="43"/>
      <c r="N1958" s="43"/>
      <c r="O1958" s="43"/>
      <c r="P1958" s="43"/>
      <c r="Q1958" s="43"/>
      <c r="R1958" s="43"/>
      <c r="S1958" s="43"/>
      <c r="T1958" s="43"/>
      <c r="U1958" s="43"/>
      <c r="V1958" s="41"/>
      <c r="W1958" s="41"/>
      <c r="X1958" s="41"/>
      <c r="Y1958" s="41"/>
      <c r="Z1958" s="41"/>
      <c r="AA1958" s="44"/>
      <c r="AB1958" s="44"/>
      <c r="AC1958" s="43"/>
      <c r="AD1958" s="43"/>
      <c r="AE1958" s="43"/>
    </row>
    <row r="1959" spans="1:31" x14ac:dyDescent="0.35">
      <c r="C1959" s="33"/>
      <c r="D1959" s="34"/>
      <c r="E1959" s="34"/>
      <c r="F1959" s="34"/>
      <c r="G1959" s="34"/>
      <c r="H1959" s="34"/>
      <c r="I1959" s="34"/>
      <c r="J1959" s="34"/>
      <c r="K1959" s="34"/>
      <c r="L1959" s="34"/>
      <c r="M1959" s="34"/>
      <c r="N1959" s="34"/>
      <c r="O1959" s="34"/>
      <c r="AA1959" s="35"/>
      <c r="AB1959" s="35"/>
      <c r="AC1959" s="34"/>
      <c r="AD1959" s="34"/>
      <c r="AE1959" s="34"/>
    </row>
    <row r="1960" spans="1:31" ht="15" thickBot="1" x14ac:dyDescent="0.4">
      <c r="A1960" s="45"/>
      <c r="B1960" s="45"/>
      <c r="C1960" s="46"/>
      <c r="D1960" s="47"/>
      <c r="E1960" s="47"/>
      <c r="F1960" s="47"/>
      <c r="G1960" s="47"/>
      <c r="H1960" s="47"/>
      <c r="I1960" s="47"/>
      <c r="J1960" s="47"/>
      <c r="K1960" s="47"/>
      <c r="L1960" s="47"/>
      <c r="M1960" s="47"/>
      <c r="N1960" s="47"/>
      <c r="O1960" s="47"/>
      <c r="P1960" s="47"/>
      <c r="Q1960" s="47"/>
      <c r="R1960" s="47"/>
      <c r="S1960" s="47"/>
      <c r="T1960" s="45"/>
      <c r="U1960" s="45"/>
      <c r="V1960" s="45"/>
      <c r="W1960" s="45"/>
      <c r="X1960" s="47"/>
      <c r="Y1960" s="45"/>
      <c r="Z1960" s="45"/>
      <c r="AA1960" s="48"/>
      <c r="AB1960" s="48"/>
      <c r="AC1960" s="47"/>
      <c r="AD1960" s="47"/>
      <c r="AE1960" s="47"/>
    </row>
    <row r="1961" spans="1:31" x14ac:dyDescent="0.35">
      <c r="A1961" s="41"/>
      <c r="B1961" s="41"/>
      <c r="C1961" s="42"/>
      <c r="D1961" s="43"/>
      <c r="E1961" s="43"/>
      <c r="F1961" s="43"/>
      <c r="G1961" s="43"/>
      <c r="H1961" s="43"/>
      <c r="I1961" s="43"/>
      <c r="J1961" s="43"/>
      <c r="K1961" s="43"/>
      <c r="L1961" s="43"/>
      <c r="M1961" s="43"/>
      <c r="N1961" s="43"/>
      <c r="O1961" s="43"/>
      <c r="P1961" s="43"/>
      <c r="Q1961" s="43"/>
      <c r="R1961" s="43"/>
      <c r="S1961" s="43"/>
      <c r="T1961" s="43"/>
      <c r="U1961" s="43"/>
      <c r="V1961" s="41"/>
      <c r="W1961" s="41"/>
      <c r="X1961" s="41"/>
      <c r="Y1961" s="41"/>
      <c r="Z1961" s="41"/>
      <c r="AA1961" s="44"/>
      <c r="AB1961" s="44"/>
      <c r="AC1961" s="43"/>
      <c r="AD1961" s="43"/>
      <c r="AE1961" s="43"/>
    </row>
    <row r="1962" spans="1:31" x14ac:dyDescent="0.35">
      <c r="C1962" s="33"/>
      <c r="D1962" s="34"/>
      <c r="E1962" s="34"/>
      <c r="F1962" s="34"/>
      <c r="G1962" s="34"/>
      <c r="H1962" s="34"/>
      <c r="I1962" s="34"/>
      <c r="J1962" s="34"/>
      <c r="K1962" s="34"/>
      <c r="L1962" s="34"/>
      <c r="M1962" s="34"/>
      <c r="N1962" s="34"/>
      <c r="O1962" s="34"/>
      <c r="AA1962" s="35"/>
      <c r="AB1962" s="35"/>
      <c r="AC1962" s="34"/>
      <c r="AD1962" s="34"/>
      <c r="AE1962" s="34"/>
    </row>
    <row r="1963" spans="1:31" ht="15" thickBot="1" x14ac:dyDescent="0.4">
      <c r="A1963" s="45"/>
      <c r="B1963" s="45"/>
      <c r="C1963" s="46"/>
      <c r="D1963" s="47"/>
      <c r="E1963" s="47"/>
      <c r="F1963" s="47"/>
      <c r="G1963" s="47"/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/>
      <c r="S1963" s="47"/>
      <c r="T1963" s="45"/>
      <c r="U1963" s="45"/>
      <c r="V1963" s="45"/>
      <c r="W1963" s="45"/>
      <c r="X1963" s="47"/>
      <c r="Y1963" s="45"/>
      <c r="Z1963" s="45"/>
      <c r="AA1963" s="48"/>
      <c r="AB1963" s="48"/>
      <c r="AC1963" s="47"/>
      <c r="AD1963" s="47"/>
      <c r="AE1963" s="47"/>
    </row>
    <row r="1964" spans="1:31" x14ac:dyDescent="0.35">
      <c r="A1964" s="41"/>
      <c r="B1964" s="41"/>
      <c r="C1964" s="42"/>
      <c r="D1964" s="43"/>
      <c r="E1964" s="43"/>
      <c r="F1964" s="43"/>
      <c r="G1964" s="43"/>
      <c r="H1964" s="43"/>
      <c r="I1964" s="43"/>
      <c r="J1964" s="43"/>
      <c r="K1964" s="43"/>
      <c r="L1964" s="43"/>
      <c r="M1964" s="43"/>
      <c r="N1964" s="43"/>
      <c r="O1964" s="43"/>
      <c r="P1964" s="43"/>
      <c r="Q1964" s="43"/>
      <c r="R1964" s="43"/>
      <c r="S1964" s="43"/>
      <c r="T1964" s="43"/>
      <c r="U1964" s="43"/>
      <c r="V1964" s="41"/>
      <c r="W1964" s="41"/>
      <c r="X1964" s="41"/>
      <c r="Y1964" s="41"/>
      <c r="Z1964" s="41"/>
      <c r="AA1964" s="44"/>
      <c r="AB1964" s="44"/>
      <c r="AC1964" s="43"/>
      <c r="AD1964" s="43"/>
      <c r="AE1964" s="43"/>
    </row>
    <row r="1965" spans="1:31" x14ac:dyDescent="0.35">
      <c r="C1965" s="33"/>
      <c r="D1965" s="34"/>
      <c r="E1965" s="34"/>
      <c r="F1965" s="34"/>
      <c r="G1965" s="34"/>
      <c r="H1965" s="34"/>
      <c r="I1965" s="34"/>
      <c r="J1965" s="34"/>
      <c r="K1965" s="34"/>
      <c r="L1965" s="34"/>
      <c r="M1965" s="34"/>
      <c r="N1965" s="34"/>
      <c r="O1965" s="34"/>
      <c r="AA1965" s="35"/>
      <c r="AB1965" s="35"/>
      <c r="AC1965" s="34"/>
      <c r="AD1965" s="34"/>
      <c r="AE1965" s="34"/>
    </row>
    <row r="1966" spans="1:31" ht="15" thickBot="1" x14ac:dyDescent="0.4">
      <c r="A1966" s="45"/>
      <c r="B1966" s="45"/>
      <c r="C1966" s="46"/>
      <c r="D1966" s="47"/>
      <c r="E1966" s="47"/>
      <c r="F1966" s="47"/>
      <c r="G1966" s="47"/>
      <c r="H1966" s="47"/>
      <c r="I1966" s="47"/>
      <c r="J1966" s="47"/>
      <c r="K1966" s="47"/>
      <c r="L1966" s="47"/>
      <c r="M1966" s="47"/>
      <c r="N1966" s="47"/>
      <c r="O1966" s="47"/>
      <c r="P1966" s="47"/>
      <c r="Q1966" s="47"/>
      <c r="R1966" s="47"/>
      <c r="S1966" s="47"/>
      <c r="T1966" s="45"/>
      <c r="U1966" s="45"/>
      <c r="V1966" s="45"/>
      <c r="W1966" s="45"/>
      <c r="X1966" s="47"/>
      <c r="Y1966" s="45"/>
      <c r="Z1966" s="45"/>
      <c r="AA1966" s="48"/>
      <c r="AB1966" s="48"/>
      <c r="AC1966" s="47"/>
      <c r="AD1966" s="47"/>
      <c r="AE1966" s="47"/>
    </row>
    <row r="1967" spans="1:31" x14ac:dyDescent="0.35">
      <c r="A1967" s="41"/>
      <c r="B1967" s="41"/>
      <c r="C1967" s="42"/>
      <c r="D1967" s="43"/>
      <c r="E1967" s="43"/>
      <c r="F1967" s="43"/>
      <c r="G1967" s="43"/>
      <c r="H1967" s="43"/>
      <c r="I1967" s="43"/>
      <c r="J1967" s="43"/>
      <c r="K1967" s="43"/>
      <c r="L1967" s="43"/>
      <c r="M1967" s="43"/>
      <c r="N1967" s="43"/>
      <c r="O1967" s="43"/>
      <c r="P1967" s="43"/>
      <c r="Q1967" s="43"/>
      <c r="R1967" s="43"/>
      <c r="S1967" s="43"/>
      <c r="T1967" s="43"/>
      <c r="U1967" s="43"/>
      <c r="V1967" s="41"/>
      <c r="W1967" s="41"/>
      <c r="X1967" s="41"/>
      <c r="Y1967" s="41"/>
      <c r="Z1967" s="41"/>
      <c r="AA1967" s="44"/>
      <c r="AB1967" s="44"/>
      <c r="AC1967" s="43"/>
      <c r="AD1967" s="43"/>
      <c r="AE1967" s="43"/>
    </row>
    <row r="1968" spans="1:31" x14ac:dyDescent="0.35">
      <c r="C1968" s="33"/>
      <c r="D1968" s="34"/>
      <c r="E1968" s="34"/>
      <c r="F1968" s="34"/>
      <c r="G1968" s="34"/>
      <c r="H1968" s="34"/>
      <c r="I1968" s="34"/>
      <c r="J1968" s="34"/>
      <c r="K1968" s="34"/>
      <c r="L1968" s="34"/>
      <c r="M1968" s="34"/>
      <c r="N1968" s="34"/>
      <c r="O1968" s="34"/>
      <c r="AA1968" s="35"/>
      <c r="AB1968" s="35"/>
      <c r="AC1968" s="34"/>
      <c r="AD1968" s="34"/>
      <c r="AE1968" s="34"/>
    </row>
    <row r="1969" spans="1:31" ht="15" thickBot="1" x14ac:dyDescent="0.4">
      <c r="A1969" s="45"/>
      <c r="B1969" s="45"/>
      <c r="C1969" s="46"/>
      <c r="D1969" s="47"/>
      <c r="E1969" s="47"/>
      <c r="F1969" s="47"/>
      <c r="G1969" s="47"/>
      <c r="H1969" s="47"/>
      <c r="I1969" s="47"/>
      <c r="J1969" s="47"/>
      <c r="K1969" s="47"/>
      <c r="L1969" s="47"/>
      <c r="M1969" s="47"/>
      <c r="N1969" s="47"/>
      <c r="O1969" s="47"/>
      <c r="P1969" s="47"/>
      <c r="Q1969" s="47"/>
      <c r="R1969" s="47"/>
      <c r="S1969" s="47"/>
      <c r="T1969" s="45"/>
      <c r="U1969" s="45"/>
      <c r="V1969" s="45"/>
      <c r="W1969" s="45"/>
      <c r="X1969" s="47"/>
      <c r="Y1969" s="45"/>
      <c r="Z1969" s="45"/>
      <c r="AA1969" s="48"/>
      <c r="AB1969" s="48"/>
      <c r="AC1969" s="47"/>
      <c r="AD1969" s="47"/>
      <c r="AE1969" s="47"/>
    </row>
    <row r="1970" spans="1:31" x14ac:dyDescent="0.35">
      <c r="A1970" s="41"/>
      <c r="B1970" s="41"/>
      <c r="C1970" s="42"/>
      <c r="D1970" s="43"/>
      <c r="E1970" s="43"/>
      <c r="F1970" s="43"/>
      <c r="G1970" s="43"/>
      <c r="H1970" s="43"/>
      <c r="I1970" s="43"/>
      <c r="J1970" s="43"/>
      <c r="K1970" s="43"/>
      <c r="L1970" s="43"/>
      <c r="M1970" s="43"/>
      <c r="N1970" s="43"/>
      <c r="O1970" s="43"/>
      <c r="P1970" s="43"/>
      <c r="Q1970" s="43"/>
      <c r="R1970" s="43"/>
      <c r="S1970" s="43"/>
      <c r="T1970" s="43"/>
      <c r="U1970" s="43"/>
      <c r="V1970" s="41"/>
      <c r="W1970" s="41"/>
      <c r="X1970" s="41"/>
      <c r="Y1970" s="41"/>
      <c r="Z1970" s="41"/>
      <c r="AA1970" s="44"/>
      <c r="AB1970" s="44"/>
      <c r="AC1970" s="43"/>
      <c r="AD1970" s="43"/>
      <c r="AE1970" s="43"/>
    </row>
    <row r="1971" spans="1:31" x14ac:dyDescent="0.35">
      <c r="C1971" s="33"/>
      <c r="D1971" s="34"/>
      <c r="E1971" s="34"/>
      <c r="F1971" s="34"/>
      <c r="G1971" s="34"/>
      <c r="H1971" s="34"/>
      <c r="I1971" s="34"/>
      <c r="J1971" s="34"/>
      <c r="K1971" s="34"/>
      <c r="L1971" s="34"/>
      <c r="M1971" s="34"/>
      <c r="N1971" s="34"/>
      <c r="O1971" s="34"/>
      <c r="AA1971" s="35"/>
      <c r="AB1971" s="35"/>
      <c r="AC1971" s="34"/>
      <c r="AD1971" s="34"/>
      <c r="AE1971" s="34"/>
    </row>
    <row r="1972" spans="1:31" ht="15" thickBot="1" x14ac:dyDescent="0.4">
      <c r="A1972" s="45"/>
      <c r="B1972" s="45"/>
      <c r="C1972" s="46"/>
      <c r="D1972" s="47"/>
      <c r="E1972" s="47"/>
      <c r="F1972" s="47"/>
      <c r="G1972" s="47"/>
      <c r="H1972" s="47"/>
      <c r="I1972" s="47"/>
      <c r="J1972" s="47"/>
      <c r="K1972" s="47"/>
      <c r="L1972" s="47"/>
      <c r="M1972" s="47"/>
      <c r="N1972" s="47"/>
      <c r="O1972" s="47"/>
      <c r="P1972" s="47"/>
      <c r="Q1972" s="47"/>
      <c r="R1972" s="47"/>
      <c r="S1972" s="47"/>
      <c r="T1972" s="45"/>
      <c r="U1972" s="45"/>
      <c r="V1972" s="45"/>
      <c r="W1972" s="45"/>
      <c r="X1972" s="47"/>
      <c r="Y1972" s="45"/>
      <c r="Z1972" s="45"/>
      <c r="AA1972" s="48"/>
      <c r="AB1972" s="48"/>
      <c r="AC1972" s="47"/>
      <c r="AD1972" s="47"/>
      <c r="AE1972" s="47"/>
    </row>
    <row r="1973" spans="1:31" x14ac:dyDescent="0.35">
      <c r="A1973" s="41"/>
      <c r="B1973" s="41"/>
      <c r="C1973" s="42"/>
      <c r="D1973" s="43"/>
      <c r="E1973" s="43"/>
      <c r="F1973" s="43"/>
      <c r="G1973" s="43"/>
      <c r="H1973" s="43"/>
      <c r="I1973" s="43"/>
      <c r="J1973" s="43"/>
      <c r="K1973" s="43"/>
      <c r="L1973" s="43"/>
      <c r="M1973" s="43"/>
      <c r="N1973" s="43"/>
      <c r="O1973" s="43"/>
      <c r="P1973" s="43"/>
      <c r="Q1973" s="43"/>
      <c r="R1973" s="43"/>
      <c r="S1973" s="43"/>
      <c r="T1973" s="43"/>
      <c r="U1973" s="43"/>
      <c r="V1973" s="41"/>
      <c r="W1973" s="41"/>
      <c r="X1973" s="41"/>
      <c r="Y1973" s="41"/>
      <c r="Z1973" s="41"/>
      <c r="AA1973" s="44"/>
      <c r="AB1973" s="44"/>
      <c r="AC1973" s="43"/>
      <c r="AD1973" s="43"/>
      <c r="AE1973" s="43"/>
    </row>
    <row r="1974" spans="1:31" x14ac:dyDescent="0.35">
      <c r="C1974" s="33"/>
      <c r="D1974" s="34"/>
      <c r="E1974" s="34"/>
      <c r="F1974" s="34"/>
      <c r="G1974" s="34"/>
      <c r="H1974" s="34"/>
      <c r="I1974" s="34"/>
      <c r="J1974" s="34"/>
      <c r="K1974" s="34"/>
      <c r="L1974" s="34"/>
      <c r="M1974" s="34"/>
      <c r="N1974" s="34"/>
      <c r="O1974" s="34"/>
      <c r="AA1974" s="35"/>
      <c r="AB1974" s="35"/>
      <c r="AC1974" s="34"/>
      <c r="AD1974" s="34"/>
      <c r="AE1974" s="34"/>
    </row>
    <row r="1975" spans="1:31" ht="15" thickBot="1" x14ac:dyDescent="0.4">
      <c r="A1975" s="45"/>
      <c r="B1975" s="45"/>
      <c r="C1975" s="46"/>
      <c r="D1975" s="47"/>
      <c r="E1975" s="47"/>
      <c r="F1975" s="47"/>
      <c r="G1975" s="47"/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  <c r="S1975" s="47"/>
      <c r="T1975" s="45"/>
      <c r="U1975" s="45"/>
      <c r="V1975" s="45"/>
      <c r="W1975" s="45"/>
      <c r="X1975" s="47"/>
      <c r="Y1975" s="45"/>
      <c r="Z1975" s="45"/>
      <c r="AA1975" s="48"/>
      <c r="AB1975" s="48"/>
      <c r="AC1975" s="47"/>
      <c r="AD1975" s="47"/>
      <c r="AE1975" s="47"/>
    </row>
    <row r="1976" spans="1:31" x14ac:dyDescent="0.35">
      <c r="A1976" s="41"/>
      <c r="B1976" s="41"/>
      <c r="C1976" s="42"/>
      <c r="D1976" s="43"/>
      <c r="E1976" s="43"/>
      <c r="F1976" s="43"/>
      <c r="G1976" s="43"/>
      <c r="H1976" s="43"/>
      <c r="I1976" s="43"/>
      <c r="J1976" s="43"/>
      <c r="K1976" s="43"/>
      <c r="L1976" s="43"/>
      <c r="M1976" s="43"/>
      <c r="N1976" s="43"/>
      <c r="O1976" s="43"/>
      <c r="P1976" s="43"/>
      <c r="Q1976" s="43"/>
      <c r="R1976" s="43"/>
      <c r="S1976" s="43"/>
      <c r="T1976" s="43"/>
      <c r="U1976" s="43"/>
      <c r="V1976" s="41"/>
      <c r="W1976" s="41"/>
      <c r="X1976" s="41"/>
      <c r="Y1976" s="41"/>
      <c r="Z1976" s="41"/>
      <c r="AA1976" s="44"/>
      <c r="AB1976" s="44"/>
      <c r="AC1976" s="43"/>
      <c r="AD1976" s="43"/>
      <c r="AE1976" s="43"/>
    </row>
    <row r="1977" spans="1:31" x14ac:dyDescent="0.35">
      <c r="C1977" s="33"/>
      <c r="D1977" s="34"/>
      <c r="E1977" s="34"/>
      <c r="F1977" s="34"/>
      <c r="G1977" s="34"/>
      <c r="H1977" s="34"/>
      <c r="I1977" s="34"/>
      <c r="J1977" s="34"/>
      <c r="K1977" s="34"/>
      <c r="L1977" s="34"/>
      <c r="M1977" s="34"/>
      <c r="N1977" s="34"/>
      <c r="O1977" s="34"/>
      <c r="AA1977" s="35"/>
      <c r="AB1977" s="35"/>
      <c r="AC1977" s="34"/>
      <c r="AD1977" s="34"/>
      <c r="AE1977" s="34"/>
    </row>
    <row r="1978" spans="1:31" ht="15" thickBot="1" x14ac:dyDescent="0.4">
      <c r="A1978" s="45"/>
      <c r="B1978" s="45"/>
      <c r="C1978" s="46"/>
      <c r="D1978" s="47"/>
      <c r="E1978" s="47"/>
      <c r="F1978" s="47"/>
      <c r="G1978" s="47"/>
      <c r="H1978" s="47"/>
      <c r="I1978" s="47"/>
      <c r="J1978" s="47"/>
      <c r="K1978" s="47"/>
      <c r="L1978" s="47"/>
      <c r="M1978" s="47"/>
      <c r="N1978" s="47"/>
      <c r="O1978" s="47"/>
      <c r="P1978" s="47"/>
      <c r="Q1978" s="47"/>
      <c r="R1978" s="47"/>
      <c r="S1978" s="47"/>
      <c r="T1978" s="45"/>
      <c r="U1978" s="45"/>
      <c r="V1978" s="45"/>
      <c r="W1978" s="45"/>
      <c r="X1978" s="47"/>
      <c r="Y1978" s="45"/>
      <c r="Z1978" s="45"/>
      <c r="AA1978" s="48"/>
      <c r="AB1978" s="48"/>
      <c r="AC1978" s="47"/>
      <c r="AD1978" s="47"/>
      <c r="AE1978" s="47"/>
    </row>
    <row r="1979" spans="1:31" x14ac:dyDescent="0.35">
      <c r="A1979" s="41"/>
      <c r="B1979" s="41"/>
      <c r="C1979" s="42"/>
      <c r="D1979" s="43"/>
      <c r="E1979" s="43"/>
      <c r="F1979" s="43"/>
      <c r="G1979" s="43"/>
      <c r="H1979" s="43"/>
      <c r="I1979" s="43"/>
      <c r="J1979" s="43"/>
      <c r="K1979" s="43"/>
      <c r="L1979" s="43"/>
      <c r="M1979" s="43"/>
      <c r="N1979" s="43"/>
      <c r="O1979" s="43"/>
      <c r="P1979" s="43"/>
      <c r="Q1979" s="43"/>
      <c r="R1979" s="43"/>
      <c r="S1979" s="43"/>
      <c r="T1979" s="43"/>
      <c r="U1979" s="43"/>
      <c r="V1979" s="41"/>
      <c r="W1979" s="41"/>
      <c r="X1979" s="41"/>
      <c r="Y1979" s="41"/>
      <c r="Z1979" s="41"/>
      <c r="AA1979" s="44"/>
      <c r="AB1979" s="44"/>
      <c r="AC1979" s="43"/>
      <c r="AD1979" s="43"/>
      <c r="AE1979" s="43"/>
    </row>
    <row r="1980" spans="1:31" x14ac:dyDescent="0.35">
      <c r="C1980" s="33"/>
      <c r="D1980" s="34"/>
      <c r="E1980" s="34"/>
      <c r="F1980" s="34"/>
      <c r="G1980" s="34"/>
      <c r="H1980" s="34"/>
      <c r="I1980" s="34"/>
      <c r="J1980" s="34"/>
      <c r="K1980" s="34"/>
      <c r="L1980" s="34"/>
      <c r="M1980" s="34"/>
      <c r="N1980" s="34"/>
      <c r="O1980" s="34"/>
      <c r="AA1980" s="35"/>
      <c r="AB1980" s="35"/>
      <c r="AC1980" s="34"/>
      <c r="AD1980" s="34"/>
      <c r="AE1980" s="34"/>
    </row>
    <row r="1981" spans="1:31" ht="15" thickBot="1" x14ac:dyDescent="0.4">
      <c r="A1981" s="45"/>
      <c r="B1981" s="45"/>
      <c r="C1981" s="46"/>
      <c r="D1981" s="47"/>
      <c r="E1981" s="47"/>
      <c r="F1981" s="47"/>
      <c r="G1981" s="47"/>
      <c r="H1981" s="47"/>
      <c r="I1981" s="47"/>
      <c r="J1981" s="47"/>
      <c r="K1981" s="47"/>
      <c r="L1981" s="47"/>
      <c r="M1981" s="47"/>
      <c r="N1981" s="47"/>
      <c r="O1981" s="47"/>
      <c r="P1981" s="47"/>
      <c r="Q1981" s="47"/>
      <c r="R1981" s="47"/>
      <c r="S1981" s="47"/>
      <c r="T1981" s="45"/>
      <c r="U1981" s="45"/>
      <c r="V1981" s="45"/>
      <c r="W1981" s="45"/>
      <c r="X1981" s="47"/>
      <c r="Y1981" s="45"/>
      <c r="Z1981" s="45"/>
      <c r="AA1981" s="48"/>
      <c r="AB1981" s="48"/>
      <c r="AC1981" s="47"/>
      <c r="AD1981" s="47"/>
      <c r="AE1981" s="47"/>
    </row>
    <row r="1982" spans="1:31" x14ac:dyDescent="0.35">
      <c r="A1982" s="41"/>
      <c r="B1982" s="41"/>
      <c r="C1982" s="42"/>
      <c r="D1982" s="43"/>
      <c r="E1982" s="43"/>
      <c r="F1982" s="43"/>
      <c r="G1982" s="43"/>
      <c r="H1982" s="43"/>
      <c r="I1982" s="43"/>
      <c r="J1982" s="43"/>
      <c r="K1982" s="43"/>
      <c r="L1982" s="43"/>
      <c r="M1982" s="43"/>
      <c r="N1982" s="43"/>
      <c r="O1982" s="43"/>
      <c r="P1982" s="43"/>
      <c r="Q1982" s="43"/>
      <c r="R1982" s="43"/>
      <c r="S1982" s="43"/>
      <c r="T1982" s="43"/>
      <c r="U1982" s="43"/>
      <c r="V1982" s="41"/>
      <c r="W1982" s="41"/>
      <c r="X1982" s="41"/>
      <c r="Y1982" s="41"/>
      <c r="Z1982" s="41"/>
      <c r="AA1982" s="44"/>
      <c r="AB1982" s="44"/>
      <c r="AC1982" s="43"/>
      <c r="AD1982" s="43"/>
      <c r="AE1982" s="43"/>
    </row>
    <row r="1983" spans="1:31" x14ac:dyDescent="0.35">
      <c r="C1983" s="33"/>
      <c r="D1983" s="34"/>
      <c r="E1983" s="34"/>
      <c r="F1983" s="34"/>
      <c r="G1983" s="34"/>
      <c r="H1983" s="34"/>
      <c r="I1983" s="34"/>
      <c r="J1983" s="34"/>
      <c r="K1983" s="34"/>
      <c r="L1983" s="34"/>
      <c r="M1983" s="34"/>
      <c r="N1983" s="34"/>
      <c r="O1983" s="34"/>
      <c r="AA1983" s="35"/>
      <c r="AB1983" s="35"/>
      <c r="AC1983" s="34"/>
      <c r="AD1983" s="34"/>
      <c r="AE1983" s="34"/>
    </row>
    <row r="1984" spans="1:31" ht="15" thickBot="1" x14ac:dyDescent="0.4">
      <c r="A1984" s="45"/>
      <c r="B1984" s="45"/>
      <c r="C1984" s="46"/>
      <c r="D1984" s="47"/>
      <c r="E1984" s="47"/>
      <c r="F1984" s="47"/>
      <c r="G1984" s="47"/>
      <c r="H1984" s="47"/>
      <c r="I1984" s="47"/>
      <c r="J1984" s="47"/>
      <c r="K1984" s="47"/>
      <c r="L1984" s="47"/>
      <c r="M1984" s="47"/>
      <c r="N1984" s="47"/>
      <c r="O1984" s="47"/>
      <c r="P1984" s="47"/>
      <c r="Q1984" s="47"/>
      <c r="R1984" s="47"/>
      <c r="S1984" s="47"/>
      <c r="T1984" s="45"/>
      <c r="U1984" s="45"/>
      <c r="V1984" s="45"/>
      <c r="W1984" s="45"/>
      <c r="X1984" s="47"/>
      <c r="Y1984" s="45"/>
      <c r="Z1984" s="45"/>
      <c r="AA1984" s="48"/>
      <c r="AB1984" s="48"/>
      <c r="AC1984" s="47"/>
      <c r="AD1984" s="47"/>
      <c r="AE1984" s="47"/>
    </row>
    <row r="1985" spans="1:31" x14ac:dyDescent="0.35">
      <c r="A1985" s="41"/>
      <c r="B1985" s="41"/>
      <c r="C1985" s="42"/>
      <c r="D1985" s="43"/>
      <c r="E1985" s="43"/>
      <c r="F1985" s="43"/>
      <c r="G1985" s="43"/>
      <c r="H1985" s="43"/>
      <c r="I1985" s="43"/>
      <c r="J1985" s="43"/>
      <c r="K1985" s="43"/>
      <c r="L1985" s="43"/>
      <c r="M1985" s="43"/>
      <c r="N1985" s="43"/>
      <c r="O1985" s="43"/>
      <c r="P1985" s="43"/>
      <c r="Q1985" s="43"/>
      <c r="R1985" s="43"/>
      <c r="S1985" s="43"/>
      <c r="T1985" s="43"/>
      <c r="U1985" s="43"/>
      <c r="V1985" s="41"/>
      <c r="W1985" s="41"/>
      <c r="X1985" s="41"/>
      <c r="Y1985" s="41"/>
      <c r="Z1985" s="41"/>
      <c r="AA1985" s="44"/>
      <c r="AB1985" s="44"/>
      <c r="AC1985" s="43"/>
      <c r="AD1985" s="43"/>
      <c r="AE1985" s="43"/>
    </row>
    <row r="1986" spans="1:31" x14ac:dyDescent="0.35">
      <c r="C1986" s="33"/>
      <c r="D1986" s="34"/>
      <c r="E1986" s="34"/>
      <c r="F1986" s="34"/>
      <c r="G1986" s="34"/>
      <c r="H1986" s="34"/>
      <c r="I1986" s="34"/>
      <c r="J1986" s="34"/>
      <c r="K1986" s="34"/>
      <c r="L1986" s="34"/>
      <c r="M1986" s="34"/>
      <c r="N1986" s="34"/>
      <c r="O1986" s="34"/>
      <c r="AA1986" s="35"/>
      <c r="AB1986" s="35"/>
      <c r="AC1986" s="34"/>
      <c r="AD1986" s="34"/>
      <c r="AE1986" s="34"/>
    </row>
    <row r="1987" spans="1:31" ht="15" thickBot="1" x14ac:dyDescent="0.4">
      <c r="A1987" s="45"/>
      <c r="B1987" s="45"/>
      <c r="C1987" s="46"/>
      <c r="D1987" s="47"/>
      <c r="E1987" s="47"/>
      <c r="F1987" s="47"/>
      <c r="G1987" s="47"/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  <c r="S1987" s="47"/>
      <c r="T1987" s="45"/>
      <c r="U1987" s="45"/>
      <c r="V1987" s="45"/>
      <c r="W1987" s="45"/>
      <c r="X1987" s="47"/>
      <c r="Y1987" s="45"/>
      <c r="Z1987" s="45"/>
      <c r="AA1987" s="48"/>
      <c r="AB1987" s="48"/>
      <c r="AC1987" s="47"/>
      <c r="AD1987" s="47"/>
      <c r="AE1987" s="47"/>
    </row>
    <row r="1988" spans="1:31" x14ac:dyDescent="0.35">
      <c r="A1988" s="41"/>
      <c r="B1988" s="41"/>
      <c r="C1988" s="42"/>
      <c r="D1988" s="43"/>
      <c r="E1988" s="43"/>
      <c r="F1988" s="43"/>
      <c r="G1988" s="43"/>
      <c r="H1988" s="43"/>
      <c r="I1988" s="43"/>
      <c r="J1988" s="43"/>
      <c r="K1988" s="43"/>
      <c r="L1988" s="43"/>
      <c r="M1988" s="43"/>
      <c r="N1988" s="43"/>
      <c r="O1988" s="43"/>
      <c r="P1988" s="43"/>
      <c r="Q1988" s="43"/>
      <c r="R1988" s="43"/>
      <c r="S1988" s="43"/>
      <c r="T1988" s="43"/>
      <c r="U1988" s="43"/>
      <c r="V1988" s="41"/>
      <c r="W1988" s="41"/>
      <c r="X1988" s="41"/>
      <c r="Y1988" s="41"/>
      <c r="Z1988" s="41"/>
      <c r="AA1988" s="44"/>
      <c r="AB1988" s="44"/>
      <c r="AC1988" s="43"/>
      <c r="AD1988" s="43"/>
      <c r="AE1988" s="43"/>
    </row>
    <row r="1989" spans="1:31" x14ac:dyDescent="0.35">
      <c r="C1989" s="33"/>
      <c r="D1989" s="34"/>
      <c r="E1989" s="34"/>
      <c r="F1989" s="34"/>
      <c r="G1989" s="34"/>
      <c r="H1989" s="34"/>
      <c r="I1989" s="34"/>
      <c r="J1989" s="34"/>
      <c r="K1989" s="34"/>
      <c r="L1989" s="34"/>
      <c r="M1989" s="34"/>
      <c r="N1989" s="34"/>
      <c r="O1989" s="34"/>
      <c r="AA1989" s="35"/>
      <c r="AB1989" s="35"/>
      <c r="AC1989" s="34"/>
      <c r="AD1989" s="34"/>
      <c r="AE1989" s="34"/>
    </row>
    <row r="1990" spans="1:31" ht="15" thickBot="1" x14ac:dyDescent="0.4">
      <c r="A1990" s="45"/>
      <c r="B1990" s="45"/>
      <c r="C1990" s="46"/>
      <c r="D1990" s="47"/>
      <c r="E1990" s="47"/>
      <c r="F1990" s="47"/>
      <c r="G1990" s="47"/>
      <c r="H1990" s="47"/>
      <c r="I1990" s="47"/>
      <c r="J1990" s="47"/>
      <c r="K1990" s="47"/>
      <c r="L1990" s="47"/>
      <c r="M1990" s="47"/>
      <c r="N1990" s="47"/>
      <c r="O1990" s="47"/>
      <c r="P1990" s="47"/>
      <c r="Q1990" s="47"/>
      <c r="R1990" s="47"/>
      <c r="S1990" s="47"/>
      <c r="T1990" s="45"/>
      <c r="U1990" s="45"/>
      <c r="V1990" s="45"/>
      <c r="W1990" s="45"/>
      <c r="X1990" s="47"/>
      <c r="Y1990" s="45"/>
      <c r="Z1990" s="45"/>
      <c r="AA1990" s="48"/>
      <c r="AB1990" s="48"/>
      <c r="AC1990" s="47"/>
      <c r="AD1990" s="47"/>
      <c r="AE1990" s="47"/>
    </row>
    <row r="1991" spans="1:31" x14ac:dyDescent="0.35">
      <c r="A1991" s="41"/>
      <c r="B1991" s="41"/>
      <c r="C1991" s="42"/>
      <c r="D1991" s="43"/>
      <c r="E1991" s="43"/>
      <c r="F1991" s="43"/>
      <c r="G1991" s="43"/>
      <c r="H1991" s="43"/>
      <c r="I1991" s="43"/>
      <c r="J1991" s="43"/>
      <c r="K1991" s="43"/>
      <c r="L1991" s="43"/>
      <c r="M1991" s="43"/>
      <c r="N1991" s="43"/>
      <c r="O1991" s="43"/>
      <c r="P1991" s="43"/>
      <c r="Q1991" s="43"/>
      <c r="R1991" s="43"/>
      <c r="S1991" s="43"/>
      <c r="T1991" s="43"/>
      <c r="U1991" s="43"/>
      <c r="V1991" s="41"/>
      <c r="W1991" s="41"/>
      <c r="X1991" s="41"/>
      <c r="Y1991" s="41"/>
      <c r="Z1991" s="41"/>
      <c r="AA1991" s="44"/>
      <c r="AB1991" s="44"/>
      <c r="AC1991" s="43"/>
      <c r="AD1991" s="43"/>
      <c r="AE1991" s="43"/>
    </row>
    <row r="1992" spans="1:31" x14ac:dyDescent="0.35">
      <c r="C1992" s="33"/>
      <c r="D1992" s="34"/>
      <c r="E1992" s="34"/>
      <c r="F1992" s="34"/>
      <c r="G1992" s="34"/>
      <c r="H1992" s="34"/>
      <c r="I1992" s="34"/>
      <c r="J1992" s="34"/>
      <c r="K1992" s="34"/>
      <c r="L1992" s="34"/>
      <c r="M1992" s="34"/>
      <c r="N1992" s="34"/>
      <c r="O1992" s="34"/>
      <c r="AA1992" s="35"/>
      <c r="AB1992" s="35"/>
      <c r="AC1992" s="34"/>
      <c r="AD1992" s="34"/>
      <c r="AE1992" s="34"/>
    </row>
    <row r="1993" spans="1:31" ht="15" thickBot="1" x14ac:dyDescent="0.4">
      <c r="A1993" s="45"/>
      <c r="B1993" s="45"/>
      <c r="C1993" s="46"/>
      <c r="D1993" s="47"/>
      <c r="E1993" s="47"/>
      <c r="F1993" s="47"/>
      <c r="G1993" s="47"/>
      <c r="H1993" s="47"/>
      <c r="I1993" s="47"/>
      <c r="J1993" s="47"/>
      <c r="K1993" s="47"/>
      <c r="L1993" s="47"/>
      <c r="M1993" s="47"/>
      <c r="N1993" s="47"/>
      <c r="O1993" s="47"/>
      <c r="P1993" s="47"/>
      <c r="Q1993" s="47"/>
      <c r="R1993" s="47"/>
      <c r="S1993" s="47"/>
      <c r="T1993" s="45"/>
      <c r="U1993" s="45"/>
      <c r="V1993" s="45"/>
      <c r="W1993" s="45"/>
      <c r="X1993" s="47"/>
      <c r="Y1993" s="45"/>
      <c r="Z1993" s="45"/>
      <c r="AA1993" s="48"/>
      <c r="AB1993" s="48"/>
      <c r="AC1993" s="47"/>
      <c r="AD1993" s="47"/>
      <c r="AE1993" s="47"/>
    </row>
    <row r="1994" spans="1:31" x14ac:dyDescent="0.35">
      <c r="A1994" s="41"/>
      <c r="B1994" s="41"/>
      <c r="C1994" s="42"/>
      <c r="D1994" s="43"/>
      <c r="E1994" s="43"/>
      <c r="F1994" s="43"/>
      <c r="G1994" s="43"/>
      <c r="H1994" s="43"/>
      <c r="I1994" s="43"/>
      <c r="J1994" s="43"/>
      <c r="K1994" s="43"/>
      <c r="L1994" s="43"/>
      <c r="M1994" s="43"/>
      <c r="N1994" s="43"/>
      <c r="O1994" s="43"/>
      <c r="P1994" s="43"/>
      <c r="Q1994" s="43"/>
      <c r="R1994" s="43"/>
      <c r="S1994" s="43"/>
      <c r="T1994" s="43"/>
      <c r="U1994" s="43"/>
      <c r="V1994" s="41"/>
      <c r="W1994" s="41"/>
      <c r="X1994" s="41"/>
      <c r="Y1994" s="41"/>
      <c r="Z1994" s="41"/>
      <c r="AA1994" s="44"/>
      <c r="AB1994" s="44"/>
      <c r="AC1994" s="43"/>
      <c r="AD1994" s="43"/>
      <c r="AE1994" s="43"/>
    </row>
    <row r="1995" spans="1:31" x14ac:dyDescent="0.35">
      <c r="C1995" s="33"/>
      <c r="D1995" s="34"/>
      <c r="E1995" s="34"/>
      <c r="F1995" s="34"/>
      <c r="G1995" s="34"/>
      <c r="H1995" s="34"/>
      <c r="I1995" s="34"/>
      <c r="J1995" s="34"/>
      <c r="K1995" s="34"/>
      <c r="L1995" s="34"/>
      <c r="M1995" s="34"/>
      <c r="N1995" s="34"/>
      <c r="O1995" s="34"/>
      <c r="AA1995" s="35"/>
      <c r="AB1995" s="35"/>
      <c r="AC1995" s="34"/>
      <c r="AD1995" s="34"/>
      <c r="AE1995" s="34"/>
    </row>
    <row r="1996" spans="1:31" ht="15" thickBot="1" x14ac:dyDescent="0.4">
      <c r="A1996" s="45"/>
      <c r="B1996" s="45"/>
      <c r="C1996" s="46"/>
      <c r="D1996" s="47"/>
      <c r="E1996" s="47"/>
      <c r="F1996" s="47"/>
      <c r="G1996" s="47"/>
      <c r="H1996" s="47"/>
      <c r="I1996" s="47"/>
      <c r="J1996" s="47"/>
      <c r="K1996" s="47"/>
      <c r="L1996" s="47"/>
      <c r="M1996" s="47"/>
      <c r="N1996" s="47"/>
      <c r="O1996" s="47"/>
      <c r="P1996" s="47"/>
      <c r="Q1996" s="47"/>
      <c r="R1996" s="47"/>
      <c r="S1996" s="47"/>
      <c r="T1996" s="45"/>
      <c r="U1996" s="45"/>
      <c r="V1996" s="45"/>
      <c r="W1996" s="45"/>
      <c r="X1996" s="47"/>
      <c r="Y1996" s="45"/>
      <c r="Z1996" s="45"/>
      <c r="AA1996" s="48"/>
      <c r="AB1996" s="48"/>
      <c r="AC1996" s="47"/>
      <c r="AD1996" s="47"/>
      <c r="AE1996" s="47"/>
    </row>
    <row r="1997" spans="1:31" x14ac:dyDescent="0.35">
      <c r="A1997" s="41"/>
      <c r="B1997" s="41"/>
      <c r="C1997" s="42"/>
      <c r="D1997" s="43"/>
      <c r="E1997" s="43"/>
      <c r="F1997" s="43"/>
      <c r="G1997" s="43"/>
      <c r="H1997" s="43"/>
      <c r="I1997" s="43"/>
      <c r="J1997" s="43"/>
      <c r="K1997" s="43"/>
      <c r="L1997" s="43"/>
      <c r="M1997" s="43"/>
      <c r="N1997" s="43"/>
      <c r="O1997" s="43"/>
      <c r="P1997" s="43"/>
      <c r="Q1997" s="43"/>
      <c r="R1997" s="43"/>
      <c r="S1997" s="43"/>
      <c r="T1997" s="43"/>
      <c r="U1997" s="43"/>
      <c r="V1997" s="41"/>
      <c r="W1997" s="41"/>
      <c r="X1997" s="41"/>
      <c r="Y1997" s="41"/>
      <c r="Z1997" s="41"/>
      <c r="AA1997" s="44"/>
      <c r="AB1997" s="44"/>
      <c r="AC1997" s="43"/>
      <c r="AD1997" s="43"/>
      <c r="AE1997" s="43"/>
    </row>
    <row r="1998" spans="1:31" x14ac:dyDescent="0.35">
      <c r="C1998" s="33"/>
      <c r="D1998" s="34"/>
      <c r="E1998" s="34"/>
      <c r="F1998" s="34"/>
      <c r="G1998" s="34"/>
      <c r="H1998" s="34"/>
      <c r="I1998" s="34"/>
      <c r="J1998" s="34"/>
      <c r="K1998" s="34"/>
      <c r="L1998" s="34"/>
      <c r="M1998" s="34"/>
      <c r="N1998" s="34"/>
      <c r="O1998" s="34"/>
      <c r="AA1998" s="35"/>
      <c r="AB1998" s="35"/>
      <c r="AC1998" s="34"/>
      <c r="AD1998" s="34"/>
      <c r="AE1998" s="34"/>
    </row>
    <row r="1999" spans="1:31" ht="15" thickBot="1" x14ac:dyDescent="0.4">
      <c r="A1999" s="45"/>
      <c r="B1999" s="45"/>
      <c r="C1999" s="46"/>
      <c r="D1999" s="47"/>
      <c r="E1999" s="47"/>
      <c r="F1999" s="47"/>
      <c r="G1999" s="47"/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/>
      <c r="S1999" s="47"/>
      <c r="T1999" s="45"/>
      <c r="U1999" s="45"/>
      <c r="V1999" s="45"/>
      <c r="W1999" s="45"/>
      <c r="X1999" s="47"/>
      <c r="Y1999" s="45"/>
      <c r="Z1999" s="45"/>
      <c r="AA1999" s="48"/>
      <c r="AB1999" s="48"/>
      <c r="AC1999" s="47"/>
      <c r="AD1999" s="47"/>
      <c r="AE1999" s="47"/>
    </row>
    <row r="2000" spans="1:31" x14ac:dyDescent="0.35">
      <c r="A2000" s="41"/>
      <c r="B2000" s="41"/>
      <c r="C2000" s="42"/>
      <c r="D2000" s="43"/>
      <c r="E2000" s="43"/>
      <c r="F2000" s="43"/>
      <c r="G2000" s="43"/>
      <c r="H2000" s="43"/>
      <c r="I2000" s="43"/>
      <c r="J2000" s="43"/>
      <c r="K2000" s="43"/>
      <c r="L2000" s="43"/>
      <c r="M2000" s="43"/>
      <c r="N2000" s="43"/>
      <c r="O2000" s="43"/>
      <c r="P2000" s="43"/>
      <c r="Q2000" s="43"/>
      <c r="R2000" s="43"/>
      <c r="S2000" s="43"/>
      <c r="T2000" s="43"/>
      <c r="U2000" s="43"/>
      <c r="V2000" s="41"/>
      <c r="W2000" s="41"/>
      <c r="X2000" s="41"/>
      <c r="Y2000" s="41"/>
      <c r="Z2000" s="41"/>
      <c r="AA2000" s="44"/>
      <c r="AB2000" s="44"/>
      <c r="AC2000" s="43"/>
      <c r="AD2000" s="43"/>
      <c r="AE2000" s="43"/>
    </row>
    <row r="2001" spans="1:31" x14ac:dyDescent="0.35">
      <c r="C2001" s="33"/>
      <c r="D2001" s="34"/>
      <c r="E2001" s="34"/>
      <c r="F2001" s="34"/>
      <c r="G2001" s="34"/>
      <c r="H2001" s="34"/>
      <c r="I2001" s="34"/>
      <c r="J2001" s="34"/>
      <c r="K2001" s="34"/>
      <c r="L2001" s="34"/>
      <c r="M2001" s="34"/>
      <c r="N2001" s="34"/>
      <c r="O2001" s="34"/>
      <c r="AA2001" s="35"/>
      <c r="AB2001" s="35"/>
      <c r="AC2001" s="34"/>
      <c r="AD2001" s="34"/>
      <c r="AE2001" s="34"/>
    </row>
    <row r="2002" spans="1:31" ht="15" thickBot="1" x14ac:dyDescent="0.4">
      <c r="A2002" s="45"/>
      <c r="B2002" s="45"/>
      <c r="C2002" s="46"/>
      <c r="D2002" s="47"/>
      <c r="E2002" s="47"/>
      <c r="F2002" s="47"/>
      <c r="G2002" s="47"/>
      <c r="H2002" s="47"/>
      <c r="I2002" s="47"/>
      <c r="J2002" s="47"/>
      <c r="K2002" s="47"/>
      <c r="L2002" s="47"/>
      <c r="M2002" s="47"/>
      <c r="N2002" s="47"/>
      <c r="O2002" s="47"/>
      <c r="P2002" s="47"/>
      <c r="Q2002" s="47"/>
      <c r="R2002" s="47"/>
      <c r="S2002" s="47"/>
      <c r="T2002" s="45"/>
      <c r="U2002" s="45"/>
      <c r="V2002" s="45"/>
      <c r="W2002" s="45"/>
      <c r="X2002" s="47"/>
      <c r="Y2002" s="45"/>
      <c r="Z2002" s="45"/>
      <c r="AA2002" s="48"/>
      <c r="AB2002" s="48"/>
      <c r="AC2002" s="47"/>
      <c r="AD2002" s="47"/>
      <c r="AE2002" s="47"/>
    </row>
    <row r="2003" spans="1:31" x14ac:dyDescent="0.35">
      <c r="A2003" s="41"/>
      <c r="B2003" s="41"/>
      <c r="C2003" s="42"/>
      <c r="D2003" s="43"/>
      <c r="E2003" s="43"/>
      <c r="F2003" s="43"/>
      <c r="G2003" s="43"/>
      <c r="H2003" s="43"/>
      <c r="I2003" s="43"/>
      <c r="J2003" s="43"/>
      <c r="K2003" s="43"/>
      <c r="L2003" s="43"/>
      <c r="M2003" s="43"/>
      <c r="N2003" s="43"/>
      <c r="O2003" s="43"/>
      <c r="P2003" s="43"/>
      <c r="Q2003" s="43"/>
      <c r="R2003" s="43"/>
      <c r="S2003" s="43"/>
      <c r="T2003" s="43"/>
      <c r="U2003" s="43"/>
      <c r="V2003" s="41"/>
      <c r="W2003" s="41"/>
      <c r="X2003" s="41"/>
      <c r="Y2003" s="41"/>
      <c r="Z2003" s="41"/>
      <c r="AA2003" s="44"/>
      <c r="AB2003" s="44"/>
      <c r="AC2003" s="43"/>
      <c r="AD2003" s="43"/>
      <c r="AE2003" s="43"/>
    </row>
    <row r="2004" spans="1:31" x14ac:dyDescent="0.35">
      <c r="C2004" s="33"/>
      <c r="D2004" s="34"/>
      <c r="E2004" s="34"/>
      <c r="F2004" s="34"/>
      <c r="G2004" s="34"/>
      <c r="H2004" s="34"/>
      <c r="I2004" s="34"/>
      <c r="J2004" s="34"/>
      <c r="K2004" s="34"/>
      <c r="L2004" s="34"/>
      <c r="M2004" s="34"/>
      <c r="N2004" s="34"/>
      <c r="O2004" s="34"/>
      <c r="AA2004" s="35"/>
      <c r="AB2004" s="35"/>
      <c r="AC2004" s="34"/>
      <c r="AD2004" s="34"/>
      <c r="AE2004" s="34"/>
    </row>
    <row r="2005" spans="1:31" ht="15" thickBot="1" x14ac:dyDescent="0.4">
      <c r="A2005" s="45"/>
      <c r="B2005" s="45"/>
      <c r="C2005" s="46"/>
      <c r="D2005" s="47"/>
      <c r="E2005" s="47"/>
      <c r="F2005" s="47"/>
      <c r="G2005" s="47"/>
      <c r="H2005" s="47"/>
      <c r="I2005" s="47"/>
      <c r="J2005" s="47"/>
      <c r="K2005" s="47"/>
      <c r="L2005" s="47"/>
      <c r="M2005" s="47"/>
      <c r="N2005" s="47"/>
      <c r="O2005" s="47"/>
      <c r="P2005" s="47"/>
      <c r="Q2005" s="47"/>
      <c r="R2005" s="47"/>
      <c r="S2005" s="47"/>
      <c r="T2005" s="45"/>
      <c r="U2005" s="45"/>
      <c r="V2005" s="45"/>
      <c r="W2005" s="45"/>
      <c r="X2005" s="47"/>
      <c r="Y2005" s="45"/>
      <c r="Z2005" s="45"/>
      <c r="AA2005" s="48"/>
      <c r="AB2005" s="48"/>
      <c r="AC2005" s="47"/>
      <c r="AD2005" s="47"/>
      <c r="AE2005" s="47"/>
    </row>
    <row r="2006" spans="1:31" x14ac:dyDescent="0.35">
      <c r="A2006" s="41"/>
      <c r="B2006" s="41"/>
      <c r="C2006" s="42"/>
      <c r="D2006" s="43"/>
      <c r="E2006" s="43"/>
      <c r="F2006" s="43"/>
      <c r="G2006" s="43"/>
      <c r="H2006" s="43"/>
      <c r="I2006" s="43"/>
      <c r="J2006" s="43"/>
      <c r="K2006" s="43"/>
      <c r="L2006" s="43"/>
      <c r="M2006" s="43"/>
      <c r="N2006" s="43"/>
      <c r="O2006" s="43"/>
      <c r="P2006" s="43"/>
      <c r="Q2006" s="43"/>
      <c r="R2006" s="43"/>
      <c r="S2006" s="43"/>
      <c r="T2006" s="43"/>
      <c r="U2006" s="43"/>
      <c r="V2006" s="41"/>
      <c r="W2006" s="41"/>
      <c r="X2006" s="41"/>
      <c r="Y2006" s="41"/>
      <c r="Z2006" s="41"/>
      <c r="AA2006" s="44"/>
      <c r="AB2006" s="44"/>
      <c r="AC2006" s="43"/>
      <c r="AD2006" s="43"/>
      <c r="AE2006" s="43"/>
    </row>
    <row r="2007" spans="1:31" x14ac:dyDescent="0.35">
      <c r="C2007" s="33"/>
      <c r="D2007" s="34"/>
      <c r="E2007" s="34"/>
      <c r="F2007" s="34"/>
      <c r="G2007" s="34"/>
      <c r="H2007" s="34"/>
      <c r="I2007" s="34"/>
      <c r="J2007" s="34"/>
      <c r="K2007" s="34"/>
      <c r="L2007" s="34"/>
      <c r="M2007" s="34"/>
      <c r="N2007" s="34"/>
      <c r="O2007" s="34"/>
      <c r="AA2007" s="35"/>
      <c r="AB2007" s="35"/>
      <c r="AC2007" s="34"/>
      <c r="AD2007" s="34"/>
      <c r="AE2007" s="34"/>
    </row>
    <row r="2008" spans="1:31" ht="15" thickBot="1" x14ac:dyDescent="0.4">
      <c r="A2008" s="45"/>
      <c r="B2008" s="45"/>
      <c r="C2008" s="46"/>
      <c r="D2008" s="47"/>
      <c r="E2008" s="47"/>
      <c r="F2008" s="47"/>
      <c r="G2008" s="47"/>
      <c r="H2008" s="47"/>
      <c r="I2008" s="47"/>
      <c r="J2008" s="47"/>
      <c r="K2008" s="47"/>
      <c r="L2008" s="47"/>
      <c r="M2008" s="47"/>
      <c r="N2008" s="47"/>
      <c r="O2008" s="47"/>
      <c r="P2008" s="47"/>
      <c r="Q2008" s="47"/>
      <c r="R2008" s="47"/>
      <c r="S2008" s="47"/>
      <c r="T2008" s="45"/>
      <c r="U2008" s="45"/>
      <c r="V2008" s="45"/>
      <c r="W2008" s="45"/>
      <c r="X2008" s="47"/>
      <c r="Y2008" s="45"/>
      <c r="Z2008" s="45"/>
      <c r="AA2008" s="48"/>
      <c r="AB2008" s="48"/>
      <c r="AC2008" s="47"/>
      <c r="AD2008" s="47"/>
      <c r="AE2008" s="47"/>
    </row>
    <row r="2009" spans="1:31" x14ac:dyDescent="0.35">
      <c r="A2009" s="41"/>
      <c r="B2009" s="41"/>
      <c r="C2009" s="42"/>
      <c r="D2009" s="43"/>
      <c r="E2009" s="43"/>
      <c r="F2009" s="43"/>
      <c r="G2009" s="43"/>
      <c r="H2009" s="43"/>
      <c r="I2009" s="43"/>
      <c r="J2009" s="43"/>
      <c r="K2009" s="43"/>
      <c r="L2009" s="43"/>
      <c r="M2009" s="43"/>
      <c r="N2009" s="43"/>
      <c r="O2009" s="43"/>
      <c r="P2009" s="43"/>
      <c r="Q2009" s="43"/>
      <c r="R2009" s="43"/>
      <c r="S2009" s="43"/>
      <c r="T2009" s="43"/>
      <c r="U2009" s="43"/>
      <c r="V2009" s="41"/>
      <c r="W2009" s="41"/>
      <c r="X2009" s="41"/>
      <c r="Y2009" s="41"/>
      <c r="Z2009" s="41"/>
      <c r="AA2009" s="44"/>
      <c r="AB2009" s="44"/>
      <c r="AC2009" s="43"/>
      <c r="AD2009" s="43"/>
      <c r="AE2009" s="43"/>
    </row>
    <row r="2010" spans="1:31" x14ac:dyDescent="0.35">
      <c r="C2010" s="33"/>
      <c r="D2010" s="34"/>
      <c r="E2010" s="34"/>
      <c r="F2010" s="34"/>
      <c r="G2010" s="34"/>
      <c r="H2010" s="34"/>
      <c r="I2010" s="34"/>
      <c r="J2010" s="34"/>
      <c r="K2010" s="34"/>
      <c r="L2010" s="34"/>
      <c r="M2010" s="34"/>
      <c r="N2010" s="34"/>
      <c r="O2010" s="34"/>
      <c r="AA2010" s="35"/>
      <c r="AB2010" s="35"/>
      <c r="AC2010" s="34"/>
      <c r="AD2010" s="34"/>
      <c r="AE2010" s="34"/>
    </row>
    <row r="2011" spans="1:31" ht="15" thickBot="1" x14ac:dyDescent="0.4">
      <c r="A2011" s="45"/>
      <c r="B2011" s="45"/>
      <c r="C2011" s="46"/>
      <c r="D2011" s="47"/>
      <c r="E2011" s="47"/>
      <c r="F2011" s="47"/>
      <c r="G2011" s="47"/>
      <c r="H2011" s="47"/>
      <c r="I2011" s="47"/>
      <c r="J2011" s="47"/>
      <c r="K2011" s="47"/>
      <c r="L2011" s="47"/>
      <c r="M2011" s="47"/>
      <c r="N2011" s="47"/>
      <c r="O2011" s="47"/>
      <c r="P2011" s="47"/>
      <c r="Q2011" s="47"/>
      <c r="R2011" s="47"/>
      <c r="S2011" s="47"/>
      <c r="T2011" s="45"/>
      <c r="U2011" s="45"/>
      <c r="V2011" s="45"/>
      <c r="W2011" s="45"/>
      <c r="X2011" s="47"/>
      <c r="Y2011" s="45"/>
      <c r="Z2011" s="45"/>
      <c r="AA2011" s="48"/>
      <c r="AB2011" s="48"/>
      <c r="AC2011" s="47"/>
      <c r="AD2011" s="47"/>
      <c r="AE2011" s="47"/>
    </row>
    <row r="2012" spans="1:31" x14ac:dyDescent="0.35">
      <c r="A2012" s="41"/>
      <c r="B2012" s="41"/>
      <c r="C2012" s="42"/>
      <c r="D2012" s="43"/>
      <c r="E2012" s="43"/>
      <c r="F2012" s="43"/>
      <c r="G2012" s="43"/>
      <c r="H2012" s="43"/>
      <c r="I2012" s="43"/>
      <c r="J2012" s="43"/>
      <c r="K2012" s="43"/>
      <c r="L2012" s="43"/>
      <c r="M2012" s="43"/>
      <c r="N2012" s="43"/>
      <c r="O2012" s="43"/>
      <c r="P2012" s="43"/>
      <c r="Q2012" s="43"/>
      <c r="R2012" s="43"/>
      <c r="S2012" s="43"/>
      <c r="T2012" s="43"/>
      <c r="U2012" s="43"/>
      <c r="V2012" s="41"/>
      <c r="W2012" s="41"/>
      <c r="X2012" s="41"/>
      <c r="Y2012" s="41"/>
      <c r="Z2012" s="41"/>
      <c r="AA2012" s="44"/>
      <c r="AB2012" s="44"/>
      <c r="AC2012" s="43"/>
      <c r="AD2012" s="43"/>
      <c r="AE2012" s="43"/>
    </row>
    <row r="2013" spans="1:31" x14ac:dyDescent="0.35">
      <c r="C2013" s="33"/>
      <c r="D2013" s="34"/>
      <c r="E2013" s="34"/>
      <c r="F2013" s="34"/>
      <c r="G2013" s="34"/>
      <c r="H2013" s="34"/>
      <c r="I2013" s="34"/>
      <c r="J2013" s="34"/>
      <c r="K2013" s="34"/>
      <c r="L2013" s="34"/>
      <c r="M2013" s="34"/>
      <c r="N2013" s="34"/>
      <c r="O2013" s="34"/>
      <c r="AA2013" s="35"/>
      <c r="AB2013" s="35"/>
      <c r="AC2013" s="34"/>
      <c r="AD2013" s="34"/>
      <c r="AE2013" s="34"/>
    </row>
    <row r="2014" spans="1:31" ht="15" thickBot="1" x14ac:dyDescent="0.4">
      <c r="A2014" s="45"/>
      <c r="B2014" s="45"/>
      <c r="C2014" s="46"/>
      <c r="D2014" s="47"/>
      <c r="E2014" s="47"/>
      <c r="F2014" s="47"/>
      <c r="G2014" s="47"/>
      <c r="H2014" s="47"/>
      <c r="I2014" s="47"/>
      <c r="J2014" s="47"/>
      <c r="K2014" s="47"/>
      <c r="L2014" s="47"/>
      <c r="M2014" s="47"/>
      <c r="N2014" s="47"/>
      <c r="O2014" s="47"/>
      <c r="P2014" s="47"/>
      <c r="Q2014" s="47"/>
      <c r="R2014" s="47"/>
      <c r="S2014" s="47"/>
      <c r="T2014" s="45"/>
      <c r="U2014" s="45"/>
      <c r="V2014" s="45"/>
      <c r="W2014" s="45"/>
      <c r="X2014" s="47"/>
      <c r="Y2014" s="45"/>
      <c r="Z2014" s="45"/>
      <c r="AA2014" s="48"/>
      <c r="AB2014" s="48"/>
      <c r="AC2014" s="47"/>
      <c r="AD2014" s="47"/>
      <c r="AE2014" s="47"/>
    </row>
    <row r="2015" spans="1:31" x14ac:dyDescent="0.35">
      <c r="A2015" s="41"/>
      <c r="B2015" s="41"/>
      <c r="C2015" s="42"/>
      <c r="D2015" s="43"/>
      <c r="E2015" s="43"/>
      <c r="F2015" s="43"/>
      <c r="G2015" s="43"/>
      <c r="H2015" s="43"/>
      <c r="I2015" s="43"/>
      <c r="J2015" s="43"/>
      <c r="K2015" s="43"/>
      <c r="L2015" s="43"/>
      <c r="M2015" s="43"/>
      <c r="N2015" s="43"/>
      <c r="O2015" s="43"/>
      <c r="P2015" s="43"/>
      <c r="Q2015" s="43"/>
      <c r="R2015" s="43"/>
      <c r="S2015" s="43"/>
      <c r="T2015" s="43"/>
      <c r="U2015" s="43"/>
      <c r="V2015" s="41"/>
      <c r="W2015" s="41"/>
      <c r="X2015" s="41"/>
      <c r="Y2015" s="41"/>
      <c r="Z2015" s="41"/>
      <c r="AA2015" s="44"/>
      <c r="AB2015" s="44"/>
      <c r="AC2015" s="43"/>
      <c r="AD2015" s="43"/>
      <c r="AE2015" s="43"/>
    </row>
    <row r="2016" spans="1:31" x14ac:dyDescent="0.35">
      <c r="C2016" s="33"/>
      <c r="D2016" s="34"/>
      <c r="E2016" s="34"/>
      <c r="F2016" s="34"/>
      <c r="G2016" s="34"/>
      <c r="H2016" s="34"/>
      <c r="I2016" s="34"/>
      <c r="J2016" s="34"/>
      <c r="K2016" s="34"/>
      <c r="L2016" s="34"/>
      <c r="M2016" s="34"/>
      <c r="N2016" s="34"/>
      <c r="O2016" s="34"/>
      <c r="AA2016" s="35"/>
      <c r="AB2016" s="35"/>
      <c r="AC2016" s="34"/>
      <c r="AD2016" s="34"/>
      <c r="AE2016" s="34"/>
    </row>
    <row r="2017" spans="1:31" ht="15" thickBot="1" x14ac:dyDescent="0.4">
      <c r="A2017" s="45"/>
      <c r="B2017" s="45"/>
      <c r="C2017" s="46"/>
      <c r="D2017" s="47"/>
      <c r="E2017" s="47"/>
      <c r="F2017" s="47"/>
      <c r="G2017" s="47"/>
      <c r="H2017" s="47"/>
      <c r="I2017" s="47"/>
      <c r="J2017" s="47"/>
      <c r="K2017" s="47"/>
      <c r="L2017" s="47"/>
      <c r="M2017" s="47"/>
      <c r="N2017" s="47"/>
      <c r="O2017" s="47"/>
      <c r="P2017" s="47"/>
      <c r="Q2017" s="47"/>
      <c r="R2017" s="47"/>
      <c r="S2017" s="47"/>
      <c r="T2017" s="45"/>
      <c r="U2017" s="45"/>
      <c r="V2017" s="45"/>
      <c r="W2017" s="45"/>
      <c r="X2017" s="47"/>
      <c r="Y2017" s="45"/>
      <c r="Z2017" s="45"/>
      <c r="AA2017" s="48"/>
      <c r="AB2017" s="48"/>
      <c r="AC2017" s="47"/>
      <c r="AD2017" s="47"/>
      <c r="AE2017" s="47"/>
    </row>
    <row r="2018" spans="1:31" x14ac:dyDescent="0.35">
      <c r="A2018" s="41"/>
      <c r="B2018" s="41"/>
      <c r="C2018" s="42"/>
      <c r="D2018" s="43"/>
      <c r="E2018" s="43"/>
      <c r="F2018" s="43"/>
      <c r="G2018" s="43"/>
      <c r="H2018" s="43"/>
      <c r="I2018" s="43"/>
      <c r="J2018" s="43"/>
      <c r="K2018" s="43"/>
      <c r="L2018" s="43"/>
      <c r="M2018" s="43"/>
      <c r="N2018" s="43"/>
      <c r="O2018" s="43"/>
      <c r="P2018" s="43"/>
      <c r="Q2018" s="43"/>
      <c r="R2018" s="43"/>
      <c r="S2018" s="43"/>
      <c r="T2018" s="43"/>
      <c r="U2018" s="43"/>
      <c r="V2018" s="41"/>
      <c r="W2018" s="41"/>
      <c r="X2018" s="41"/>
      <c r="Y2018" s="41"/>
      <c r="Z2018" s="41"/>
      <c r="AA2018" s="44"/>
      <c r="AB2018" s="44"/>
      <c r="AC2018" s="43"/>
      <c r="AD2018" s="43"/>
      <c r="AE2018" s="43"/>
    </row>
    <row r="2019" spans="1:31" x14ac:dyDescent="0.35">
      <c r="C2019" s="33"/>
      <c r="D2019" s="34"/>
      <c r="E2019" s="34"/>
      <c r="F2019" s="34"/>
      <c r="G2019" s="34"/>
      <c r="H2019" s="34"/>
      <c r="I2019" s="34"/>
      <c r="J2019" s="34"/>
      <c r="K2019" s="34"/>
      <c r="L2019" s="34"/>
      <c r="M2019" s="34"/>
      <c r="N2019" s="34"/>
      <c r="O2019" s="34"/>
      <c r="AA2019" s="35"/>
      <c r="AB2019" s="35"/>
      <c r="AC2019" s="34"/>
      <c r="AD2019" s="34"/>
      <c r="AE2019" s="34"/>
    </row>
    <row r="2020" spans="1:31" ht="15" thickBot="1" x14ac:dyDescent="0.4">
      <c r="A2020" s="45"/>
      <c r="B2020" s="45"/>
      <c r="C2020" s="46"/>
      <c r="D2020" s="47"/>
      <c r="E2020" s="47"/>
      <c r="F2020" s="47"/>
      <c r="G2020" s="47"/>
      <c r="H2020" s="47"/>
      <c r="I2020" s="47"/>
      <c r="J2020" s="47"/>
      <c r="K2020" s="47"/>
      <c r="L2020" s="47"/>
      <c r="M2020" s="47"/>
      <c r="N2020" s="47"/>
      <c r="O2020" s="47"/>
      <c r="P2020" s="47"/>
      <c r="Q2020" s="47"/>
      <c r="R2020" s="47"/>
      <c r="S2020" s="47"/>
      <c r="T2020" s="45"/>
      <c r="U2020" s="45"/>
      <c r="V2020" s="45"/>
      <c r="W2020" s="45"/>
      <c r="X2020" s="47"/>
      <c r="Y2020" s="45"/>
      <c r="Z2020" s="45"/>
      <c r="AA2020" s="48"/>
      <c r="AB2020" s="48"/>
      <c r="AC2020" s="47"/>
      <c r="AD2020" s="47"/>
      <c r="AE2020" s="47"/>
    </row>
    <row r="2021" spans="1:31" x14ac:dyDescent="0.35">
      <c r="A2021" s="41"/>
      <c r="B2021" s="41"/>
      <c r="C2021" s="42"/>
      <c r="D2021" s="43"/>
      <c r="E2021" s="43"/>
      <c r="F2021" s="43"/>
      <c r="G2021" s="43"/>
      <c r="H2021" s="43"/>
      <c r="I2021" s="43"/>
      <c r="J2021" s="43"/>
      <c r="K2021" s="43"/>
      <c r="L2021" s="43"/>
      <c r="M2021" s="43"/>
      <c r="N2021" s="43"/>
      <c r="O2021" s="43"/>
      <c r="P2021" s="43"/>
      <c r="Q2021" s="43"/>
      <c r="R2021" s="43"/>
      <c r="S2021" s="43"/>
      <c r="T2021" s="43"/>
      <c r="U2021" s="43"/>
      <c r="V2021" s="41"/>
      <c r="W2021" s="41"/>
      <c r="X2021" s="41"/>
      <c r="Y2021" s="41"/>
      <c r="Z2021" s="41"/>
      <c r="AA2021" s="44"/>
      <c r="AB2021" s="44"/>
      <c r="AC2021" s="43"/>
      <c r="AD2021" s="43"/>
      <c r="AE2021" s="43"/>
    </row>
    <row r="2022" spans="1:31" x14ac:dyDescent="0.35">
      <c r="C2022" s="33"/>
      <c r="D2022" s="34"/>
      <c r="E2022" s="34"/>
      <c r="F2022" s="34"/>
      <c r="G2022" s="34"/>
      <c r="H2022" s="34"/>
      <c r="I2022" s="34"/>
      <c r="J2022" s="34"/>
      <c r="K2022" s="34"/>
      <c r="L2022" s="34"/>
      <c r="M2022" s="34"/>
      <c r="N2022" s="34"/>
      <c r="O2022" s="34"/>
      <c r="AA2022" s="35"/>
      <c r="AB2022" s="35"/>
      <c r="AC2022" s="34"/>
      <c r="AD2022" s="34"/>
      <c r="AE2022" s="34"/>
    </row>
    <row r="2023" spans="1:31" ht="15" thickBot="1" x14ac:dyDescent="0.4">
      <c r="A2023" s="45"/>
      <c r="B2023" s="45"/>
      <c r="C2023" s="46"/>
      <c r="D2023" s="47"/>
      <c r="E2023" s="47"/>
      <c r="F2023" s="47"/>
      <c r="G2023" s="47"/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/>
      <c r="S2023" s="47"/>
      <c r="T2023" s="45"/>
      <c r="U2023" s="45"/>
      <c r="V2023" s="45"/>
      <c r="W2023" s="45"/>
      <c r="X2023" s="47"/>
      <c r="Y2023" s="45"/>
      <c r="Z2023" s="45"/>
      <c r="AA2023" s="48"/>
      <c r="AB2023" s="48"/>
      <c r="AC2023" s="47"/>
      <c r="AD2023" s="47"/>
      <c r="AE2023" s="47"/>
    </row>
    <row r="2024" spans="1:31" x14ac:dyDescent="0.35">
      <c r="A2024" s="41"/>
      <c r="B2024" s="41"/>
      <c r="C2024" s="42"/>
      <c r="D2024" s="43"/>
      <c r="E2024" s="43"/>
      <c r="F2024" s="43"/>
      <c r="G2024" s="43"/>
      <c r="H2024" s="43"/>
      <c r="I2024" s="43"/>
      <c r="J2024" s="43"/>
      <c r="K2024" s="43"/>
      <c r="L2024" s="43"/>
      <c r="M2024" s="43"/>
      <c r="N2024" s="43"/>
      <c r="O2024" s="43"/>
      <c r="P2024" s="43"/>
      <c r="Q2024" s="43"/>
      <c r="R2024" s="43"/>
      <c r="S2024" s="43"/>
      <c r="T2024" s="43"/>
      <c r="U2024" s="43"/>
      <c r="V2024" s="41"/>
      <c r="W2024" s="41"/>
      <c r="X2024" s="41"/>
      <c r="Y2024" s="41"/>
      <c r="Z2024" s="41"/>
      <c r="AA2024" s="44"/>
      <c r="AB2024" s="44"/>
      <c r="AC2024" s="43"/>
      <c r="AD2024" s="43"/>
      <c r="AE2024" s="43"/>
    </row>
    <row r="2025" spans="1:31" x14ac:dyDescent="0.35">
      <c r="C2025" s="33"/>
      <c r="D2025" s="34"/>
      <c r="E2025" s="34"/>
      <c r="F2025" s="34"/>
      <c r="G2025" s="34"/>
      <c r="H2025" s="34"/>
      <c r="I2025" s="34"/>
      <c r="J2025" s="34"/>
      <c r="K2025" s="34"/>
      <c r="L2025" s="34"/>
      <c r="M2025" s="34"/>
      <c r="N2025" s="34"/>
      <c r="O2025" s="34"/>
      <c r="AA2025" s="35"/>
      <c r="AB2025" s="35"/>
      <c r="AC2025" s="34"/>
      <c r="AD2025" s="34"/>
      <c r="AE2025" s="34"/>
    </row>
    <row r="2026" spans="1:31" ht="15" thickBot="1" x14ac:dyDescent="0.4">
      <c r="A2026" s="45"/>
      <c r="B2026" s="45"/>
      <c r="C2026" s="46"/>
      <c r="D2026" s="47"/>
      <c r="E2026" s="47"/>
      <c r="F2026" s="47"/>
      <c r="G2026" s="47"/>
      <c r="H2026" s="47"/>
      <c r="I2026" s="47"/>
      <c r="J2026" s="47"/>
      <c r="K2026" s="47"/>
      <c r="L2026" s="47"/>
      <c r="M2026" s="47"/>
      <c r="N2026" s="47"/>
      <c r="O2026" s="47"/>
      <c r="P2026" s="47"/>
      <c r="Q2026" s="47"/>
      <c r="R2026" s="47"/>
      <c r="S2026" s="47"/>
      <c r="T2026" s="45"/>
      <c r="U2026" s="45"/>
      <c r="V2026" s="45"/>
      <c r="W2026" s="45"/>
      <c r="X2026" s="47"/>
      <c r="Y2026" s="45"/>
      <c r="Z2026" s="45"/>
      <c r="AA2026" s="48"/>
      <c r="AB2026" s="48"/>
      <c r="AC2026" s="47"/>
      <c r="AD2026" s="47"/>
      <c r="AE2026" s="47"/>
    </row>
    <row r="2027" spans="1:31" x14ac:dyDescent="0.35">
      <c r="A2027" s="41"/>
      <c r="B2027" s="41"/>
      <c r="C2027" s="42"/>
      <c r="D2027" s="43"/>
      <c r="E2027" s="43"/>
      <c r="F2027" s="43"/>
      <c r="G2027" s="43"/>
      <c r="H2027" s="43"/>
      <c r="I2027" s="43"/>
      <c r="J2027" s="43"/>
      <c r="K2027" s="43"/>
      <c r="L2027" s="43"/>
      <c r="M2027" s="43"/>
      <c r="N2027" s="43"/>
      <c r="O2027" s="43"/>
      <c r="P2027" s="43"/>
      <c r="Q2027" s="43"/>
      <c r="R2027" s="43"/>
      <c r="S2027" s="43"/>
      <c r="T2027" s="43"/>
      <c r="U2027" s="43"/>
      <c r="V2027" s="41"/>
      <c r="W2027" s="41"/>
      <c r="X2027" s="41"/>
      <c r="Y2027" s="41"/>
      <c r="Z2027" s="41"/>
      <c r="AA2027" s="44"/>
      <c r="AB2027" s="44"/>
      <c r="AC2027" s="43"/>
      <c r="AD2027" s="43"/>
      <c r="AE2027" s="43"/>
    </row>
    <row r="2028" spans="1:31" x14ac:dyDescent="0.35">
      <c r="C2028" s="33"/>
      <c r="D2028" s="34"/>
      <c r="E2028" s="34"/>
      <c r="F2028" s="34"/>
      <c r="G2028" s="34"/>
      <c r="H2028" s="34"/>
      <c r="I2028" s="34"/>
      <c r="J2028" s="34"/>
      <c r="K2028" s="34"/>
      <c r="L2028" s="34"/>
      <c r="M2028" s="34"/>
      <c r="N2028" s="34"/>
      <c r="O2028" s="34"/>
      <c r="AA2028" s="35"/>
      <c r="AB2028" s="35"/>
      <c r="AC2028" s="34"/>
      <c r="AD2028" s="34"/>
      <c r="AE2028" s="34"/>
    </row>
    <row r="2029" spans="1:31" ht="15" thickBot="1" x14ac:dyDescent="0.4">
      <c r="A2029" s="45"/>
      <c r="B2029" s="45"/>
      <c r="C2029" s="46"/>
      <c r="D2029" s="47"/>
      <c r="E2029" s="47"/>
      <c r="F2029" s="47"/>
      <c r="G2029" s="47"/>
      <c r="H2029" s="47"/>
      <c r="I2029" s="47"/>
      <c r="J2029" s="47"/>
      <c r="K2029" s="47"/>
      <c r="L2029" s="47"/>
      <c r="M2029" s="47"/>
      <c r="N2029" s="47"/>
      <c r="O2029" s="47"/>
      <c r="P2029" s="47"/>
      <c r="Q2029" s="47"/>
      <c r="R2029" s="47"/>
      <c r="S2029" s="47"/>
      <c r="T2029" s="45"/>
      <c r="U2029" s="45"/>
      <c r="V2029" s="45"/>
      <c r="W2029" s="45"/>
      <c r="X2029" s="47"/>
      <c r="Y2029" s="45"/>
      <c r="Z2029" s="45"/>
      <c r="AA2029" s="48"/>
      <c r="AB2029" s="48"/>
      <c r="AC2029" s="47"/>
      <c r="AD2029" s="47"/>
      <c r="AE2029" s="47"/>
    </row>
    <row r="2030" spans="1:31" x14ac:dyDescent="0.35">
      <c r="A2030" s="41"/>
      <c r="B2030" s="41"/>
      <c r="C2030" s="42"/>
      <c r="D2030" s="43"/>
      <c r="E2030" s="43"/>
      <c r="F2030" s="43"/>
      <c r="G2030" s="43"/>
      <c r="H2030" s="43"/>
      <c r="I2030" s="43"/>
      <c r="J2030" s="43"/>
      <c r="K2030" s="43"/>
      <c r="L2030" s="43"/>
      <c r="M2030" s="43"/>
      <c r="N2030" s="43"/>
      <c r="O2030" s="43"/>
      <c r="P2030" s="43"/>
      <c r="Q2030" s="43"/>
      <c r="R2030" s="43"/>
      <c r="S2030" s="43"/>
      <c r="T2030" s="43"/>
      <c r="U2030" s="43"/>
      <c r="V2030" s="41"/>
      <c r="W2030" s="41"/>
      <c r="X2030" s="41"/>
      <c r="Y2030" s="41"/>
      <c r="Z2030" s="41"/>
      <c r="AA2030" s="44"/>
      <c r="AB2030" s="44"/>
      <c r="AC2030" s="43"/>
      <c r="AD2030" s="43"/>
      <c r="AE2030" s="43"/>
    </row>
    <row r="2031" spans="1:31" x14ac:dyDescent="0.35">
      <c r="C2031" s="33"/>
      <c r="D2031" s="34"/>
      <c r="E2031" s="34"/>
      <c r="F2031" s="34"/>
      <c r="G2031" s="34"/>
      <c r="H2031" s="34"/>
      <c r="I2031" s="34"/>
      <c r="J2031" s="34"/>
      <c r="K2031" s="34"/>
      <c r="L2031" s="34"/>
      <c r="M2031" s="34"/>
      <c r="N2031" s="34"/>
      <c r="O2031" s="34"/>
      <c r="AA2031" s="35"/>
      <c r="AB2031" s="35"/>
      <c r="AC2031" s="34"/>
      <c r="AD2031" s="34"/>
      <c r="AE2031" s="34"/>
    </row>
    <row r="2032" spans="1:31" ht="15" thickBot="1" x14ac:dyDescent="0.4">
      <c r="A2032" s="45"/>
      <c r="B2032" s="45"/>
      <c r="C2032" s="46"/>
      <c r="D2032" s="47"/>
      <c r="E2032" s="47"/>
      <c r="F2032" s="47"/>
      <c r="G2032" s="47"/>
      <c r="H2032" s="47"/>
      <c r="I2032" s="47"/>
      <c r="J2032" s="47"/>
      <c r="K2032" s="47"/>
      <c r="L2032" s="47"/>
      <c r="M2032" s="47"/>
      <c r="N2032" s="47"/>
      <c r="O2032" s="47"/>
      <c r="P2032" s="47"/>
      <c r="Q2032" s="47"/>
      <c r="R2032" s="47"/>
      <c r="S2032" s="47"/>
      <c r="T2032" s="45"/>
      <c r="U2032" s="45"/>
      <c r="V2032" s="45"/>
      <c r="W2032" s="45"/>
      <c r="X2032" s="47"/>
      <c r="Y2032" s="45"/>
      <c r="Z2032" s="45"/>
      <c r="AA2032" s="48"/>
      <c r="AB2032" s="48"/>
      <c r="AC2032" s="47"/>
      <c r="AD2032" s="47"/>
      <c r="AE2032" s="47"/>
    </row>
    <row r="2033" spans="1:31" x14ac:dyDescent="0.35">
      <c r="A2033" s="41"/>
      <c r="B2033" s="41"/>
      <c r="C2033" s="42"/>
      <c r="D2033" s="43"/>
      <c r="E2033" s="43"/>
      <c r="F2033" s="43"/>
      <c r="G2033" s="43"/>
      <c r="H2033" s="43"/>
      <c r="I2033" s="43"/>
      <c r="J2033" s="43"/>
      <c r="K2033" s="43"/>
      <c r="L2033" s="43"/>
      <c r="M2033" s="43"/>
      <c r="N2033" s="43"/>
      <c r="O2033" s="43"/>
      <c r="P2033" s="43"/>
      <c r="Q2033" s="43"/>
      <c r="R2033" s="43"/>
      <c r="S2033" s="43"/>
      <c r="T2033" s="43"/>
      <c r="U2033" s="43"/>
      <c r="V2033" s="41"/>
      <c r="W2033" s="41"/>
      <c r="X2033" s="41"/>
      <c r="Y2033" s="41"/>
      <c r="Z2033" s="41"/>
      <c r="AA2033" s="44"/>
      <c r="AB2033" s="44"/>
      <c r="AC2033" s="43"/>
      <c r="AD2033" s="43"/>
      <c r="AE2033" s="43"/>
    </row>
    <row r="2034" spans="1:31" x14ac:dyDescent="0.35">
      <c r="C2034" s="33"/>
      <c r="D2034" s="34"/>
      <c r="E2034" s="34"/>
      <c r="F2034" s="34"/>
      <c r="G2034" s="34"/>
      <c r="H2034" s="34"/>
      <c r="I2034" s="34"/>
      <c r="J2034" s="34"/>
      <c r="K2034" s="34"/>
      <c r="L2034" s="34"/>
      <c r="M2034" s="34"/>
      <c r="N2034" s="34"/>
      <c r="O2034" s="34"/>
      <c r="AA2034" s="35"/>
      <c r="AB2034" s="35"/>
      <c r="AC2034" s="34"/>
      <c r="AD2034" s="34"/>
      <c r="AE2034" s="34"/>
    </row>
    <row r="2035" spans="1:31" ht="15" thickBot="1" x14ac:dyDescent="0.4">
      <c r="A2035" s="45"/>
      <c r="B2035" s="45"/>
      <c r="C2035" s="46"/>
      <c r="D2035" s="47"/>
      <c r="E2035" s="47"/>
      <c r="F2035" s="47"/>
      <c r="G2035" s="47"/>
      <c r="H2035" s="47"/>
      <c r="I2035" s="47"/>
      <c r="J2035" s="47"/>
      <c r="K2035" s="47"/>
      <c r="L2035" s="47"/>
      <c r="M2035" s="47"/>
      <c r="N2035" s="47"/>
      <c r="O2035" s="47"/>
      <c r="P2035" s="47"/>
      <c r="Q2035" s="47"/>
      <c r="R2035" s="47"/>
      <c r="S2035" s="47"/>
      <c r="T2035" s="45"/>
      <c r="U2035" s="45"/>
      <c r="V2035" s="45"/>
      <c r="W2035" s="45"/>
      <c r="X2035" s="47"/>
      <c r="Y2035" s="45"/>
      <c r="Z2035" s="45"/>
      <c r="AA2035" s="48"/>
      <c r="AB2035" s="48"/>
      <c r="AC2035" s="47"/>
      <c r="AD2035" s="47"/>
      <c r="AE2035" s="47"/>
    </row>
    <row r="2036" spans="1:31" x14ac:dyDescent="0.35">
      <c r="A2036" s="41"/>
      <c r="B2036" s="41"/>
      <c r="C2036" s="42"/>
      <c r="D2036" s="43"/>
      <c r="E2036" s="43"/>
      <c r="F2036" s="43"/>
      <c r="G2036" s="43"/>
      <c r="H2036" s="43"/>
      <c r="I2036" s="43"/>
      <c r="J2036" s="43"/>
      <c r="K2036" s="43"/>
      <c r="L2036" s="43"/>
      <c r="M2036" s="43"/>
      <c r="N2036" s="43"/>
      <c r="O2036" s="43"/>
      <c r="P2036" s="43"/>
      <c r="Q2036" s="43"/>
      <c r="R2036" s="43"/>
      <c r="S2036" s="43"/>
      <c r="T2036" s="43"/>
      <c r="U2036" s="43"/>
      <c r="V2036" s="41"/>
      <c r="W2036" s="41"/>
      <c r="X2036" s="41"/>
      <c r="Y2036" s="41"/>
      <c r="Z2036" s="41"/>
      <c r="AA2036" s="44"/>
      <c r="AB2036" s="44"/>
      <c r="AC2036" s="43"/>
      <c r="AD2036" s="43"/>
      <c r="AE2036" s="43"/>
    </row>
    <row r="2037" spans="1:31" x14ac:dyDescent="0.35">
      <c r="C2037" s="33"/>
      <c r="D2037" s="34"/>
      <c r="E2037" s="34"/>
      <c r="F2037" s="34"/>
      <c r="G2037" s="34"/>
      <c r="H2037" s="34"/>
      <c r="I2037" s="34"/>
      <c r="J2037" s="34"/>
      <c r="K2037" s="34"/>
      <c r="L2037" s="34"/>
      <c r="M2037" s="34"/>
      <c r="N2037" s="34"/>
      <c r="O2037" s="34"/>
      <c r="AA2037" s="35"/>
      <c r="AB2037" s="35"/>
      <c r="AC2037" s="34"/>
      <c r="AD2037" s="34"/>
      <c r="AE2037" s="34"/>
    </row>
    <row r="2038" spans="1:31" ht="15" thickBot="1" x14ac:dyDescent="0.4">
      <c r="A2038" s="45"/>
      <c r="B2038" s="45"/>
      <c r="C2038" s="46"/>
      <c r="D2038" s="47"/>
      <c r="E2038" s="47"/>
      <c r="F2038" s="47"/>
      <c r="G2038" s="47"/>
      <c r="H2038" s="47"/>
      <c r="I2038" s="47"/>
      <c r="J2038" s="47"/>
      <c r="K2038" s="47"/>
      <c r="L2038" s="47"/>
      <c r="M2038" s="47"/>
      <c r="N2038" s="47"/>
      <c r="O2038" s="47"/>
      <c r="P2038" s="47"/>
      <c r="Q2038" s="47"/>
      <c r="R2038" s="47"/>
      <c r="S2038" s="47"/>
      <c r="T2038" s="45"/>
      <c r="U2038" s="45"/>
      <c r="V2038" s="45"/>
      <c r="W2038" s="45"/>
      <c r="X2038" s="47"/>
      <c r="Y2038" s="45"/>
      <c r="Z2038" s="45"/>
      <c r="AA2038" s="48"/>
      <c r="AB2038" s="48"/>
      <c r="AC2038" s="47"/>
      <c r="AD2038" s="47"/>
      <c r="AE2038" s="47"/>
    </row>
    <row r="2039" spans="1:31" x14ac:dyDescent="0.35">
      <c r="A2039" s="41"/>
      <c r="B2039" s="41"/>
      <c r="C2039" s="42"/>
      <c r="D2039" s="43"/>
      <c r="E2039" s="43"/>
      <c r="F2039" s="43"/>
      <c r="G2039" s="43"/>
      <c r="H2039" s="43"/>
      <c r="I2039" s="43"/>
      <c r="J2039" s="43"/>
      <c r="K2039" s="43"/>
      <c r="L2039" s="43"/>
      <c r="M2039" s="43"/>
      <c r="N2039" s="43"/>
      <c r="O2039" s="43"/>
      <c r="P2039" s="43"/>
      <c r="Q2039" s="43"/>
      <c r="R2039" s="43"/>
      <c r="S2039" s="43"/>
      <c r="T2039" s="43"/>
      <c r="U2039" s="43"/>
      <c r="V2039" s="41"/>
      <c r="W2039" s="41"/>
      <c r="X2039" s="41"/>
      <c r="Y2039" s="41"/>
      <c r="Z2039" s="41"/>
      <c r="AA2039" s="44"/>
      <c r="AB2039" s="44"/>
      <c r="AC2039" s="43"/>
      <c r="AD2039" s="43"/>
      <c r="AE2039" s="43"/>
    </row>
    <row r="2040" spans="1:31" x14ac:dyDescent="0.35">
      <c r="C2040" s="33"/>
      <c r="D2040" s="34"/>
      <c r="E2040" s="34"/>
      <c r="F2040" s="34"/>
      <c r="G2040" s="34"/>
      <c r="H2040" s="34"/>
      <c r="I2040" s="34"/>
      <c r="J2040" s="34"/>
      <c r="K2040" s="34"/>
      <c r="L2040" s="34"/>
      <c r="M2040" s="34"/>
      <c r="N2040" s="34"/>
      <c r="O2040" s="34"/>
      <c r="AA2040" s="35"/>
      <c r="AB2040" s="35"/>
      <c r="AC2040" s="34"/>
      <c r="AD2040" s="34"/>
      <c r="AE2040" s="34"/>
    </row>
    <row r="2041" spans="1:31" ht="15" thickBot="1" x14ac:dyDescent="0.4">
      <c r="A2041" s="45"/>
      <c r="B2041" s="45"/>
      <c r="C2041" s="46"/>
      <c r="D2041" s="47"/>
      <c r="E2041" s="47"/>
      <c r="F2041" s="47"/>
      <c r="G2041" s="47"/>
      <c r="H2041" s="47"/>
      <c r="I2041" s="47"/>
      <c r="J2041" s="47"/>
      <c r="K2041" s="47"/>
      <c r="L2041" s="47"/>
      <c r="M2041" s="47"/>
      <c r="N2041" s="47"/>
      <c r="O2041" s="47"/>
      <c r="P2041" s="47"/>
      <c r="Q2041" s="47"/>
      <c r="R2041" s="47"/>
      <c r="S2041" s="47"/>
      <c r="T2041" s="45"/>
      <c r="U2041" s="45"/>
      <c r="V2041" s="45"/>
      <c r="W2041" s="45"/>
      <c r="X2041" s="47"/>
      <c r="Y2041" s="45"/>
      <c r="Z2041" s="45"/>
      <c r="AA2041" s="48"/>
      <c r="AB2041" s="48"/>
      <c r="AC2041" s="47"/>
      <c r="AD2041" s="47"/>
      <c r="AE2041" s="47"/>
    </row>
    <row r="2042" spans="1:31" x14ac:dyDescent="0.35">
      <c r="A2042" s="41"/>
      <c r="B2042" s="41"/>
      <c r="C2042" s="42"/>
      <c r="D2042" s="43"/>
      <c r="E2042" s="43"/>
      <c r="F2042" s="43"/>
      <c r="G2042" s="43"/>
      <c r="H2042" s="43"/>
      <c r="I2042" s="43"/>
      <c r="J2042" s="43"/>
      <c r="K2042" s="43"/>
      <c r="L2042" s="43"/>
      <c r="M2042" s="43"/>
      <c r="N2042" s="43"/>
      <c r="O2042" s="43"/>
      <c r="P2042" s="43"/>
      <c r="Q2042" s="43"/>
      <c r="R2042" s="43"/>
      <c r="S2042" s="43"/>
      <c r="T2042" s="43"/>
      <c r="U2042" s="43"/>
      <c r="V2042" s="41"/>
      <c r="W2042" s="41"/>
      <c r="X2042" s="41"/>
      <c r="Y2042" s="41"/>
      <c r="Z2042" s="41"/>
      <c r="AA2042" s="44"/>
      <c r="AB2042" s="44"/>
      <c r="AC2042" s="43"/>
      <c r="AD2042" s="43"/>
      <c r="AE2042" s="43"/>
    </row>
    <row r="2043" spans="1:31" x14ac:dyDescent="0.35">
      <c r="C2043" s="33"/>
      <c r="D2043" s="34"/>
      <c r="E2043" s="34"/>
      <c r="F2043" s="34"/>
      <c r="G2043" s="34"/>
      <c r="H2043" s="34"/>
      <c r="I2043" s="34"/>
      <c r="J2043" s="34"/>
      <c r="K2043" s="34"/>
      <c r="L2043" s="34"/>
      <c r="M2043" s="34"/>
      <c r="N2043" s="34"/>
      <c r="O2043" s="34"/>
      <c r="AA2043" s="35"/>
      <c r="AB2043" s="35"/>
      <c r="AC2043" s="34"/>
      <c r="AD2043" s="34"/>
      <c r="AE2043" s="34"/>
    </row>
    <row r="2044" spans="1:31" ht="15" thickBot="1" x14ac:dyDescent="0.4">
      <c r="A2044" s="45"/>
      <c r="B2044" s="45"/>
      <c r="C2044" s="46"/>
      <c r="D2044" s="47"/>
      <c r="E2044" s="47"/>
      <c r="F2044" s="47"/>
      <c r="G2044" s="47"/>
      <c r="H2044" s="47"/>
      <c r="I2044" s="47"/>
      <c r="J2044" s="47"/>
      <c r="K2044" s="47"/>
      <c r="L2044" s="47"/>
      <c r="M2044" s="47"/>
      <c r="N2044" s="47"/>
      <c r="O2044" s="47"/>
      <c r="P2044" s="47"/>
      <c r="Q2044" s="47"/>
      <c r="R2044" s="47"/>
      <c r="S2044" s="47"/>
      <c r="T2044" s="45"/>
      <c r="U2044" s="45"/>
      <c r="V2044" s="45"/>
      <c r="W2044" s="45"/>
      <c r="X2044" s="47"/>
      <c r="Y2044" s="45"/>
      <c r="Z2044" s="45"/>
      <c r="AA2044" s="48"/>
      <c r="AB2044" s="48"/>
      <c r="AC2044" s="47"/>
      <c r="AD2044" s="47"/>
      <c r="AE2044" s="47"/>
    </row>
    <row r="2045" spans="1:31" x14ac:dyDescent="0.35">
      <c r="A2045" s="41"/>
      <c r="B2045" s="41"/>
      <c r="C2045" s="42"/>
      <c r="D2045" s="43"/>
      <c r="E2045" s="43"/>
      <c r="F2045" s="43"/>
      <c r="G2045" s="43"/>
      <c r="H2045" s="43"/>
      <c r="I2045" s="43"/>
      <c r="J2045" s="43"/>
      <c r="K2045" s="43"/>
      <c r="L2045" s="43"/>
      <c r="M2045" s="43"/>
      <c r="N2045" s="43"/>
      <c r="O2045" s="43"/>
      <c r="P2045" s="43"/>
      <c r="Q2045" s="43"/>
      <c r="R2045" s="43"/>
      <c r="S2045" s="43"/>
      <c r="T2045" s="43"/>
      <c r="U2045" s="43"/>
      <c r="V2045" s="41"/>
      <c r="W2045" s="41"/>
      <c r="X2045" s="41"/>
      <c r="Y2045" s="41"/>
      <c r="Z2045" s="41"/>
      <c r="AA2045" s="44"/>
      <c r="AB2045" s="44"/>
      <c r="AC2045" s="43"/>
      <c r="AD2045" s="43"/>
      <c r="AE2045" s="43"/>
    </row>
    <row r="2046" spans="1:31" x14ac:dyDescent="0.35">
      <c r="C2046" s="33"/>
      <c r="D2046" s="34"/>
      <c r="E2046" s="34"/>
      <c r="F2046" s="34"/>
      <c r="G2046" s="34"/>
      <c r="H2046" s="34"/>
      <c r="I2046" s="34"/>
      <c r="J2046" s="34"/>
      <c r="K2046" s="34"/>
      <c r="L2046" s="34"/>
      <c r="M2046" s="34"/>
      <c r="N2046" s="34"/>
      <c r="O2046" s="34"/>
      <c r="AA2046" s="35"/>
      <c r="AB2046" s="35"/>
      <c r="AC2046" s="34"/>
      <c r="AD2046" s="34"/>
      <c r="AE2046" s="34"/>
    </row>
    <row r="2047" spans="1:31" ht="15" thickBot="1" x14ac:dyDescent="0.4">
      <c r="A2047" s="45"/>
      <c r="B2047" s="45"/>
      <c r="C2047" s="46"/>
      <c r="D2047" s="47"/>
      <c r="E2047" s="47"/>
      <c r="F2047" s="47"/>
      <c r="G2047" s="47"/>
      <c r="H2047" s="47"/>
      <c r="I2047" s="47"/>
      <c r="J2047" s="47"/>
      <c r="K2047" s="47"/>
      <c r="L2047" s="47"/>
      <c r="M2047" s="47"/>
      <c r="N2047" s="47"/>
      <c r="O2047" s="47"/>
      <c r="P2047" s="47"/>
      <c r="Q2047" s="47"/>
      <c r="R2047" s="47"/>
      <c r="S2047" s="47"/>
      <c r="T2047" s="45"/>
      <c r="U2047" s="45"/>
      <c r="V2047" s="45"/>
      <c r="W2047" s="45"/>
      <c r="X2047" s="47"/>
      <c r="Y2047" s="45"/>
      <c r="Z2047" s="45"/>
      <c r="AA2047" s="48"/>
      <c r="AB2047" s="48"/>
      <c r="AC2047" s="47"/>
      <c r="AD2047" s="47"/>
      <c r="AE2047" s="47"/>
    </row>
    <row r="2048" spans="1:31" x14ac:dyDescent="0.35">
      <c r="A2048" s="41"/>
      <c r="B2048" s="41"/>
      <c r="C2048" s="42"/>
      <c r="D2048" s="43"/>
      <c r="E2048" s="43"/>
      <c r="F2048" s="43"/>
      <c r="G2048" s="43"/>
      <c r="H2048" s="43"/>
      <c r="I2048" s="43"/>
      <c r="J2048" s="43"/>
      <c r="K2048" s="43"/>
      <c r="L2048" s="43"/>
      <c r="M2048" s="43"/>
      <c r="N2048" s="43"/>
      <c r="O2048" s="43"/>
      <c r="P2048" s="43"/>
      <c r="Q2048" s="43"/>
      <c r="R2048" s="43"/>
      <c r="S2048" s="43"/>
      <c r="T2048" s="43"/>
      <c r="U2048" s="43"/>
      <c r="V2048" s="41"/>
      <c r="W2048" s="41"/>
      <c r="X2048" s="41"/>
      <c r="Y2048" s="41"/>
      <c r="Z2048" s="41"/>
      <c r="AA2048" s="44"/>
      <c r="AB2048" s="44"/>
      <c r="AC2048" s="43"/>
      <c r="AD2048" s="43"/>
      <c r="AE2048" s="43"/>
    </row>
    <row r="2049" spans="1:31" x14ac:dyDescent="0.35">
      <c r="C2049" s="33"/>
      <c r="D2049" s="34"/>
      <c r="E2049" s="34"/>
      <c r="F2049" s="34"/>
      <c r="G2049" s="34"/>
      <c r="H2049" s="34"/>
      <c r="I2049" s="34"/>
      <c r="J2049" s="34"/>
      <c r="K2049" s="34"/>
      <c r="L2049" s="34"/>
      <c r="M2049" s="34"/>
      <c r="N2049" s="34"/>
      <c r="O2049" s="34"/>
      <c r="AA2049" s="35"/>
      <c r="AB2049" s="35"/>
      <c r="AC2049" s="34"/>
      <c r="AD2049" s="34"/>
      <c r="AE2049" s="34"/>
    </row>
    <row r="2050" spans="1:31" ht="15" thickBot="1" x14ac:dyDescent="0.4">
      <c r="A2050" s="45"/>
      <c r="B2050" s="45"/>
      <c r="C2050" s="46"/>
      <c r="D2050" s="47"/>
      <c r="E2050" s="47"/>
      <c r="F2050" s="47"/>
      <c r="G2050" s="47"/>
      <c r="H2050" s="47"/>
      <c r="I2050" s="47"/>
      <c r="J2050" s="47"/>
      <c r="K2050" s="47"/>
      <c r="L2050" s="47"/>
      <c r="M2050" s="47"/>
      <c r="N2050" s="47"/>
      <c r="O2050" s="47"/>
      <c r="P2050" s="47"/>
      <c r="Q2050" s="47"/>
      <c r="R2050" s="47"/>
      <c r="S2050" s="47"/>
      <c r="T2050" s="45"/>
      <c r="U2050" s="45"/>
      <c r="V2050" s="45"/>
      <c r="W2050" s="45"/>
      <c r="X2050" s="47"/>
      <c r="Y2050" s="45"/>
      <c r="Z2050" s="45"/>
      <c r="AA2050" s="48"/>
      <c r="AB2050" s="48"/>
      <c r="AC2050" s="47"/>
      <c r="AD2050" s="47"/>
      <c r="AE2050" s="47"/>
    </row>
    <row r="2051" spans="1:31" x14ac:dyDescent="0.35">
      <c r="A2051" s="41"/>
      <c r="B2051" s="41"/>
      <c r="C2051" s="42"/>
      <c r="D2051" s="43"/>
      <c r="E2051" s="43"/>
      <c r="F2051" s="43"/>
      <c r="G2051" s="43"/>
      <c r="H2051" s="43"/>
      <c r="I2051" s="43"/>
      <c r="J2051" s="43"/>
      <c r="K2051" s="43"/>
      <c r="L2051" s="43"/>
      <c r="M2051" s="43"/>
      <c r="N2051" s="43"/>
      <c r="O2051" s="43"/>
      <c r="P2051" s="43"/>
      <c r="Q2051" s="43"/>
      <c r="R2051" s="43"/>
      <c r="S2051" s="43"/>
      <c r="T2051" s="43"/>
      <c r="U2051" s="43"/>
      <c r="V2051" s="41"/>
      <c r="W2051" s="41"/>
      <c r="X2051" s="41"/>
      <c r="Y2051" s="41"/>
      <c r="Z2051" s="41"/>
      <c r="AA2051" s="44"/>
      <c r="AB2051" s="44"/>
      <c r="AC2051" s="43"/>
      <c r="AD2051" s="43"/>
      <c r="AE2051" s="43"/>
    </row>
    <row r="2052" spans="1:31" x14ac:dyDescent="0.35">
      <c r="C2052" s="33"/>
      <c r="D2052" s="34"/>
      <c r="E2052" s="34"/>
      <c r="F2052" s="34"/>
      <c r="G2052" s="34"/>
      <c r="H2052" s="34"/>
      <c r="I2052" s="34"/>
      <c r="J2052" s="34"/>
      <c r="K2052" s="34"/>
      <c r="L2052" s="34"/>
      <c r="M2052" s="34"/>
      <c r="N2052" s="34"/>
      <c r="O2052" s="34"/>
      <c r="AA2052" s="35"/>
      <c r="AB2052" s="35"/>
      <c r="AC2052" s="34"/>
      <c r="AD2052" s="34"/>
      <c r="AE2052" s="34"/>
    </row>
    <row r="2053" spans="1:31" ht="15" thickBot="1" x14ac:dyDescent="0.4">
      <c r="A2053" s="45"/>
      <c r="B2053" s="45"/>
      <c r="C2053" s="46"/>
      <c r="D2053" s="47"/>
      <c r="E2053" s="47"/>
      <c r="F2053" s="47"/>
      <c r="G2053" s="47"/>
      <c r="H2053" s="47"/>
      <c r="I2053" s="47"/>
      <c r="J2053" s="47"/>
      <c r="K2053" s="47"/>
      <c r="L2053" s="47"/>
      <c r="M2053" s="47"/>
      <c r="N2053" s="47"/>
      <c r="O2053" s="47"/>
      <c r="P2053" s="47"/>
      <c r="Q2053" s="47"/>
      <c r="R2053" s="47"/>
      <c r="S2053" s="47"/>
      <c r="T2053" s="45"/>
      <c r="U2053" s="45"/>
      <c r="V2053" s="45"/>
      <c r="W2053" s="45"/>
      <c r="X2053" s="47"/>
      <c r="Y2053" s="45"/>
      <c r="Z2053" s="45"/>
      <c r="AA2053" s="48"/>
      <c r="AB2053" s="48"/>
      <c r="AC2053" s="47"/>
      <c r="AD2053" s="47"/>
      <c r="AE2053" s="47"/>
    </row>
    <row r="2054" spans="1:31" x14ac:dyDescent="0.35">
      <c r="A2054" s="41"/>
      <c r="B2054" s="41"/>
      <c r="C2054" s="42"/>
      <c r="D2054" s="43"/>
      <c r="E2054" s="43"/>
      <c r="F2054" s="43"/>
      <c r="G2054" s="43"/>
      <c r="H2054" s="43"/>
      <c r="I2054" s="43"/>
      <c r="J2054" s="43"/>
      <c r="K2054" s="43"/>
      <c r="L2054" s="43"/>
      <c r="M2054" s="43"/>
      <c r="N2054" s="43"/>
      <c r="O2054" s="43"/>
      <c r="P2054" s="43"/>
      <c r="Q2054" s="43"/>
      <c r="R2054" s="43"/>
      <c r="S2054" s="43"/>
      <c r="T2054" s="43"/>
      <c r="U2054" s="43"/>
      <c r="V2054" s="41"/>
      <c r="W2054" s="41"/>
      <c r="X2054" s="41"/>
      <c r="Y2054" s="41"/>
      <c r="Z2054" s="41"/>
      <c r="AA2054" s="44"/>
      <c r="AB2054" s="44"/>
      <c r="AC2054" s="43"/>
      <c r="AD2054" s="43"/>
      <c r="AE2054" s="43"/>
    </row>
    <row r="2055" spans="1:31" x14ac:dyDescent="0.35">
      <c r="C2055" s="33"/>
      <c r="D2055" s="34"/>
      <c r="E2055" s="34"/>
      <c r="F2055" s="34"/>
      <c r="G2055" s="34"/>
      <c r="H2055" s="34"/>
      <c r="I2055" s="34"/>
      <c r="J2055" s="34"/>
      <c r="K2055" s="34"/>
      <c r="L2055" s="34"/>
      <c r="M2055" s="34"/>
      <c r="N2055" s="34"/>
      <c r="O2055" s="34"/>
      <c r="AA2055" s="35"/>
      <c r="AB2055" s="35"/>
      <c r="AC2055" s="34"/>
      <c r="AD2055" s="34"/>
      <c r="AE2055" s="34"/>
    </row>
    <row r="2056" spans="1:31" ht="15" thickBot="1" x14ac:dyDescent="0.4">
      <c r="A2056" s="45"/>
      <c r="B2056" s="45"/>
      <c r="C2056" s="46"/>
      <c r="D2056" s="47"/>
      <c r="E2056" s="47"/>
      <c r="F2056" s="47"/>
      <c r="G2056" s="47"/>
      <c r="H2056" s="47"/>
      <c r="I2056" s="47"/>
      <c r="J2056" s="47"/>
      <c r="K2056" s="47"/>
      <c r="L2056" s="47"/>
      <c r="M2056" s="47"/>
      <c r="N2056" s="47"/>
      <c r="O2056" s="47"/>
      <c r="P2056" s="47"/>
      <c r="Q2056" s="47"/>
      <c r="R2056" s="47"/>
      <c r="S2056" s="47"/>
      <c r="T2056" s="45"/>
      <c r="U2056" s="45"/>
      <c r="V2056" s="45"/>
      <c r="W2056" s="45"/>
      <c r="X2056" s="47"/>
      <c r="Y2056" s="45"/>
      <c r="Z2056" s="45"/>
      <c r="AA2056" s="48"/>
      <c r="AB2056" s="48"/>
      <c r="AC2056" s="47"/>
      <c r="AD2056" s="47"/>
      <c r="AE2056" s="47"/>
    </row>
    <row r="2057" spans="1:31" x14ac:dyDescent="0.35">
      <c r="A2057" s="41"/>
      <c r="B2057" s="41"/>
      <c r="C2057" s="42"/>
      <c r="D2057" s="43"/>
      <c r="E2057" s="43"/>
      <c r="F2057" s="43"/>
      <c r="G2057" s="43"/>
      <c r="H2057" s="43"/>
      <c r="I2057" s="43"/>
      <c r="J2057" s="43"/>
      <c r="K2057" s="43"/>
      <c r="L2057" s="43"/>
      <c r="M2057" s="43"/>
      <c r="N2057" s="43"/>
      <c r="O2057" s="43"/>
      <c r="P2057" s="43"/>
      <c r="Q2057" s="43"/>
      <c r="R2057" s="43"/>
      <c r="S2057" s="43"/>
      <c r="T2057" s="43"/>
      <c r="U2057" s="43"/>
      <c r="V2057" s="41"/>
      <c r="W2057" s="41"/>
      <c r="X2057" s="41"/>
      <c r="Y2057" s="41"/>
      <c r="Z2057" s="41"/>
      <c r="AA2057" s="44"/>
      <c r="AB2057" s="44"/>
      <c r="AC2057" s="43"/>
      <c r="AD2057" s="43"/>
      <c r="AE2057" s="43"/>
    </row>
    <row r="2058" spans="1:31" x14ac:dyDescent="0.35">
      <c r="C2058" s="33"/>
      <c r="D2058" s="34"/>
      <c r="E2058" s="34"/>
      <c r="F2058" s="34"/>
      <c r="G2058" s="34"/>
      <c r="H2058" s="34"/>
      <c r="I2058" s="34"/>
      <c r="J2058" s="34"/>
      <c r="K2058" s="34"/>
      <c r="L2058" s="34"/>
      <c r="M2058" s="34"/>
      <c r="N2058" s="34"/>
      <c r="O2058" s="34"/>
      <c r="AA2058" s="35"/>
      <c r="AB2058" s="35"/>
      <c r="AC2058" s="34"/>
      <c r="AD2058" s="34"/>
      <c r="AE2058" s="34"/>
    </row>
    <row r="2059" spans="1:31" ht="15" thickBot="1" x14ac:dyDescent="0.4">
      <c r="A2059" s="45"/>
      <c r="B2059" s="45"/>
      <c r="C2059" s="46"/>
      <c r="D2059" s="47"/>
      <c r="E2059" s="47"/>
      <c r="F2059" s="47"/>
      <c r="G2059" s="47"/>
      <c r="H2059" s="47"/>
      <c r="I2059" s="47"/>
      <c r="J2059" s="47"/>
      <c r="K2059" s="47"/>
      <c r="L2059" s="47"/>
      <c r="M2059" s="47"/>
      <c r="N2059" s="47"/>
      <c r="O2059" s="47"/>
      <c r="P2059" s="47"/>
      <c r="Q2059" s="47"/>
      <c r="R2059" s="47"/>
      <c r="S2059" s="47"/>
      <c r="T2059" s="45"/>
      <c r="U2059" s="45"/>
      <c r="V2059" s="45"/>
      <c r="W2059" s="45"/>
      <c r="X2059" s="47"/>
      <c r="Y2059" s="45"/>
      <c r="Z2059" s="45"/>
      <c r="AA2059" s="48"/>
      <c r="AB2059" s="48"/>
      <c r="AC2059" s="47"/>
      <c r="AD2059" s="47"/>
      <c r="AE2059" s="47"/>
    </row>
    <row r="2060" spans="1:31" x14ac:dyDescent="0.35">
      <c r="A2060" s="41"/>
      <c r="B2060" s="41"/>
      <c r="C2060" s="42"/>
      <c r="D2060" s="43"/>
      <c r="E2060" s="43"/>
      <c r="F2060" s="43"/>
      <c r="G2060" s="43"/>
      <c r="H2060" s="43"/>
      <c r="I2060" s="43"/>
      <c r="J2060" s="43"/>
      <c r="K2060" s="43"/>
      <c r="L2060" s="43"/>
      <c r="M2060" s="43"/>
      <c r="N2060" s="43"/>
      <c r="O2060" s="43"/>
      <c r="P2060" s="43"/>
      <c r="Q2060" s="43"/>
      <c r="R2060" s="43"/>
      <c r="S2060" s="43"/>
      <c r="T2060" s="43"/>
      <c r="U2060" s="43"/>
      <c r="V2060" s="41"/>
      <c r="W2060" s="41"/>
      <c r="X2060" s="41"/>
      <c r="Y2060" s="41"/>
      <c r="Z2060" s="41"/>
      <c r="AA2060" s="44"/>
      <c r="AB2060" s="44"/>
      <c r="AC2060" s="43"/>
      <c r="AD2060" s="43"/>
      <c r="AE2060" s="43"/>
    </row>
    <row r="2061" spans="1:31" x14ac:dyDescent="0.35">
      <c r="C2061" s="33"/>
      <c r="D2061" s="34"/>
      <c r="E2061" s="34"/>
      <c r="F2061" s="34"/>
      <c r="G2061" s="34"/>
      <c r="H2061" s="34"/>
      <c r="I2061" s="34"/>
      <c r="J2061" s="34"/>
      <c r="K2061" s="34"/>
      <c r="L2061" s="34"/>
      <c r="M2061" s="34"/>
      <c r="N2061" s="34"/>
      <c r="O2061" s="34"/>
      <c r="AA2061" s="35"/>
      <c r="AB2061" s="35"/>
      <c r="AC2061" s="34"/>
      <c r="AD2061" s="34"/>
      <c r="AE2061" s="34"/>
    </row>
    <row r="2062" spans="1:31" ht="15" thickBot="1" x14ac:dyDescent="0.4">
      <c r="A2062" s="45"/>
      <c r="B2062" s="45"/>
      <c r="C2062" s="46"/>
      <c r="D2062" s="47"/>
      <c r="E2062" s="47"/>
      <c r="F2062" s="47"/>
      <c r="G2062" s="47"/>
      <c r="H2062" s="47"/>
      <c r="I2062" s="47"/>
      <c r="J2062" s="47"/>
      <c r="K2062" s="47"/>
      <c r="L2062" s="47"/>
      <c r="M2062" s="47"/>
      <c r="N2062" s="47"/>
      <c r="O2062" s="47"/>
      <c r="P2062" s="47"/>
      <c r="Q2062" s="47"/>
      <c r="R2062" s="47"/>
      <c r="S2062" s="47"/>
      <c r="T2062" s="45"/>
      <c r="U2062" s="45"/>
      <c r="V2062" s="45"/>
      <c r="W2062" s="45"/>
      <c r="X2062" s="47"/>
      <c r="Y2062" s="45"/>
      <c r="Z2062" s="45"/>
      <c r="AA2062" s="48"/>
      <c r="AB2062" s="48"/>
      <c r="AC2062" s="47"/>
      <c r="AD2062" s="47"/>
      <c r="AE2062" s="47"/>
    </row>
    <row r="2063" spans="1:31" x14ac:dyDescent="0.35">
      <c r="A2063" s="41"/>
      <c r="B2063" s="41"/>
      <c r="C2063" s="42"/>
      <c r="D2063" s="43"/>
      <c r="E2063" s="43"/>
      <c r="F2063" s="43"/>
      <c r="G2063" s="43"/>
      <c r="H2063" s="43"/>
      <c r="I2063" s="43"/>
      <c r="J2063" s="43"/>
      <c r="K2063" s="43"/>
      <c r="L2063" s="43"/>
      <c r="M2063" s="43"/>
      <c r="N2063" s="43"/>
      <c r="O2063" s="43"/>
      <c r="P2063" s="43"/>
      <c r="Q2063" s="43"/>
      <c r="R2063" s="43"/>
      <c r="S2063" s="43"/>
      <c r="T2063" s="43"/>
      <c r="U2063" s="43"/>
      <c r="V2063" s="41"/>
      <c r="W2063" s="41"/>
      <c r="X2063" s="41"/>
      <c r="Y2063" s="41"/>
      <c r="Z2063" s="41"/>
      <c r="AA2063" s="44"/>
      <c r="AB2063" s="44"/>
      <c r="AC2063" s="43"/>
      <c r="AD2063" s="43"/>
      <c r="AE2063" s="43"/>
    </row>
    <row r="2064" spans="1:31" x14ac:dyDescent="0.35">
      <c r="C2064" s="33"/>
      <c r="D2064" s="34"/>
      <c r="E2064" s="34"/>
      <c r="F2064" s="34"/>
      <c r="G2064" s="34"/>
      <c r="H2064" s="34"/>
      <c r="I2064" s="34"/>
      <c r="J2064" s="34"/>
      <c r="K2064" s="34"/>
      <c r="L2064" s="34"/>
      <c r="M2064" s="34"/>
      <c r="N2064" s="34"/>
      <c r="O2064" s="34"/>
      <c r="AA2064" s="35"/>
      <c r="AB2064" s="35"/>
      <c r="AC2064" s="34"/>
      <c r="AD2064" s="34"/>
      <c r="AE2064" s="34"/>
    </row>
    <row r="2065" spans="1:31" ht="15" thickBot="1" x14ac:dyDescent="0.4">
      <c r="A2065" s="45"/>
      <c r="B2065" s="45"/>
      <c r="C2065" s="46"/>
      <c r="D2065" s="47"/>
      <c r="E2065" s="47"/>
      <c r="F2065" s="47"/>
      <c r="G2065" s="47"/>
      <c r="H2065" s="47"/>
      <c r="I2065" s="47"/>
      <c r="J2065" s="47"/>
      <c r="K2065" s="47"/>
      <c r="L2065" s="47"/>
      <c r="M2065" s="47"/>
      <c r="N2065" s="47"/>
      <c r="O2065" s="47"/>
      <c r="P2065" s="47"/>
      <c r="Q2065" s="47"/>
      <c r="R2065" s="47"/>
      <c r="S2065" s="47"/>
      <c r="T2065" s="45"/>
      <c r="U2065" s="45"/>
      <c r="V2065" s="45"/>
      <c r="W2065" s="45"/>
      <c r="X2065" s="47"/>
      <c r="Y2065" s="45"/>
      <c r="Z2065" s="45"/>
      <c r="AA2065" s="48"/>
      <c r="AB2065" s="48"/>
      <c r="AC2065" s="47"/>
      <c r="AD2065" s="47"/>
      <c r="AE2065" s="47"/>
    </row>
    <row r="2066" spans="1:31" x14ac:dyDescent="0.35">
      <c r="A2066" s="41"/>
      <c r="B2066" s="41"/>
      <c r="C2066" s="42"/>
      <c r="D2066" s="43"/>
      <c r="E2066" s="43"/>
      <c r="F2066" s="43"/>
      <c r="G2066" s="43"/>
      <c r="H2066" s="43"/>
      <c r="I2066" s="43"/>
      <c r="J2066" s="43"/>
      <c r="K2066" s="43"/>
      <c r="L2066" s="43"/>
      <c r="M2066" s="43"/>
      <c r="N2066" s="43"/>
      <c r="O2066" s="43"/>
      <c r="P2066" s="43"/>
      <c r="Q2066" s="43"/>
      <c r="R2066" s="43"/>
      <c r="S2066" s="43"/>
      <c r="T2066" s="43"/>
      <c r="U2066" s="43"/>
      <c r="V2066" s="41"/>
      <c r="W2066" s="41"/>
      <c r="X2066" s="41"/>
      <c r="Y2066" s="41"/>
      <c r="Z2066" s="41"/>
      <c r="AA2066" s="44"/>
      <c r="AB2066" s="44"/>
      <c r="AC2066" s="43"/>
      <c r="AD2066" s="43"/>
      <c r="AE2066" s="43"/>
    </row>
    <row r="2067" spans="1:31" x14ac:dyDescent="0.35">
      <c r="C2067" s="33"/>
      <c r="D2067" s="34"/>
      <c r="E2067" s="34"/>
      <c r="F2067" s="34"/>
      <c r="G2067" s="34"/>
      <c r="H2067" s="34"/>
      <c r="I2067" s="34"/>
      <c r="J2067" s="34"/>
      <c r="K2067" s="34"/>
      <c r="L2067" s="34"/>
      <c r="M2067" s="34"/>
      <c r="N2067" s="34"/>
      <c r="O2067" s="34"/>
      <c r="AA2067" s="35"/>
      <c r="AB2067" s="35"/>
      <c r="AC2067" s="34"/>
      <c r="AD2067" s="34"/>
      <c r="AE2067" s="34"/>
    </row>
    <row r="2068" spans="1:31" ht="15" thickBot="1" x14ac:dyDescent="0.4">
      <c r="A2068" s="45"/>
      <c r="B2068" s="45"/>
      <c r="C2068" s="46"/>
      <c r="D2068" s="47"/>
      <c r="E2068" s="47"/>
      <c r="F2068" s="47"/>
      <c r="G2068" s="47"/>
      <c r="H2068" s="47"/>
      <c r="I2068" s="47"/>
      <c r="J2068" s="47"/>
      <c r="K2068" s="47"/>
      <c r="L2068" s="47"/>
      <c r="M2068" s="47"/>
      <c r="N2068" s="47"/>
      <c r="O2068" s="47"/>
      <c r="P2068" s="47"/>
      <c r="Q2068" s="47"/>
      <c r="R2068" s="47"/>
      <c r="S2068" s="47"/>
      <c r="T2068" s="45"/>
      <c r="U2068" s="45"/>
      <c r="V2068" s="45"/>
      <c r="W2068" s="45"/>
      <c r="X2068" s="47"/>
      <c r="Y2068" s="45"/>
      <c r="Z2068" s="45"/>
      <c r="AA2068" s="48"/>
      <c r="AB2068" s="48"/>
      <c r="AC2068" s="47"/>
      <c r="AD2068" s="47"/>
      <c r="AE2068" s="47"/>
    </row>
    <row r="2069" spans="1:31" x14ac:dyDescent="0.35">
      <c r="A2069" s="41"/>
      <c r="B2069" s="41"/>
      <c r="C2069" s="42"/>
      <c r="D2069" s="43"/>
      <c r="E2069" s="43"/>
      <c r="F2069" s="43"/>
      <c r="G2069" s="43"/>
      <c r="H2069" s="43"/>
      <c r="I2069" s="43"/>
      <c r="J2069" s="43"/>
      <c r="K2069" s="43"/>
      <c r="L2069" s="43"/>
      <c r="M2069" s="43"/>
      <c r="N2069" s="43"/>
      <c r="O2069" s="43"/>
      <c r="P2069" s="43"/>
      <c r="Q2069" s="43"/>
      <c r="R2069" s="43"/>
      <c r="S2069" s="43"/>
      <c r="T2069" s="43"/>
      <c r="U2069" s="43"/>
      <c r="V2069" s="41"/>
      <c r="W2069" s="41"/>
      <c r="X2069" s="41"/>
      <c r="Y2069" s="41"/>
      <c r="Z2069" s="41"/>
      <c r="AA2069" s="44"/>
      <c r="AB2069" s="44"/>
      <c r="AC2069" s="43"/>
      <c r="AD2069" s="43"/>
      <c r="AE2069" s="43"/>
    </row>
    <row r="2070" spans="1:31" x14ac:dyDescent="0.35">
      <c r="C2070" s="33"/>
      <c r="D2070" s="34"/>
      <c r="E2070" s="34"/>
      <c r="F2070" s="34"/>
      <c r="G2070" s="34"/>
      <c r="H2070" s="34"/>
      <c r="I2070" s="34"/>
      <c r="J2070" s="34"/>
      <c r="K2070" s="34"/>
      <c r="L2070" s="34"/>
      <c r="M2070" s="34"/>
      <c r="N2070" s="34"/>
      <c r="O2070" s="34"/>
      <c r="AA2070" s="35"/>
      <c r="AB2070" s="35"/>
      <c r="AC2070" s="34"/>
      <c r="AD2070" s="34"/>
      <c r="AE2070" s="34"/>
    </row>
    <row r="2071" spans="1:31" ht="15" thickBot="1" x14ac:dyDescent="0.4">
      <c r="A2071" s="45"/>
      <c r="B2071" s="45"/>
      <c r="C2071" s="46"/>
      <c r="D2071" s="47"/>
      <c r="E2071" s="47"/>
      <c r="F2071" s="47"/>
      <c r="G2071" s="47"/>
      <c r="H2071" s="47"/>
      <c r="I2071" s="47"/>
      <c r="J2071" s="47"/>
      <c r="K2071" s="47"/>
      <c r="L2071" s="47"/>
      <c r="M2071" s="47"/>
      <c r="N2071" s="47"/>
      <c r="O2071" s="47"/>
      <c r="P2071" s="47"/>
      <c r="Q2071" s="47"/>
      <c r="R2071" s="47"/>
      <c r="S2071" s="47"/>
      <c r="T2071" s="45"/>
      <c r="U2071" s="45"/>
      <c r="V2071" s="45"/>
      <c r="W2071" s="45"/>
      <c r="X2071" s="47"/>
      <c r="Y2071" s="45"/>
      <c r="Z2071" s="45"/>
      <c r="AA2071" s="48"/>
      <c r="AB2071" s="48"/>
      <c r="AC2071" s="47"/>
      <c r="AD2071" s="47"/>
      <c r="AE2071" s="47"/>
    </row>
    <row r="2072" spans="1:31" x14ac:dyDescent="0.35">
      <c r="A2072" s="41"/>
      <c r="B2072" s="41"/>
      <c r="C2072" s="42"/>
      <c r="D2072" s="43"/>
      <c r="E2072" s="43"/>
      <c r="F2072" s="43"/>
      <c r="G2072" s="43"/>
      <c r="H2072" s="43"/>
      <c r="I2072" s="43"/>
      <c r="J2072" s="43"/>
      <c r="K2072" s="43"/>
      <c r="L2072" s="43"/>
      <c r="M2072" s="43"/>
      <c r="N2072" s="43"/>
      <c r="O2072" s="43"/>
      <c r="P2072" s="43"/>
      <c r="Q2072" s="43"/>
      <c r="R2072" s="43"/>
      <c r="S2072" s="43"/>
      <c r="T2072" s="43"/>
      <c r="U2072" s="43"/>
      <c r="V2072" s="41"/>
      <c r="W2072" s="41"/>
      <c r="X2072" s="41"/>
      <c r="Y2072" s="41"/>
      <c r="Z2072" s="41"/>
      <c r="AA2072" s="44"/>
      <c r="AB2072" s="44"/>
      <c r="AC2072" s="43"/>
      <c r="AD2072" s="43"/>
      <c r="AE2072" s="43"/>
    </row>
    <row r="2073" spans="1:31" x14ac:dyDescent="0.35">
      <c r="C2073" s="33"/>
      <c r="D2073" s="34"/>
      <c r="E2073" s="34"/>
      <c r="F2073" s="34"/>
      <c r="G2073" s="34"/>
      <c r="H2073" s="34"/>
      <c r="I2073" s="34"/>
      <c r="J2073" s="34"/>
      <c r="K2073" s="34"/>
      <c r="L2073" s="34"/>
      <c r="M2073" s="34"/>
      <c r="N2073" s="34"/>
      <c r="O2073" s="34"/>
      <c r="AA2073" s="35"/>
      <c r="AB2073" s="35"/>
      <c r="AC2073" s="34"/>
      <c r="AD2073" s="34"/>
      <c r="AE2073" s="34"/>
    </row>
    <row r="2074" spans="1:31" ht="15" thickBot="1" x14ac:dyDescent="0.4">
      <c r="A2074" s="45"/>
      <c r="B2074" s="45"/>
      <c r="C2074" s="46"/>
      <c r="D2074" s="47"/>
      <c r="E2074" s="47"/>
      <c r="F2074" s="47"/>
      <c r="G2074" s="47"/>
      <c r="H2074" s="47"/>
      <c r="I2074" s="47"/>
      <c r="J2074" s="47"/>
      <c r="K2074" s="47"/>
      <c r="L2074" s="47"/>
      <c r="M2074" s="47"/>
      <c r="N2074" s="47"/>
      <c r="O2074" s="47"/>
      <c r="P2074" s="47"/>
      <c r="Q2074" s="47"/>
      <c r="R2074" s="47"/>
      <c r="S2074" s="47"/>
      <c r="T2074" s="45"/>
      <c r="U2074" s="45"/>
      <c r="V2074" s="45"/>
      <c r="W2074" s="45"/>
      <c r="X2074" s="47"/>
      <c r="Y2074" s="45"/>
      <c r="Z2074" s="45"/>
      <c r="AA2074" s="48"/>
      <c r="AB2074" s="48"/>
      <c r="AC2074" s="47"/>
      <c r="AD2074" s="47"/>
      <c r="AE2074" s="47"/>
    </row>
    <row r="2075" spans="1:31" x14ac:dyDescent="0.35">
      <c r="A2075" s="41"/>
      <c r="B2075" s="41"/>
      <c r="C2075" s="42"/>
      <c r="D2075" s="43"/>
      <c r="E2075" s="43"/>
      <c r="F2075" s="43"/>
      <c r="G2075" s="43"/>
      <c r="H2075" s="43"/>
      <c r="I2075" s="43"/>
      <c r="J2075" s="43"/>
      <c r="K2075" s="43"/>
      <c r="L2075" s="43"/>
      <c r="M2075" s="43"/>
      <c r="N2075" s="43"/>
      <c r="O2075" s="43"/>
      <c r="P2075" s="43"/>
      <c r="Q2075" s="43"/>
      <c r="R2075" s="43"/>
      <c r="S2075" s="43"/>
      <c r="T2075" s="43"/>
      <c r="U2075" s="43"/>
      <c r="V2075" s="41"/>
      <c r="W2075" s="41"/>
      <c r="X2075" s="41"/>
      <c r="Y2075" s="41"/>
      <c r="Z2075" s="41"/>
      <c r="AA2075" s="44"/>
      <c r="AB2075" s="44"/>
      <c r="AC2075" s="43"/>
      <c r="AD2075" s="43"/>
      <c r="AE2075" s="43"/>
    </row>
    <row r="2076" spans="1:31" x14ac:dyDescent="0.35">
      <c r="C2076" s="33"/>
      <c r="D2076" s="34"/>
      <c r="E2076" s="34"/>
      <c r="F2076" s="34"/>
      <c r="G2076" s="34"/>
      <c r="H2076" s="34"/>
      <c r="I2076" s="34"/>
      <c r="J2076" s="34"/>
      <c r="K2076" s="34"/>
      <c r="L2076" s="34"/>
      <c r="M2076" s="34"/>
      <c r="N2076" s="34"/>
      <c r="O2076" s="34"/>
      <c r="AA2076" s="35"/>
      <c r="AB2076" s="35"/>
      <c r="AC2076" s="34"/>
      <c r="AD2076" s="34"/>
      <c r="AE2076" s="34"/>
    </row>
    <row r="2077" spans="1:31" ht="15" thickBot="1" x14ac:dyDescent="0.4">
      <c r="A2077" s="45"/>
      <c r="B2077" s="45"/>
      <c r="C2077" s="46"/>
      <c r="D2077" s="47"/>
      <c r="E2077" s="47"/>
      <c r="F2077" s="47"/>
      <c r="G2077" s="47"/>
      <c r="H2077" s="47"/>
      <c r="I2077" s="47"/>
      <c r="J2077" s="47"/>
      <c r="K2077" s="47"/>
      <c r="L2077" s="47"/>
      <c r="M2077" s="47"/>
      <c r="N2077" s="47"/>
      <c r="O2077" s="47"/>
      <c r="P2077" s="47"/>
      <c r="Q2077" s="47"/>
      <c r="R2077" s="47"/>
      <c r="S2077" s="47"/>
      <c r="T2077" s="45"/>
      <c r="U2077" s="45"/>
      <c r="V2077" s="45"/>
      <c r="W2077" s="45"/>
      <c r="X2077" s="47"/>
      <c r="Y2077" s="45"/>
      <c r="Z2077" s="45"/>
      <c r="AA2077" s="48"/>
      <c r="AB2077" s="48"/>
      <c r="AC2077" s="47"/>
      <c r="AD2077" s="47"/>
      <c r="AE2077" s="47"/>
    </row>
    <row r="2078" spans="1:31" x14ac:dyDescent="0.35">
      <c r="A2078" s="41"/>
      <c r="B2078" s="41"/>
      <c r="C2078" s="42"/>
      <c r="D2078" s="43"/>
      <c r="E2078" s="43"/>
      <c r="F2078" s="43"/>
      <c r="G2078" s="43"/>
      <c r="H2078" s="43"/>
      <c r="I2078" s="43"/>
      <c r="J2078" s="43"/>
      <c r="K2078" s="43"/>
      <c r="L2078" s="43"/>
      <c r="M2078" s="43"/>
      <c r="N2078" s="43"/>
      <c r="O2078" s="43"/>
      <c r="P2078" s="43"/>
      <c r="Q2078" s="43"/>
      <c r="R2078" s="43"/>
      <c r="S2078" s="43"/>
      <c r="T2078" s="43"/>
      <c r="U2078" s="43"/>
      <c r="V2078" s="41"/>
      <c r="W2078" s="41"/>
      <c r="X2078" s="41"/>
      <c r="Y2078" s="41"/>
      <c r="Z2078" s="41"/>
      <c r="AA2078" s="44"/>
      <c r="AB2078" s="44"/>
      <c r="AC2078" s="43"/>
      <c r="AD2078" s="43"/>
      <c r="AE2078" s="43"/>
    </row>
    <row r="2079" spans="1:31" x14ac:dyDescent="0.35">
      <c r="C2079" s="33"/>
      <c r="D2079" s="34"/>
      <c r="E2079" s="34"/>
      <c r="F2079" s="34"/>
      <c r="G2079" s="34"/>
      <c r="H2079" s="34"/>
      <c r="I2079" s="34"/>
      <c r="J2079" s="34"/>
      <c r="K2079" s="34"/>
      <c r="L2079" s="34"/>
      <c r="M2079" s="34"/>
      <c r="N2079" s="34"/>
      <c r="O2079" s="34"/>
      <c r="AA2079" s="35"/>
      <c r="AB2079" s="35"/>
      <c r="AC2079" s="34"/>
      <c r="AD2079" s="34"/>
      <c r="AE2079" s="34"/>
    </row>
    <row r="2080" spans="1:31" ht="15" thickBot="1" x14ac:dyDescent="0.4">
      <c r="A2080" s="45"/>
      <c r="B2080" s="45"/>
      <c r="C2080" s="46"/>
      <c r="D2080" s="47"/>
      <c r="E2080" s="47"/>
      <c r="F2080" s="47"/>
      <c r="G2080" s="47"/>
      <c r="H2080" s="47"/>
      <c r="I2080" s="47"/>
      <c r="J2080" s="47"/>
      <c r="K2080" s="47"/>
      <c r="L2080" s="47"/>
      <c r="M2080" s="47"/>
      <c r="N2080" s="47"/>
      <c r="O2080" s="47"/>
      <c r="P2080" s="47"/>
      <c r="Q2080" s="47"/>
      <c r="R2080" s="47"/>
      <c r="S2080" s="47"/>
      <c r="T2080" s="45"/>
      <c r="U2080" s="45"/>
      <c r="V2080" s="45"/>
      <c r="W2080" s="45"/>
      <c r="X2080" s="47"/>
      <c r="Y2080" s="45"/>
      <c r="Z2080" s="45"/>
      <c r="AA2080" s="48"/>
      <c r="AB2080" s="48"/>
      <c r="AC2080" s="47"/>
      <c r="AD2080" s="47"/>
      <c r="AE2080" s="47"/>
    </row>
    <row r="2081" spans="1:31" x14ac:dyDescent="0.35">
      <c r="A2081" s="41"/>
      <c r="B2081" s="41"/>
      <c r="C2081" s="42"/>
      <c r="D2081" s="43"/>
      <c r="E2081" s="43"/>
      <c r="F2081" s="43"/>
      <c r="G2081" s="43"/>
      <c r="H2081" s="43"/>
      <c r="I2081" s="43"/>
      <c r="J2081" s="43"/>
      <c r="K2081" s="43"/>
      <c r="L2081" s="43"/>
      <c r="M2081" s="43"/>
      <c r="N2081" s="43"/>
      <c r="O2081" s="43"/>
      <c r="P2081" s="43"/>
      <c r="Q2081" s="43"/>
      <c r="R2081" s="43"/>
      <c r="S2081" s="43"/>
      <c r="T2081" s="43"/>
      <c r="U2081" s="43"/>
      <c r="V2081" s="41"/>
      <c r="W2081" s="41"/>
      <c r="X2081" s="41"/>
      <c r="Y2081" s="41"/>
      <c r="Z2081" s="41"/>
      <c r="AA2081" s="44"/>
      <c r="AB2081" s="44"/>
      <c r="AC2081" s="43"/>
      <c r="AD2081" s="43"/>
      <c r="AE2081" s="43"/>
    </row>
    <row r="2082" spans="1:31" x14ac:dyDescent="0.35">
      <c r="C2082" s="33"/>
      <c r="D2082" s="34"/>
      <c r="E2082" s="34"/>
      <c r="F2082" s="34"/>
      <c r="G2082" s="34"/>
      <c r="H2082" s="34"/>
      <c r="I2082" s="34"/>
      <c r="J2082" s="34"/>
      <c r="K2082" s="34"/>
      <c r="L2082" s="34"/>
      <c r="M2082" s="34"/>
      <c r="N2082" s="34"/>
      <c r="O2082" s="34"/>
      <c r="AA2082" s="35"/>
      <c r="AB2082" s="35"/>
      <c r="AC2082" s="34"/>
      <c r="AD2082" s="34"/>
      <c r="AE2082" s="34"/>
    </row>
    <row r="2083" spans="1:31" ht="15" thickBot="1" x14ac:dyDescent="0.4">
      <c r="A2083" s="45"/>
      <c r="B2083" s="45"/>
      <c r="C2083" s="46"/>
      <c r="D2083" s="47"/>
      <c r="E2083" s="47"/>
      <c r="F2083" s="47"/>
      <c r="G2083" s="47"/>
      <c r="H2083" s="47"/>
      <c r="I2083" s="47"/>
      <c r="J2083" s="47"/>
      <c r="K2083" s="47"/>
      <c r="L2083" s="47"/>
      <c r="M2083" s="47"/>
      <c r="N2083" s="47"/>
      <c r="O2083" s="47"/>
      <c r="P2083" s="47"/>
      <c r="Q2083" s="47"/>
      <c r="R2083" s="47"/>
      <c r="S2083" s="47"/>
      <c r="T2083" s="45"/>
      <c r="U2083" s="45"/>
      <c r="V2083" s="45"/>
      <c r="W2083" s="45"/>
      <c r="X2083" s="47"/>
      <c r="Y2083" s="45"/>
      <c r="Z2083" s="45"/>
      <c r="AA2083" s="48"/>
      <c r="AB2083" s="48"/>
      <c r="AC2083" s="47"/>
      <c r="AD2083" s="47"/>
      <c r="AE2083" s="47"/>
    </row>
    <row r="2084" spans="1:31" x14ac:dyDescent="0.35">
      <c r="A2084" s="41"/>
      <c r="B2084" s="41"/>
      <c r="C2084" s="42"/>
      <c r="D2084" s="43"/>
      <c r="E2084" s="43"/>
      <c r="F2084" s="43"/>
      <c r="G2084" s="43"/>
      <c r="H2084" s="43"/>
      <c r="I2084" s="43"/>
      <c r="J2084" s="43"/>
      <c r="K2084" s="43"/>
      <c r="L2084" s="43"/>
      <c r="M2084" s="43"/>
      <c r="N2084" s="43"/>
      <c r="O2084" s="43"/>
      <c r="P2084" s="43"/>
      <c r="Q2084" s="43"/>
      <c r="R2084" s="43"/>
      <c r="S2084" s="43"/>
      <c r="T2084" s="43"/>
      <c r="U2084" s="43"/>
      <c r="V2084" s="41"/>
      <c r="W2084" s="41"/>
      <c r="X2084" s="41"/>
      <c r="Y2084" s="41"/>
      <c r="Z2084" s="41"/>
      <c r="AA2084" s="44"/>
      <c r="AB2084" s="44"/>
      <c r="AC2084" s="43"/>
      <c r="AD2084" s="43"/>
      <c r="AE2084" s="43"/>
    </row>
    <row r="2085" spans="1:31" x14ac:dyDescent="0.35">
      <c r="C2085" s="33"/>
      <c r="D2085" s="34"/>
      <c r="E2085" s="34"/>
      <c r="F2085" s="34"/>
      <c r="G2085" s="34"/>
      <c r="H2085" s="34"/>
      <c r="I2085" s="34"/>
      <c r="J2085" s="34"/>
      <c r="K2085" s="34"/>
      <c r="L2085" s="34"/>
      <c r="M2085" s="34"/>
      <c r="N2085" s="34"/>
      <c r="O2085" s="34"/>
      <c r="AA2085" s="35"/>
      <c r="AB2085" s="35"/>
      <c r="AC2085" s="34"/>
      <c r="AD2085" s="34"/>
      <c r="AE2085" s="34"/>
    </row>
    <row r="2086" spans="1:31" ht="15" thickBot="1" x14ac:dyDescent="0.4">
      <c r="A2086" s="45"/>
      <c r="B2086" s="45"/>
      <c r="C2086" s="46"/>
      <c r="D2086" s="47"/>
      <c r="E2086" s="47"/>
      <c r="F2086" s="47"/>
      <c r="G2086" s="47"/>
      <c r="H2086" s="47"/>
      <c r="I2086" s="47"/>
      <c r="J2086" s="47"/>
      <c r="K2086" s="47"/>
      <c r="L2086" s="47"/>
      <c r="M2086" s="47"/>
      <c r="N2086" s="47"/>
      <c r="O2086" s="47"/>
      <c r="P2086" s="47"/>
      <c r="Q2086" s="47"/>
      <c r="R2086" s="47"/>
      <c r="S2086" s="47"/>
      <c r="T2086" s="45"/>
      <c r="U2086" s="45"/>
      <c r="V2086" s="45"/>
      <c r="W2086" s="45"/>
      <c r="X2086" s="47"/>
      <c r="Y2086" s="45"/>
      <c r="Z2086" s="45"/>
      <c r="AA2086" s="48"/>
      <c r="AB2086" s="48"/>
      <c r="AC2086" s="47"/>
      <c r="AD2086" s="47"/>
      <c r="AE2086" s="47"/>
    </row>
    <row r="2087" spans="1:31" x14ac:dyDescent="0.35">
      <c r="A2087" s="41"/>
      <c r="B2087" s="41"/>
      <c r="C2087" s="42"/>
      <c r="D2087" s="43"/>
      <c r="E2087" s="43"/>
      <c r="F2087" s="43"/>
      <c r="G2087" s="43"/>
      <c r="H2087" s="43"/>
      <c r="I2087" s="43"/>
      <c r="J2087" s="43"/>
      <c r="K2087" s="43"/>
      <c r="L2087" s="43"/>
      <c r="M2087" s="43"/>
      <c r="N2087" s="43"/>
      <c r="O2087" s="43"/>
      <c r="P2087" s="43"/>
      <c r="Q2087" s="43"/>
      <c r="R2087" s="43"/>
      <c r="S2087" s="43"/>
      <c r="T2087" s="43"/>
      <c r="U2087" s="43"/>
      <c r="V2087" s="41"/>
      <c r="W2087" s="41"/>
      <c r="X2087" s="41"/>
      <c r="Y2087" s="41"/>
      <c r="Z2087" s="41"/>
      <c r="AA2087" s="44"/>
      <c r="AB2087" s="44"/>
      <c r="AC2087" s="43"/>
      <c r="AD2087" s="43"/>
      <c r="AE2087" s="43"/>
    </row>
    <row r="2088" spans="1:31" x14ac:dyDescent="0.35">
      <c r="C2088" s="33"/>
      <c r="D2088" s="34"/>
      <c r="E2088" s="34"/>
      <c r="F2088" s="34"/>
      <c r="G2088" s="34"/>
      <c r="H2088" s="34"/>
      <c r="I2088" s="34"/>
      <c r="J2088" s="34"/>
      <c r="K2088" s="34"/>
      <c r="L2088" s="34"/>
      <c r="M2088" s="34"/>
      <c r="N2088" s="34"/>
      <c r="O2088" s="34"/>
      <c r="AA2088" s="35"/>
      <c r="AB2088" s="35"/>
      <c r="AC2088" s="34"/>
      <c r="AD2088" s="34"/>
      <c r="AE2088" s="34"/>
    </row>
    <row r="2089" spans="1:31" ht="15" thickBot="1" x14ac:dyDescent="0.4">
      <c r="A2089" s="45"/>
      <c r="B2089" s="45"/>
      <c r="C2089" s="46"/>
      <c r="D2089" s="47"/>
      <c r="E2089" s="47"/>
      <c r="F2089" s="47"/>
      <c r="G2089" s="47"/>
      <c r="H2089" s="47"/>
      <c r="I2089" s="47"/>
      <c r="J2089" s="47"/>
      <c r="K2089" s="47"/>
      <c r="L2089" s="47"/>
      <c r="M2089" s="47"/>
      <c r="N2089" s="47"/>
      <c r="O2089" s="47"/>
      <c r="P2089" s="47"/>
      <c r="Q2089" s="47"/>
      <c r="R2089" s="47"/>
      <c r="S2089" s="47"/>
      <c r="T2089" s="45"/>
      <c r="U2089" s="45"/>
      <c r="V2089" s="45"/>
      <c r="W2089" s="45"/>
      <c r="X2089" s="47"/>
      <c r="Y2089" s="45"/>
      <c r="Z2089" s="45"/>
      <c r="AA2089" s="48"/>
      <c r="AB2089" s="48"/>
      <c r="AC2089" s="47"/>
      <c r="AD2089" s="47"/>
      <c r="AE2089" s="47"/>
    </row>
    <row r="2090" spans="1:31" x14ac:dyDescent="0.35">
      <c r="A2090" s="41"/>
      <c r="B2090" s="41"/>
      <c r="C2090" s="42"/>
      <c r="D2090" s="43"/>
      <c r="E2090" s="43"/>
      <c r="F2090" s="43"/>
      <c r="G2090" s="43"/>
      <c r="H2090" s="43"/>
      <c r="I2090" s="43"/>
      <c r="J2090" s="43"/>
      <c r="K2090" s="43"/>
      <c r="L2090" s="43"/>
      <c r="M2090" s="43"/>
      <c r="N2090" s="43"/>
      <c r="O2090" s="43"/>
      <c r="P2090" s="43"/>
      <c r="Q2090" s="43"/>
      <c r="R2090" s="43"/>
      <c r="S2090" s="43"/>
      <c r="T2090" s="43"/>
      <c r="U2090" s="43"/>
      <c r="V2090" s="41"/>
      <c r="W2090" s="41"/>
      <c r="X2090" s="41"/>
      <c r="Y2090" s="41"/>
      <c r="Z2090" s="41"/>
      <c r="AA2090" s="44"/>
      <c r="AB2090" s="44"/>
      <c r="AC2090" s="43"/>
      <c r="AD2090" s="43"/>
      <c r="AE2090" s="43"/>
    </row>
    <row r="2091" spans="1:31" x14ac:dyDescent="0.35">
      <c r="C2091" s="33"/>
      <c r="D2091" s="34"/>
      <c r="E2091" s="34"/>
      <c r="F2091" s="34"/>
      <c r="G2091" s="34"/>
      <c r="H2091" s="34"/>
      <c r="I2091" s="34"/>
      <c r="J2091" s="34"/>
      <c r="K2091" s="34"/>
      <c r="L2091" s="34"/>
      <c r="M2091" s="34"/>
      <c r="N2091" s="34"/>
      <c r="O2091" s="34"/>
      <c r="AA2091" s="35"/>
      <c r="AB2091" s="35"/>
      <c r="AC2091" s="34"/>
      <c r="AD2091" s="34"/>
      <c r="AE2091" s="34"/>
    </row>
    <row r="2092" spans="1:31" ht="15" thickBot="1" x14ac:dyDescent="0.4">
      <c r="A2092" s="45"/>
      <c r="B2092" s="45"/>
      <c r="C2092" s="46"/>
      <c r="D2092" s="47"/>
      <c r="E2092" s="47"/>
      <c r="F2092" s="47"/>
      <c r="G2092" s="47"/>
      <c r="H2092" s="47"/>
      <c r="I2092" s="47"/>
      <c r="J2092" s="47"/>
      <c r="K2092" s="47"/>
      <c r="L2092" s="47"/>
      <c r="M2092" s="47"/>
      <c r="N2092" s="47"/>
      <c r="O2092" s="47"/>
      <c r="P2092" s="47"/>
      <c r="Q2092" s="47"/>
      <c r="R2092" s="47"/>
      <c r="S2092" s="47"/>
      <c r="T2092" s="45"/>
      <c r="U2092" s="45"/>
      <c r="V2092" s="45"/>
      <c r="W2092" s="45"/>
      <c r="X2092" s="47"/>
      <c r="Y2092" s="45"/>
      <c r="Z2092" s="45"/>
      <c r="AA2092" s="48"/>
      <c r="AB2092" s="48"/>
      <c r="AC2092" s="47"/>
      <c r="AD2092" s="47"/>
      <c r="AE2092" s="47"/>
    </row>
    <row r="2093" spans="1:31" x14ac:dyDescent="0.35">
      <c r="A2093" s="41"/>
      <c r="B2093" s="41"/>
      <c r="C2093" s="42"/>
      <c r="D2093" s="43"/>
      <c r="E2093" s="43"/>
      <c r="F2093" s="43"/>
      <c r="G2093" s="43"/>
      <c r="H2093" s="43"/>
      <c r="I2093" s="43"/>
      <c r="J2093" s="43"/>
      <c r="K2093" s="43"/>
      <c r="L2093" s="43"/>
      <c r="M2093" s="43"/>
      <c r="N2093" s="43"/>
      <c r="O2093" s="43"/>
      <c r="P2093" s="43"/>
      <c r="Q2093" s="43"/>
      <c r="R2093" s="43"/>
      <c r="S2093" s="43"/>
      <c r="T2093" s="43"/>
      <c r="U2093" s="43"/>
      <c r="V2093" s="41"/>
      <c r="W2093" s="41"/>
      <c r="X2093" s="41"/>
      <c r="Y2093" s="41"/>
      <c r="Z2093" s="41"/>
      <c r="AA2093" s="44"/>
      <c r="AB2093" s="44"/>
      <c r="AC2093" s="43"/>
      <c r="AD2093" s="43"/>
      <c r="AE2093" s="43"/>
    </row>
    <row r="2094" spans="1:31" x14ac:dyDescent="0.35">
      <c r="C2094" s="33"/>
      <c r="D2094" s="34"/>
      <c r="E2094" s="34"/>
      <c r="F2094" s="34"/>
      <c r="G2094" s="34"/>
      <c r="H2094" s="34"/>
      <c r="I2094" s="34"/>
      <c r="J2094" s="34"/>
      <c r="K2094" s="34"/>
      <c r="L2094" s="34"/>
      <c r="M2094" s="34"/>
      <c r="N2094" s="34"/>
      <c r="O2094" s="34"/>
      <c r="AA2094" s="35"/>
      <c r="AB2094" s="35"/>
      <c r="AC2094" s="34"/>
      <c r="AD2094" s="34"/>
      <c r="AE2094" s="34"/>
    </row>
    <row r="2095" spans="1:31" ht="15" thickBot="1" x14ac:dyDescent="0.4">
      <c r="A2095" s="45"/>
      <c r="B2095" s="45"/>
      <c r="C2095" s="46"/>
      <c r="D2095" s="47"/>
      <c r="E2095" s="47"/>
      <c r="F2095" s="47"/>
      <c r="G2095" s="47"/>
      <c r="H2095" s="47"/>
      <c r="I2095" s="47"/>
      <c r="J2095" s="47"/>
      <c r="K2095" s="47"/>
      <c r="L2095" s="47"/>
      <c r="M2095" s="47"/>
      <c r="N2095" s="47"/>
      <c r="O2095" s="47"/>
      <c r="P2095" s="47"/>
      <c r="Q2095" s="47"/>
      <c r="R2095" s="47"/>
      <c r="S2095" s="47"/>
      <c r="T2095" s="45"/>
      <c r="U2095" s="45"/>
      <c r="V2095" s="45"/>
      <c r="W2095" s="45"/>
      <c r="X2095" s="47"/>
      <c r="Y2095" s="45"/>
      <c r="Z2095" s="45"/>
      <c r="AA2095" s="48"/>
      <c r="AB2095" s="48"/>
      <c r="AC2095" s="47"/>
      <c r="AD2095" s="47"/>
      <c r="AE2095" s="47"/>
    </row>
    <row r="2096" spans="1:31" x14ac:dyDescent="0.35">
      <c r="A2096" s="41"/>
      <c r="B2096" s="41"/>
      <c r="C2096" s="42"/>
      <c r="D2096" s="43"/>
      <c r="E2096" s="43"/>
      <c r="F2096" s="43"/>
      <c r="G2096" s="43"/>
      <c r="H2096" s="43"/>
      <c r="I2096" s="43"/>
      <c r="J2096" s="43"/>
      <c r="K2096" s="43"/>
      <c r="L2096" s="43"/>
      <c r="M2096" s="43"/>
      <c r="N2096" s="43"/>
      <c r="O2096" s="43"/>
      <c r="P2096" s="43"/>
      <c r="Q2096" s="43"/>
      <c r="R2096" s="43"/>
      <c r="S2096" s="43"/>
      <c r="T2096" s="43"/>
      <c r="U2096" s="43"/>
      <c r="V2096" s="41"/>
      <c r="W2096" s="41"/>
      <c r="X2096" s="41"/>
      <c r="Y2096" s="41"/>
      <c r="Z2096" s="41"/>
      <c r="AA2096" s="44"/>
      <c r="AB2096" s="44"/>
      <c r="AC2096" s="43"/>
      <c r="AD2096" s="43"/>
      <c r="AE2096" s="43"/>
    </row>
    <row r="2097" spans="1:31" x14ac:dyDescent="0.35">
      <c r="C2097" s="33"/>
      <c r="D2097" s="34"/>
      <c r="E2097" s="34"/>
      <c r="F2097" s="34"/>
      <c r="G2097" s="34"/>
      <c r="H2097" s="34"/>
      <c r="I2097" s="34"/>
      <c r="J2097" s="34"/>
      <c r="K2097" s="34"/>
      <c r="L2097" s="34"/>
      <c r="M2097" s="34"/>
      <c r="N2097" s="34"/>
      <c r="O2097" s="34"/>
      <c r="AA2097" s="35"/>
      <c r="AB2097" s="35"/>
      <c r="AC2097" s="34"/>
      <c r="AD2097" s="34"/>
      <c r="AE2097" s="34"/>
    </row>
    <row r="2098" spans="1:31" ht="15" thickBot="1" x14ac:dyDescent="0.4">
      <c r="A2098" s="45"/>
      <c r="B2098" s="45"/>
      <c r="C2098" s="46"/>
      <c r="D2098" s="47"/>
      <c r="E2098" s="47"/>
      <c r="F2098" s="47"/>
      <c r="G2098" s="47"/>
      <c r="H2098" s="47"/>
      <c r="I2098" s="47"/>
      <c r="J2098" s="47"/>
      <c r="K2098" s="47"/>
      <c r="L2098" s="47"/>
      <c r="M2098" s="47"/>
      <c r="N2098" s="47"/>
      <c r="O2098" s="47"/>
      <c r="P2098" s="47"/>
      <c r="Q2098" s="47"/>
      <c r="R2098" s="47"/>
      <c r="S2098" s="47"/>
      <c r="T2098" s="45"/>
      <c r="U2098" s="45"/>
      <c r="V2098" s="45"/>
      <c r="W2098" s="45"/>
      <c r="X2098" s="47"/>
      <c r="Y2098" s="45"/>
      <c r="Z2098" s="45"/>
      <c r="AA2098" s="48"/>
      <c r="AB2098" s="48"/>
      <c r="AC2098" s="47"/>
      <c r="AD2098" s="47"/>
      <c r="AE2098" s="47"/>
    </row>
    <row r="2099" spans="1:31" x14ac:dyDescent="0.35">
      <c r="A2099" s="41"/>
      <c r="B2099" s="41"/>
      <c r="C2099" s="42"/>
      <c r="D2099" s="43"/>
      <c r="E2099" s="43"/>
      <c r="F2099" s="43"/>
      <c r="G2099" s="43"/>
      <c r="H2099" s="43"/>
      <c r="I2099" s="43"/>
      <c r="J2099" s="43"/>
      <c r="K2099" s="43"/>
      <c r="L2099" s="43"/>
      <c r="M2099" s="43"/>
      <c r="N2099" s="43"/>
      <c r="O2099" s="43"/>
      <c r="P2099" s="43"/>
      <c r="Q2099" s="43"/>
      <c r="R2099" s="43"/>
      <c r="S2099" s="43"/>
      <c r="T2099" s="43"/>
      <c r="U2099" s="43"/>
      <c r="V2099" s="41"/>
      <c r="W2099" s="41"/>
      <c r="X2099" s="41"/>
      <c r="Y2099" s="41"/>
      <c r="Z2099" s="41"/>
      <c r="AA2099" s="44"/>
      <c r="AB2099" s="44"/>
      <c r="AC2099" s="43"/>
      <c r="AD2099" s="43"/>
      <c r="AE2099" s="43"/>
    </row>
    <row r="2100" spans="1:31" x14ac:dyDescent="0.35">
      <c r="C2100" s="33"/>
      <c r="D2100" s="34"/>
      <c r="E2100" s="34"/>
      <c r="F2100" s="34"/>
      <c r="G2100" s="34"/>
      <c r="H2100" s="34"/>
      <c r="I2100" s="34"/>
      <c r="J2100" s="34"/>
      <c r="K2100" s="34"/>
      <c r="L2100" s="34"/>
      <c r="M2100" s="34"/>
      <c r="N2100" s="34"/>
      <c r="O2100" s="34"/>
      <c r="AA2100" s="35"/>
      <c r="AB2100" s="35"/>
      <c r="AC2100" s="34"/>
      <c r="AD2100" s="34"/>
      <c r="AE2100" s="34"/>
    </row>
    <row r="2101" spans="1:31" ht="15" thickBot="1" x14ac:dyDescent="0.4">
      <c r="A2101" s="45"/>
      <c r="B2101" s="45"/>
      <c r="C2101" s="46"/>
      <c r="D2101" s="47"/>
      <c r="E2101" s="47"/>
      <c r="F2101" s="47"/>
      <c r="G2101" s="47"/>
      <c r="H2101" s="47"/>
      <c r="I2101" s="47"/>
      <c r="J2101" s="47"/>
      <c r="K2101" s="47"/>
      <c r="L2101" s="47"/>
      <c r="M2101" s="47"/>
      <c r="N2101" s="47"/>
      <c r="O2101" s="47"/>
      <c r="P2101" s="47"/>
      <c r="Q2101" s="47"/>
      <c r="R2101" s="47"/>
      <c r="S2101" s="47"/>
      <c r="T2101" s="45"/>
      <c r="U2101" s="45"/>
      <c r="V2101" s="45"/>
      <c r="W2101" s="45"/>
      <c r="X2101" s="47"/>
      <c r="Y2101" s="45"/>
      <c r="Z2101" s="45"/>
      <c r="AA2101" s="48"/>
      <c r="AB2101" s="48"/>
      <c r="AC2101" s="47"/>
      <c r="AD2101" s="47"/>
      <c r="AE2101" s="47"/>
    </row>
    <row r="2102" spans="1:31" x14ac:dyDescent="0.35">
      <c r="A2102" s="41"/>
      <c r="B2102" s="41"/>
      <c r="C2102" s="42"/>
      <c r="D2102" s="43"/>
      <c r="E2102" s="43"/>
      <c r="F2102" s="43"/>
      <c r="G2102" s="43"/>
      <c r="H2102" s="43"/>
      <c r="I2102" s="43"/>
      <c r="J2102" s="43"/>
      <c r="K2102" s="43"/>
      <c r="L2102" s="43"/>
      <c r="M2102" s="43"/>
      <c r="N2102" s="43"/>
      <c r="O2102" s="43"/>
      <c r="P2102" s="43"/>
      <c r="Q2102" s="43"/>
      <c r="R2102" s="43"/>
      <c r="S2102" s="43"/>
      <c r="T2102" s="43"/>
      <c r="U2102" s="43"/>
      <c r="V2102" s="41"/>
      <c r="W2102" s="41"/>
      <c r="X2102" s="41"/>
      <c r="Y2102" s="41"/>
      <c r="Z2102" s="41"/>
      <c r="AA2102" s="44"/>
      <c r="AB2102" s="44"/>
      <c r="AC2102" s="43"/>
      <c r="AD2102" s="43"/>
      <c r="AE2102" s="43"/>
    </row>
    <row r="2103" spans="1:31" x14ac:dyDescent="0.35">
      <c r="C2103" s="33"/>
      <c r="D2103" s="34"/>
      <c r="E2103" s="34"/>
      <c r="F2103" s="34"/>
      <c r="G2103" s="34"/>
      <c r="H2103" s="34"/>
      <c r="I2103" s="34"/>
      <c r="J2103" s="34"/>
      <c r="K2103" s="34"/>
      <c r="L2103" s="34"/>
      <c r="M2103" s="34"/>
      <c r="N2103" s="34"/>
      <c r="O2103" s="34"/>
      <c r="AA2103" s="35"/>
      <c r="AB2103" s="35"/>
      <c r="AC2103" s="34"/>
      <c r="AD2103" s="34"/>
      <c r="AE2103" s="34"/>
    </row>
    <row r="2104" spans="1:31" ht="15" thickBot="1" x14ac:dyDescent="0.4">
      <c r="A2104" s="45"/>
      <c r="B2104" s="45"/>
      <c r="C2104" s="46"/>
      <c r="D2104" s="47"/>
      <c r="E2104" s="47"/>
      <c r="F2104" s="47"/>
      <c r="G2104" s="47"/>
      <c r="H2104" s="47"/>
      <c r="I2104" s="47"/>
      <c r="J2104" s="47"/>
      <c r="K2104" s="47"/>
      <c r="L2104" s="47"/>
      <c r="M2104" s="47"/>
      <c r="N2104" s="47"/>
      <c r="O2104" s="47"/>
      <c r="P2104" s="47"/>
      <c r="Q2104" s="47"/>
      <c r="R2104" s="47"/>
      <c r="S2104" s="47"/>
      <c r="T2104" s="45"/>
      <c r="U2104" s="45"/>
      <c r="V2104" s="45"/>
      <c r="W2104" s="45"/>
      <c r="X2104" s="47"/>
      <c r="Y2104" s="45"/>
      <c r="Z2104" s="45"/>
      <c r="AA2104" s="48"/>
      <c r="AB2104" s="48"/>
      <c r="AC2104" s="47"/>
      <c r="AD2104" s="47"/>
      <c r="AE2104" s="47"/>
    </row>
    <row r="2105" spans="1:31" x14ac:dyDescent="0.35">
      <c r="A2105" s="41"/>
      <c r="B2105" s="41"/>
      <c r="C2105" s="42"/>
      <c r="D2105" s="43"/>
      <c r="E2105" s="43"/>
      <c r="F2105" s="43"/>
      <c r="G2105" s="43"/>
      <c r="H2105" s="43"/>
      <c r="I2105" s="43"/>
      <c r="J2105" s="43"/>
      <c r="K2105" s="43"/>
      <c r="L2105" s="43"/>
      <c r="M2105" s="43"/>
      <c r="N2105" s="43"/>
      <c r="O2105" s="43"/>
      <c r="P2105" s="43"/>
      <c r="Q2105" s="43"/>
      <c r="R2105" s="43"/>
      <c r="S2105" s="43"/>
      <c r="T2105" s="43"/>
      <c r="U2105" s="43"/>
      <c r="V2105" s="41"/>
      <c r="W2105" s="41"/>
      <c r="X2105" s="41"/>
      <c r="Y2105" s="41"/>
      <c r="Z2105" s="41"/>
      <c r="AA2105" s="44"/>
      <c r="AB2105" s="44"/>
      <c r="AC2105" s="43"/>
      <c r="AD2105" s="43"/>
      <c r="AE2105" s="43"/>
    </row>
    <row r="2106" spans="1:31" x14ac:dyDescent="0.35">
      <c r="C2106" s="33"/>
      <c r="D2106" s="34"/>
      <c r="E2106" s="34"/>
      <c r="F2106" s="34"/>
      <c r="G2106" s="34"/>
      <c r="H2106" s="34"/>
      <c r="I2106" s="34"/>
      <c r="J2106" s="34"/>
      <c r="K2106" s="34"/>
      <c r="L2106" s="34"/>
      <c r="M2106" s="34"/>
      <c r="N2106" s="34"/>
      <c r="O2106" s="34"/>
      <c r="AA2106" s="35"/>
      <c r="AB2106" s="35"/>
      <c r="AC2106" s="34"/>
      <c r="AD2106" s="34"/>
      <c r="AE2106" s="34"/>
    </row>
    <row r="2107" spans="1:31" ht="15" thickBot="1" x14ac:dyDescent="0.4">
      <c r="A2107" s="45"/>
      <c r="B2107" s="45"/>
      <c r="C2107" s="46"/>
      <c r="D2107" s="47"/>
      <c r="E2107" s="47"/>
      <c r="F2107" s="47"/>
      <c r="G2107" s="47"/>
      <c r="H2107" s="47"/>
      <c r="I2107" s="47"/>
      <c r="J2107" s="47"/>
      <c r="K2107" s="47"/>
      <c r="L2107" s="47"/>
      <c r="M2107" s="47"/>
      <c r="N2107" s="47"/>
      <c r="O2107" s="47"/>
      <c r="P2107" s="47"/>
      <c r="Q2107" s="47"/>
      <c r="R2107" s="47"/>
      <c r="S2107" s="47"/>
      <c r="T2107" s="45"/>
      <c r="U2107" s="45"/>
      <c r="V2107" s="45"/>
      <c r="W2107" s="45"/>
      <c r="X2107" s="47"/>
      <c r="Y2107" s="45"/>
      <c r="Z2107" s="45"/>
      <c r="AA2107" s="48"/>
      <c r="AB2107" s="48"/>
      <c r="AC2107" s="47"/>
      <c r="AD2107" s="47"/>
      <c r="AE2107" s="47"/>
    </row>
    <row r="2108" spans="1:31" x14ac:dyDescent="0.35">
      <c r="A2108" s="41"/>
      <c r="B2108" s="41"/>
      <c r="C2108" s="42"/>
      <c r="D2108" s="43"/>
      <c r="E2108" s="43"/>
      <c r="F2108" s="43"/>
      <c r="G2108" s="43"/>
      <c r="H2108" s="43"/>
      <c r="I2108" s="43"/>
      <c r="J2108" s="43"/>
      <c r="K2108" s="43"/>
      <c r="L2108" s="43"/>
      <c r="M2108" s="43"/>
      <c r="N2108" s="43"/>
      <c r="O2108" s="43"/>
      <c r="P2108" s="43"/>
      <c r="Q2108" s="43"/>
      <c r="R2108" s="43"/>
      <c r="S2108" s="43"/>
      <c r="T2108" s="43"/>
      <c r="U2108" s="43"/>
      <c r="V2108" s="41"/>
      <c r="W2108" s="41"/>
      <c r="X2108" s="41"/>
      <c r="Y2108" s="41"/>
      <c r="Z2108" s="41"/>
      <c r="AA2108" s="44"/>
      <c r="AB2108" s="44"/>
      <c r="AC2108" s="43"/>
      <c r="AD2108" s="43"/>
      <c r="AE2108" s="43"/>
    </row>
    <row r="2109" spans="1:31" x14ac:dyDescent="0.35">
      <c r="C2109" s="33"/>
      <c r="D2109" s="34"/>
      <c r="E2109" s="34"/>
      <c r="F2109" s="34"/>
      <c r="G2109" s="34"/>
      <c r="H2109" s="34"/>
      <c r="I2109" s="34"/>
      <c r="J2109" s="34"/>
      <c r="K2109" s="34"/>
      <c r="L2109" s="34"/>
      <c r="M2109" s="34"/>
      <c r="N2109" s="34"/>
      <c r="O2109" s="34"/>
      <c r="AA2109" s="35"/>
      <c r="AB2109" s="35"/>
      <c r="AC2109" s="34"/>
      <c r="AD2109" s="34"/>
      <c r="AE2109" s="34"/>
    </row>
    <row r="2110" spans="1:31" ht="15" thickBot="1" x14ac:dyDescent="0.4">
      <c r="A2110" s="45"/>
      <c r="B2110" s="45"/>
      <c r="C2110" s="46"/>
      <c r="D2110" s="47"/>
      <c r="E2110" s="47"/>
      <c r="F2110" s="47"/>
      <c r="G2110" s="47"/>
      <c r="H2110" s="47"/>
      <c r="I2110" s="47"/>
      <c r="J2110" s="47"/>
      <c r="K2110" s="47"/>
      <c r="L2110" s="47"/>
      <c r="M2110" s="47"/>
      <c r="N2110" s="47"/>
      <c r="O2110" s="47"/>
      <c r="P2110" s="47"/>
      <c r="Q2110" s="47"/>
      <c r="R2110" s="47"/>
      <c r="S2110" s="47"/>
      <c r="T2110" s="45"/>
      <c r="U2110" s="45"/>
      <c r="V2110" s="45"/>
      <c r="W2110" s="45"/>
      <c r="X2110" s="47"/>
      <c r="Y2110" s="45"/>
      <c r="Z2110" s="45"/>
      <c r="AA2110" s="48"/>
      <c r="AB2110" s="48"/>
      <c r="AC2110" s="47"/>
      <c r="AD2110" s="47"/>
      <c r="AE2110" s="47"/>
    </row>
    <row r="2111" spans="1:31" x14ac:dyDescent="0.35">
      <c r="A2111" s="41"/>
      <c r="B2111" s="41"/>
      <c r="C2111" s="42"/>
      <c r="D2111" s="43"/>
      <c r="E2111" s="43"/>
      <c r="F2111" s="43"/>
      <c r="G2111" s="43"/>
      <c r="H2111" s="43"/>
      <c r="I2111" s="43"/>
      <c r="J2111" s="43"/>
      <c r="K2111" s="43"/>
      <c r="L2111" s="43"/>
      <c r="M2111" s="43"/>
      <c r="N2111" s="43"/>
      <c r="O2111" s="43"/>
      <c r="P2111" s="43"/>
      <c r="Q2111" s="43"/>
      <c r="R2111" s="43"/>
      <c r="S2111" s="43"/>
      <c r="T2111" s="43"/>
      <c r="U2111" s="43"/>
      <c r="V2111" s="41"/>
      <c r="W2111" s="41"/>
      <c r="X2111" s="41"/>
      <c r="Y2111" s="41"/>
      <c r="Z2111" s="41"/>
      <c r="AA2111" s="44"/>
      <c r="AB2111" s="44"/>
      <c r="AC2111" s="43"/>
      <c r="AD2111" s="43"/>
      <c r="AE2111" s="43"/>
    </row>
    <row r="2112" spans="1:31" x14ac:dyDescent="0.35">
      <c r="C2112" s="33"/>
      <c r="D2112" s="34"/>
      <c r="E2112" s="34"/>
      <c r="F2112" s="34"/>
      <c r="G2112" s="34"/>
      <c r="H2112" s="34"/>
      <c r="I2112" s="34"/>
      <c r="J2112" s="34"/>
      <c r="K2112" s="34"/>
      <c r="L2112" s="34"/>
      <c r="M2112" s="34"/>
      <c r="N2112" s="34"/>
      <c r="O2112" s="34"/>
      <c r="AA2112" s="35"/>
      <c r="AB2112" s="35"/>
      <c r="AC2112" s="34"/>
      <c r="AD2112" s="34"/>
      <c r="AE2112" s="34"/>
    </row>
    <row r="2113" spans="1:31" ht="15" thickBot="1" x14ac:dyDescent="0.4">
      <c r="A2113" s="45"/>
      <c r="B2113" s="45"/>
      <c r="C2113" s="46"/>
      <c r="D2113" s="47"/>
      <c r="E2113" s="47"/>
      <c r="F2113" s="47"/>
      <c r="G2113" s="47"/>
      <c r="H2113" s="47"/>
      <c r="I2113" s="47"/>
      <c r="J2113" s="47"/>
      <c r="K2113" s="47"/>
      <c r="L2113" s="47"/>
      <c r="M2113" s="47"/>
      <c r="N2113" s="47"/>
      <c r="O2113" s="47"/>
      <c r="P2113" s="47"/>
      <c r="Q2113" s="47"/>
      <c r="R2113" s="47"/>
      <c r="S2113" s="47"/>
      <c r="T2113" s="45"/>
      <c r="U2113" s="45"/>
      <c r="V2113" s="45"/>
      <c r="W2113" s="45"/>
      <c r="X2113" s="47"/>
      <c r="Y2113" s="45"/>
      <c r="Z2113" s="45"/>
      <c r="AA2113" s="48"/>
      <c r="AB2113" s="48"/>
      <c r="AC2113" s="47"/>
      <c r="AD2113" s="47"/>
      <c r="AE2113" s="47"/>
    </row>
    <row r="2114" spans="1:31" x14ac:dyDescent="0.35">
      <c r="A2114" s="41"/>
      <c r="B2114" s="41"/>
      <c r="C2114" s="42"/>
      <c r="D2114" s="43"/>
      <c r="E2114" s="43"/>
      <c r="F2114" s="43"/>
      <c r="G2114" s="43"/>
      <c r="H2114" s="43"/>
      <c r="I2114" s="43"/>
      <c r="J2114" s="43"/>
      <c r="K2114" s="43"/>
      <c r="L2114" s="43"/>
      <c r="M2114" s="43"/>
      <c r="N2114" s="43"/>
      <c r="O2114" s="43"/>
      <c r="P2114" s="43"/>
      <c r="Q2114" s="43"/>
      <c r="R2114" s="43"/>
      <c r="S2114" s="43"/>
      <c r="T2114" s="43"/>
      <c r="U2114" s="43"/>
      <c r="V2114" s="41"/>
      <c r="W2114" s="41"/>
      <c r="X2114" s="41"/>
      <c r="Y2114" s="41"/>
      <c r="Z2114" s="41"/>
      <c r="AA2114" s="44"/>
      <c r="AB2114" s="44"/>
      <c r="AC2114" s="43"/>
      <c r="AD2114" s="43"/>
      <c r="AE2114" s="43"/>
    </row>
    <row r="2115" spans="1:31" x14ac:dyDescent="0.35">
      <c r="C2115" s="33"/>
      <c r="D2115" s="34"/>
      <c r="E2115" s="34"/>
      <c r="F2115" s="34"/>
      <c r="G2115" s="34"/>
      <c r="H2115" s="34"/>
      <c r="I2115" s="34"/>
      <c r="J2115" s="34"/>
      <c r="K2115" s="34"/>
      <c r="L2115" s="34"/>
      <c r="M2115" s="34"/>
      <c r="N2115" s="34"/>
      <c r="O2115" s="34"/>
      <c r="AA2115" s="35"/>
      <c r="AB2115" s="35"/>
      <c r="AC2115" s="34"/>
      <c r="AD2115" s="34"/>
      <c r="AE2115" s="34"/>
    </row>
    <row r="2116" spans="1:31" ht="15" thickBot="1" x14ac:dyDescent="0.4">
      <c r="A2116" s="45"/>
      <c r="B2116" s="45"/>
      <c r="C2116" s="46"/>
      <c r="D2116" s="47"/>
      <c r="E2116" s="47"/>
      <c r="F2116" s="47"/>
      <c r="G2116" s="47"/>
      <c r="H2116" s="47"/>
      <c r="I2116" s="47"/>
      <c r="J2116" s="47"/>
      <c r="K2116" s="47"/>
      <c r="L2116" s="47"/>
      <c r="M2116" s="47"/>
      <c r="N2116" s="47"/>
      <c r="O2116" s="47"/>
      <c r="P2116" s="47"/>
      <c r="Q2116" s="47"/>
      <c r="R2116" s="47"/>
      <c r="S2116" s="47"/>
      <c r="T2116" s="45"/>
      <c r="U2116" s="45"/>
      <c r="V2116" s="45"/>
      <c r="W2116" s="45"/>
      <c r="X2116" s="47"/>
      <c r="Y2116" s="45"/>
      <c r="Z2116" s="45"/>
      <c r="AA2116" s="48"/>
      <c r="AB2116" s="48"/>
      <c r="AC2116" s="47"/>
      <c r="AD2116" s="47"/>
      <c r="AE2116" s="47"/>
    </row>
    <row r="2117" spans="1:31" x14ac:dyDescent="0.35">
      <c r="A2117" s="41"/>
      <c r="B2117" s="41"/>
      <c r="C2117" s="42"/>
      <c r="D2117" s="43"/>
      <c r="E2117" s="43"/>
      <c r="F2117" s="43"/>
      <c r="G2117" s="43"/>
      <c r="H2117" s="43"/>
      <c r="I2117" s="43"/>
      <c r="J2117" s="43"/>
      <c r="K2117" s="43"/>
      <c r="L2117" s="43"/>
      <c r="M2117" s="43"/>
      <c r="N2117" s="43"/>
      <c r="O2117" s="43"/>
      <c r="P2117" s="43"/>
      <c r="Q2117" s="43"/>
      <c r="R2117" s="43"/>
      <c r="S2117" s="43"/>
      <c r="T2117" s="43"/>
      <c r="U2117" s="43"/>
      <c r="V2117" s="41"/>
      <c r="W2117" s="41"/>
      <c r="X2117" s="41"/>
      <c r="Y2117" s="41"/>
      <c r="Z2117" s="41"/>
      <c r="AA2117" s="44"/>
      <c r="AB2117" s="44"/>
      <c r="AC2117" s="43"/>
      <c r="AD2117" s="43"/>
      <c r="AE2117" s="43"/>
    </row>
    <row r="2118" spans="1:31" x14ac:dyDescent="0.35">
      <c r="C2118" s="33"/>
      <c r="D2118" s="34"/>
      <c r="E2118" s="34"/>
      <c r="F2118" s="34"/>
      <c r="G2118" s="34"/>
      <c r="H2118" s="34"/>
      <c r="I2118" s="34"/>
      <c r="J2118" s="34"/>
      <c r="K2118" s="34"/>
      <c r="L2118" s="34"/>
      <c r="M2118" s="34"/>
      <c r="N2118" s="34"/>
      <c r="O2118" s="34"/>
      <c r="AA2118" s="35"/>
      <c r="AB2118" s="35"/>
      <c r="AC2118" s="34"/>
      <c r="AD2118" s="34"/>
      <c r="AE2118" s="34"/>
    </row>
    <row r="2119" spans="1:31" ht="15" thickBot="1" x14ac:dyDescent="0.4">
      <c r="A2119" s="45"/>
      <c r="B2119" s="45"/>
      <c r="C2119" s="46"/>
      <c r="D2119" s="47"/>
      <c r="E2119" s="47"/>
      <c r="F2119" s="47"/>
      <c r="G2119" s="47"/>
      <c r="H2119" s="47"/>
      <c r="I2119" s="47"/>
      <c r="J2119" s="47"/>
      <c r="K2119" s="47"/>
      <c r="L2119" s="47"/>
      <c r="M2119" s="47"/>
      <c r="N2119" s="47"/>
      <c r="O2119" s="47"/>
      <c r="P2119" s="47"/>
      <c r="Q2119" s="47"/>
      <c r="R2119" s="47"/>
      <c r="S2119" s="47"/>
      <c r="T2119" s="45"/>
      <c r="U2119" s="45"/>
      <c r="V2119" s="45"/>
      <c r="W2119" s="45"/>
      <c r="X2119" s="47"/>
      <c r="Y2119" s="45"/>
      <c r="Z2119" s="45"/>
      <c r="AA2119" s="48"/>
      <c r="AB2119" s="48"/>
      <c r="AC2119" s="47"/>
      <c r="AD2119" s="47"/>
      <c r="AE2119" s="47"/>
    </row>
    <row r="2120" spans="1:31" x14ac:dyDescent="0.35">
      <c r="A2120" s="41"/>
      <c r="B2120" s="41"/>
      <c r="C2120" s="42"/>
      <c r="D2120" s="43"/>
      <c r="E2120" s="43"/>
      <c r="F2120" s="43"/>
      <c r="G2120" s="43"/>
      <c r="H2120" s="43"/>
      <c r="I2120" s="43"/>
      <c r="J2120" s="43"/>
      <c r="K2120" s="43"/>
      <c r="L2120" s="43"/>
      <c r="M2120" s="43"/>
      <c r="N2120" s="43"/>
      <c r="O2120" s="43"/>
      <c r="P2120" s="43"/>
      <c r="Q2120" s="43"/>
      <c r="R2120" s="43"/>
      <c r="S2120" s="43"/>
      <c r="T2120" s="43"/>
      <c r="U2120" s="43"/>
      <c r="V2120" s="41"/>
      <c r="W2120" s="41"/>
      <c r="X2120" s="41"/>
      <c r="Y2120" s="41"/>
      <c r="Z2120" s="41"/>
      <c r="AA2120" s="44"/>
      <c r="AB2120" s="44"/>
      <c r="AC2120" s="43"/>
      <c r="AD2120" s="43"/>
      <c r="AE2120" s="43"/>
    </row>
    <row r="2121" spans="1:31" x14ac:dyDescent="0.35">
      <c r="C2121" s="33"/>
      <c r="D2121" s="34"/>
      <c r="E2121" s="34"/>
      <c r="F2121" s="34"/>
      <c r="G2121" s="34"/>
      <c r="H2121" s="34"/>
      <c r="I2121" s="34"/>
      <c r="J2121" s="34"/>
      <c r="K2121" s="34"/>
      <c r="L2121" s="34"/>
      <c r="M2121" s="34"/>
      <c r="N2121" s="34"/>
      <c r="O2121" s="34"/>
      <c r="AA2121" s="35"/>
      <c r="AB2121" s="35"/>
      <c r="AC2121" s="34"/>
      <c r="AD2121" s="34"/>
      <c r="AE2121" s="34"/>
    </row>
    <row r="2122" spans="1:31" ht="15" thickBot="1" x14ac:dyDescent="0.4">
      <c r="A2122" s="45"/>
      <c r="B2122" s="45"/>
      <c r="C2122" s="46"/>
      <c r="D2122" s="47"/>
      <c r="E2122" s="47"/>
      <c r="F2122" s="47"/>
      <c r="G2122" s="47"/>
      <c r="H2122" s="47"/>
      <c r="I2122" s="47"/>
      <c r="J2122" s="47"/>
      <c r="K2122" s="47"/>
      <c r="L2122" s="47"/>
      <c r="M2122" s="47"/>
      <c r="N2122" s="47"/>
      <c r="O2122" s="47"/>
      <c r="P2122" s="47"/>
      <c r="Q2122" s="47"/>
      <c r="R2122" s="47"/>
      <c r="S2122" s="47"/>
      <c r="T2122" s="45"/>
      <c r="U2122" s="45"/>
      <c r="V2122" s="45"/>
      <c r="W2122" s="45"/>
      <c r="X2122" s="47"/>
      <c r="Y2122" s="45"/>
      <c r="Z2122" s="45"/>
      <c r="AA2122" s="48"/>
      <c r="AB2122" s="48"/>
      <c r="AC2122" s="47"/>
      <c r="AD2122" s="47"/>
      <c r="AE2122" s="47"/>
    </row>
    <row r="2123" spans="1:31" x14ac:dyDescent="0.35">
      <c r="A2123" s="41"/>
      <c r="B2123" s="41"/>
      <c r="C2123" s="42"/>
      <c r="D2123" s="43"/>
      <c r="E2123" s="43"/>
      <c r="F2123" s="43"/>
      <c r="G2123" s="43"/>
      <c r="H2123" s="43"/>
      <c r="I2123" s="43"/>
      <c r="J2123" s="43"/>
      <c r="K2123" s="43"/>
      <c r="L2123" s="43"/>
      <c r="M2123" s="43"/>
      <c r="N2123" s="43"/>
      <c r="O2123" s="43"/>
      <c r="P2123" s="43"/>
      <c r="Q2123" s="43"/>
      <c r="R2123" s="43"/>
      <c r="S2123" s="43"/>
      <c r="T2123" s="43"/>
      <c r="U2123" s="43"/>
      <c r="V2123" s="41"/>
      <c r="W2123" s="41"/>
      <c r="X2123" s="41"/>
      <c r="Y2123" s="41"/>
      <c r="Z2123" s="41"/>
      <c r="AA2123" s="44"/>
      <c r="AB2123" s="44"/>
      <c r="AC2123" s="43"/>
      <c r="AD2123" s="43"/>
      <c r="AE2123" s="43"/>
    </row>
    <row r="2124" spans="1:31" x14ac:dyDescent="0.35">
      <c r="C2124" s="33"/>
      <c r="D2124" s="34"/>
      <c r="E2124" s="34"/>
      <c r="F2124" s="34"/>
      <c r="G2124" s="34"/>
      <c r="H2124" s="34"/>
      <c r="I2124" s="34"/>
      <c r="J2124" s="34"/>
      <c r="K2124" s="34"/>
      <c r="L2124" s="34"/>
      <c r="M2124" s="34"/>
      <c r="N2124" s="34"/>
      <c r="O2124" s="34"/>
      <c r="AA2124" s="35"/>
      <c r="AB2124" s="35"/>
      <c r="AC2124" s="34"/>
      <c r="AD2124" s="34"/>
      <c r="AE2124" s="34"/>
    </row>
    <row r="2125" spans="1:31" ht="15" thickBot="1" x14ac:dyDescent="0.4">
      <c r="A2125" s="45"/>
      <c r="B2125" s="45"/>
      <c r="C2125" s="46"/>
      <c r="D2125" s="47"/>
      <c r="E2125" s="47"/>
      <c r="F2125" s="47"/>
      <c r="G2125" s="47"/>
      <c r="H2125" s="47"/>
      <c r="I2125" s="47"/>
      <c r="J2125" s="47"/>
      <c r="K2125" s="47"/>
      <c r="L2125" s="47"/>
      <c r="M2125" s="47"/>
      <c r="N2125" s="47"/>
      <c r="O2125" s="47"/>
      <c r="P2125" s="47"/>
      <c r="Q2125" s="47"/>
      <c r="R2125" s="47"/>
      <c r="S2125" s="47"/>
      <c r="T2125" s="45"/>
      <c r="U2125" s="45"/>
      <c r="V2125" s="45"/>
      <c r="W2125" s="45"/>
      <c r="X2125" s="47"/>
      <c r="Y2125" s="45"/>
      <c r="Z2125" s="45"/>
      <c r="AA2125" s="48"/>
      <c r="AB2125" s="48"/>
      <c r="AC2125" s="47"/>
      <c r="AD2125" s="47"/>
      <c r="AE2125" s="47"/>
    </row>
    <row r="2126" spans="1:31" x14ac:dyDescent="0.35">
      <c r="A2126" s="41"/>
      <c r="B2126" s="41"/>
      <c r="C2126" s="42"/>
      <c r="D2126" s="43"/>
      <c r="E2126" s="43"/>
      <c r="F2126" s="43"/>
      <c r="G2126" s="43"/>
      <c r="H2126" s="43"/>
      <c r="I2126" s="43"/>
      <c r="J2126" s="43"/>
      <c r="K2126" s="43"/>
      <c r="L2126" s="43"/>
      <c r="M2126" s="43"/>
      <c r="N2126" s="43"/>
      <c r="O2126" s="43"/>
      <c r="P2126" s="43"/>
      <c r="Q2126" s="43"/>
      <c r="R2126" s="43"/>
      <c r="S2126" s="43"/>
      <c r="T2126" s="43"/>
      <c r="U2126" s="43"/>
      <c r="V2126" s="41"/>
      <c r="W2126" s="41"/>
      <c r="X2126" s="41"/>
      <c r="Y2126" s="41"/>
      <c r="Z2126" s="41"/>
      <c r="AA2126" s="44"/>
      <c r="AB2126" s="44"/>
      <c r="AC2126" s="43"/>
      <c r="AD2126" s="43"/>
      <c r="AE2126" s="43"/>
    </row>
    <row r="2127" spans="1:31" x14ac:dyDescent="0.35">
      <c r="C2127" s="33"/>
      <c r="D2127" s="34"/>
      <c r="E2127" s="34"/>
      <c r="F2127" s="34"/>
      <c r="G2127" s="34"/>
      <c r="H2127" s="34"/>
      <c r="I2127" s="34"/>
      <c r="J2127" s="34"/>
      <c r="K2127" s="34"/>
      <c r="L2127" s="34"/>
      <c r="M2127" s="34"/>
      <c r="N2127" s="34"/>
      <c r="O2127" s="34"/>
      <c r="AA2127" s="35"/>
      <c r="AB2127" s="35"/>
      <c r="AC2127" s="34"/>
      <c r="AD2127" s="34"/>
      <c r="AE2127" s="34"/>
    </row>
    <row r="2128" spans="1:31" ht="15" thickBot="1" x14ac:dyDescent="0.4">
      <c r="A2128" s="45"/>
      <c r="B2128" s="45"/>
      <c r="C2128" s="46"/>
      <c r="D2128" s="47"/>
      <c r="E2128" s="47"/>
      <c r="F2128" s="47"/>
      <c r="G2128" s="47"/>
      <c r="H2128" s="47"/>
      <c r="I2128" s="47"/>
      <c r="J2128" s="47"/>
      <c r="K2128" s="47"/>
      <c r="L2128" s="47"/>
      <c r="M2128" s="47"/>
      <c r="N2128" s="47"/>
      <c r="O2128" s="47"/>
      <c r="P2128" s="47"/>
      <c r="Q2128" s="47"/>
      <c r="R2128" s="47"/>
      <c r="S2128" s="47"/>
      <c r="T2128" s="45"/>
      <c r="U2128" s="45"/>
      <c r="V2128" s="45"/>
      <c r="W2128" s="45"/>
      <c r="X2128" s="47"/>
      <c r="Y2128" s="45"/>
      <c r="Z2128" s="45"/>
      <c r="AA2128" s="48"/>
      <c r="AB2128" s="48"/>
      <c r="AC2128" s="47"/>
      <c r="AD2128" s="47"/>
      <c r="AE2128" s="47"/>
    </row>
    <row r="2129" spans="1:31" x14ac:dyDescent="0.35">
      <c r="A2129" s="41"/>
      <c r="B2129" s="41"/>
      <c r="C2129" s="42"/>
      <c r="D2129" s="43"/>
      <c r="E2129" s="43"/>
      <c r="F2129" s="43"/>
      <c r="G2129" s="43"/>
      <c r="H2129" s="43"/>
      <c r="I2129" s="43"/>
      <c r="J2129" s="43"/>
      <c r="K2129" s="43"/>
      <c r="L2129" s="43"/>
      <c r="M2129" s="43"/>
      <c r="N2129" s="43"/>
      <c r="O2129" s="43"/>
      <c r="P2129" s="43"/>
      <c r="Q2129" s="43"/>
      <c r="R2129" s="43"/>
      <c r="S2129" s="43"/>
      <c r="T2129" s="43"/>
      <c r="U2129" s="43"/>
      <c r="V2129" s="41"/>
      <c r="W2129" s="41"/>
      <c r="X2129" s="41"/>
      <c r="Y2129" s="41"/>
      <c r="Z2129" s="41"/>
      <c r="AA2129" s="44"/>
      <c r="AB2129" s="44"/>
      <c r="AC2129" s="43"/>
      <c r="AD2129" s="43"/>
      <c r="AE2129" s="43"/>
    </row>
    <row r="2130" spans="1:31" x14ac:dyDescent="0.35">
      <c r="C2130" s="33"/>
      <c r="D2130" s="34"/>
      <c r="E2130" s="34"/>
      <c r="F2130" s="34"/>
      <c r="G2130" s="34"/>
      <c r="H2130" s="34"/>
      <c r="I2130" s="34"/>
      <c r="J2130" s="34"/>
      <c r="K2130" s="34"/>
      <c r="L2130" s="34"/>
      <c r="M2130" s="34"/>
      <c r="N2130" s="34"/>
      <c r="O2130" s="34"/>
      <c r="AA2130" s="35"/>
      <c r="AB2130" s="35"/>
      <c r="AC2130" s="34"/>
      <c r="AD2130" s="34"/>
      <c r="AE2130" s="34"/>
    </row>
    <row r="2131" spans="1:31" ht="15" thickBot="1" x14ac:dyDescent="0.4">
      <c r="A2131" s="45"/>
      <c r="B2131" s="45"/>
      <c r="C2131" s="46"/>
      <c r="D2131" s="47"/>
      <c r="E2131" s="47"/>
      <c r="F2131" s="47"/>
      <c r="G2131" s="47"/>
      <c r="H2131" s="47"/>
      <c r="I2131" s="47"/>
      <c r="J2131" s="47"/>
      <c r="K2131" s="47"/>
      <c r="L2131" s="47"/>
      <c r="M2131" s="47"/>
      <c r="N2131" s="47"/>
      <c r="O2131" s="47"/>
      <c r="P2131" s="47"/>
      <c r="Q2131" s="47"/>
      <c r="R2131" s="47"/>
      <c r="S2131" s="47"/>
      <c r="T2131" s="45"/>
      <c r="U2131" s="45"/>
      <c r="V2131" s="45"/>
      <c r="W2131" s="45"/>
      <c r="X2131" s="47"/>
      <c r="Y2131" s="45"/>
      <c r="Z2131" s="45"/>
      <c r="AA2131" s="48"/>
      <c r="AB2131" s="48"/>
      <c r="AC2131" s="47"/>
      <c r="AD2131" s="47"/>
      <c r="AE2131" s="47"/>
    </row>
    <row r="2132" spans="1:31" x14ac:dyDescent="0.35">
      <c r="A2132" s="41"/>
      <c r="B2132" s="41"/>
      <c r="C2132" s="42"/>
      <c r="D2132" s="43"/>
      <c r="E2132" s="43"/>
      <c r="F2132" s="43"/>
      <c r="G2132" s="43"/>
      <c r="H2132" s="43"/>
      <c r="I2132" s="43"/>
      <c r="J2132" s="43"/>
      <c r="K2132" s="43"/>
      <c r="L2132" s="43"/>
      <c r="M2132" s="43"/>
      <c r="N2132" s="43"/>
      <c r="O2132" s="43"/>
      <c r="P2132" s="43"/>
      <c r="Q2132" s="43"/>
      <c r="R2132" s="43"/>
      <c r="S2132" s="43"/>
      <c r="T2132" s="43"/>
      <c r="U2132" s="43"/>
      <c r="V2132" s="41"/>
      <c r="W2132" s="41"/>
      <c r="X2132" s="41"/>
      <c r="Y2132" s="41"/>
      <c r="Z2132" s="41"/>
      <c r="AA2132" s="44"/>
      <c r="AB2132" s="44"/>
      <c r="AC2132" s="43"/>
      <c r="AD2132" s="43"/>
      <c r="AE2132" s="43"/>
    </row>
    <row r="2133" spans="1:31" x14ac:dyDescent="0.35">
      <c r="C2133" s="33"/>
      <c r="D2133" s="34"/>
      <c r="E2133" s="34"/>
      <c r="F2133" s="34"/>
      <c r="G2133" s="34"/>
      <c r="H2133" s="34"/>
      <c r="I2133" s="34"/>
      <c r="J2133" s="34"/>
      <c r="K2133" s="34"/>
      <c r="L2133" s="34"/>
      <c r="M2133" s="34"/>
      <c r="N2133" s="34"/>
      <c r="O2133" s="34"/>
      <c r="AA2133" s="35"/>
      <c r="AB2133" s="35"/>
      <c r="AC2133" s="34"/>
      <c r="AD2133" s="34"/>
      <c r="AE2133" s="34"/>
    </row>
    <row r="2134" spans="1:31" ht="15" thickBot="1" x14ac:dyDescent="0.4">
      <c r="A2134" s="45"/>
      <c r="B2134" s="45"/>
      <c r="C2134" s="46"/>
      <c r="D2134" s="47"/>
      <c r="E2134" s="47"/>
      <c r="F2134" s="47"/>
      <c r="G2134" s="47"/>
      <c r="H2134" s="47"/>
      <c r="I2134" s="47"/>
      <c r="J2134" s="47"/>
      <c r="K2134" s="47"/>
      <c r="L2134" s="47"/>
      <c r="M2134" s="47"/>
      <c r="N2134" s="47"/>
      <c r="O2134" s="47"/>
      <c r="P2134" s="47"/>
      <c r="Q2134" s="47"/>
      <c r="R2134" s="47"/>
      <c r="S2134" s="47"/>
      <c r="T2134" s="45"/>
      <c r="U2134" s="45"/>
      <c r="V2134" s="45"/>
      <c r="W2134" s="45"/>
      <c r="X2134" s="47"/>
      <c r="Y2134" s="45"/>
      <c r="Z2134" s="45"/>
      <c r="AA2134" s="48"/>
      <c r="AB2134" s="48"/>
      <c r="AC2134" s="47"/>
      <c r="AD2134" s="47"/>
      <c r="AE2134" s="47"/>
    </row>
    <row r="2135" spans="1:31" x14ac:dyDescent="0.35">
      <c r="A2135" s="41"/>
      <c r="B2135" s="41"/>
      <c r="C2135" s="42"/>
      <c r="D2135" s="43"/>
      <c r="E2135" s="43"/>
      <c r="F2135" s="43"/>
      <c r="G2135" s="43"/>
      <c r="H2135" s="43"/>
      <c r="I2135" s="43"/>
      <c r="J2135" s="43"/>
      <c r="K2135" s="43"/>
      <c r="L2135" s="43"/>
      <c r="M2135" s="43"/>
      <c r="N2135" s="43"/>
      <c r="O2135" s="43"/>
      <c r="P2135" s="43"/>
      <c r="Q2135" s="43"/>
      <c r="R2135" s="43"/>
      <c r="S2135" s="43"/>
      <c r="T2135" s="43"/>
      <c r="U2135" s="43"/>
      <c r="V2135" s="41"/>
      <c r="W2135" s="41"/>
      <c r="X2135" s="41"/>
      <c r="Y2135" s="41"/>
      <c r="Z2135" s="41"/>
      <c r="AA2135" s="44"/>
      <c r="AB2135" s="44"/>
      <c r="AC2135" s="43"/>
      <c r="AD2135" s="43"/>
      <c r="AE2135" s="43"/>
    </row>
    <row r="2136" spans="1:31" x14ac:dyDescent="0.35">
      <c r="C2136" s="33"/>
      <c r="D2136" s="34"/>
      <c r="E2136" s="34"/>
      <c r="F2136" s="34"/>
      <c r="G2136" s="34"/>
      <c r="H2136" s="34"/>
      <c r="I2136" s="34"/>
      <c r="J2136" s="34"/>
      <c r="K2136" s="34"/>
      <c r="L2136" s="34"/>
      <c r="M2136" s="34"/>
      <c r="N2136" s="34"/>
      <c r="O2136" s="34"/>
      <c r="AA2136" s="35"/>
      <c r="AB2136" s="35"/>
      <c r="AC2136" s="34"/>
      <c r="AD2136" s="34"/>
      <c r="AE2136" s="34"/>
    </row>
    <row r="2137" spans="1:31" ht="15" thickBot="1" x14ac:dyDescent="0.4">
      <c r="A2137" s="45"/>
      <c r="B2137" s="45"/>
      <c r="C2137" s="46"/>
      <c r="D2137" s="47"/>
      <c r="E2137" s="47"/>
      <c r="F2137" s="47"/>
      <c r="G2137" s="47"/>
      <c r="H2137" s="47"/>
      <c r="I2137" s="47"/>
      <c r="J2137" s="47"/>
      <c r="K2137" s="47"/>
      <c r="L2137" s="47"/>
      <c r="M2137" s="47"/>
      <c r="N2137" s="47"/>
      <c r="O2137" s="47"/>
      <c r="P2137" s="47"/>
      <c r="Q2137" s="47"/>
      <c r="R2137" s="47"/>
      <c r="S2137" s="47"/>
      <c r="T2137" s="45"/>
      <c r="U2137" s="45"/>
      <c r="V2137" s="45"/>
      <c r="W2137" s="45"/>
      <c r="X2137" s="47"/>
      <c r="Y2137" s="45"/>
      <c r="Z2137" s="45"/>
      <c r="AA2137" s="48"/>
      <c r="AB2137" s="48"/>
      <c r="AC2137" s="47"/>
      <c r="AD2137" s="47"/>
      <c r="AE2137" s="47"/>
    </row>
    <row r="2138" spans="1:31" x14ac:dyDescent="0.35">
      <c r="A2138" s="41"/>
      <c r="B2138" s="41"/>
      <c r="C2138" s="42"/>
      <c r="D2138" s="43"/>
      <c r="E2138" s="43"/>
      <c r="F2138" s="43"/>
      <c r="G2138" s="43"/>
      <c r="H2138" s="43"/>
      <c r="I2138" s="43"/>
      <c r="J2138" s="43"/>
      <c r="K2138" s="43"/>
      <c r="L2138" s="43"/>
      <c r="M2138" s="43"/>
      <c r="N2138" s="43"/>
      <c r="O2138" s="43"/>
      <c r="P2138" s="43"/>
      <c r="Q2138" s="43"/>
      <c r="R2138" s="43"/>
      <c r="S2138" s="43"/>
      <c r="T2138" s="43"/>
      <c r="U2138" s="43"/>
      <c r="V2138" s="41"/>
      <c r="W2138" s="41"/>
      <c r="X2138" s="41"/>
      <c r="Y2138" s="41"/>
      <c r="Z2138" s="41"/>
      <c r="AA2138" s="44"/>
      <c r="AB2138" s="44"/>
      <c r="AC2138" s="43"/>
      <c r="AD2138" s="43"/>
      <c r="AE2138" s="43"/>
    </row>
    <row r="2139" spans="1:31" x14ac:dyDescent="0.35">
      <c r="C2139" s="33"/>
      <c r="D2139" s="34"/>
      <c r="E2139" s="34"/>
      <c r="F2139" s="34"/>
      <c r="G2139" s="34"/>
      <c r="H2139" s="34"/>
      <c r="I2139" s="34"/>
      <c r="J2139" s="34"/>
      <c r="K2139" s="34"/>
      <c r="L2139" s="34"/>
      <c r="M2139" s="34"/>
      <c r="N2139" s="34"/>
      <c r="O2139" s="34"/>
      <c r="AA2139" s="35"/>
      <c r="AB2139" s="35"/>
      <c r="AC2139" s="34"/>
      <c r="AD2139" s="34"/>
      <c r="AE2139" s="34"/>
    </row>
    <row r="2140" spans="1:31" ht="15" thickBot="1" x14ac:dyDescent="0.4">
      <c r="A2140" s="45"/>
      <c r="B2140" s="45"/>
      <c r="C2140" s="46"/>
      <c r="D2140" s="47"/>
      <c r="E2140" s="47"/>
      <c r="F2140" s="47"/>
      <c r="G2140" s="47"/>
      <c r="H2140" s="47"/>
      <c r="I2140" s="47"/>
      <c r="J2140" s="47"/>
      <c r="K2140" s="47"/>
      <c r="L2140" s="47"/>
      <c r="M2140" s="47"/>
      <c r="N2140" s="47"/>
      <c r="O2140" s="47"/>
      <c r="P2140" s="47"/>
      <c r="Q2140" s="47"/>
      <c r="R2140" s="47"/>
      <c r="S2140" s="47"/>
      <c r="T2140" s="45"/>
      <c r="U2140" s="45"/>
      <c r="V2140" s="45"/>
      <c r="W2140" s="45"/>
      <c r="X2140" s="47"/>
      <c r="Y2140" s="45"/>
      <c r="Z2140" s="45"/>
      <c r="AA2140" s="48"/>
      <c r="AB2140" s="48"/>
      <c r="AC2140" s="47"/>
      <c r="AD2140" s="47"/>
      <c r="AE2140" s="47"/>
    </row>
    <row r="2141" spans="1:31" x14ac:dyDescent="0.35">
      <c r="A2141" s="41"/>
      <c r="B2141" s="41"/>
      <c r="C2141" s="42"/>
      <c r="D2141" s="43"/>
      <c r="E2141" s="43"/>
      <c r="F2141" s="43"/>
      <c r="G2141" s="43"/>
      <c r="H2141" s="43"/>
      <c r="I2141" s="43"/>
      <c r="J2141" s="43"/>
      <c r="K2141" s="43"/>
      <c r="L2141" s="43"/>
      <c r="M2141" s="43"/>
      <c r="N2141" s="43"/>
      <c r="O2141" s="43"/>
      <c r="P2141" s="43"/>
      <c r="Q2141" s="43"/>
      <c r="R2141" s="43"/>
      <c r="S2141" s="43"/>
      <c r="T2141" s="43"/>
      <c r="U2141" s="43"/>
      <c r="V2141" s="41"/>
      <c r="W2141" s="41"/>
      <c r="X2141" s="41"/>
      <c r="Y2141" s="41"/>
      <c r="Z2141" s="41"/>
      <c r="AA2141" s="44"/>
      <c r="AB2141" s="44"/>
      <c r="AC2141" s="43"/>
      <c r="AD2141" s="43"/>
      <c r="AE2141" s="43"/>
    </row>
    <row r="2142" spans="1:31" x14ac:dyDescent="0.35">
      <c r="C2142" s="33"/>
      <c r="D2142" s="34"/>
      <c r="E2142" s="34"/>
      <c r="F2142" s="34"/>
      <c r="G2142" s="34"/>
      <c r="H2142" s="34"/>
      <c r="I2142" s="34"/>
      <c r="J2142" s="34"/>
      <c r="K2142" s="34"/>
      <c r="L2142" s="34"/>
      <c r="M2142" s="34"/>
      <c r="N2142" s="34"/>
      <c r="O2142" s="34"/>
      <c r="AA2142" s="35"/>
      <c r="AB2142" s="35"/>
      <c r="AC2142" s="34"/>
      <c r="AD2142" s="34"/>
      <c r="AE2142" s="34"/>
    </row>
    <row r="2143" spans="1:31" ht="15" thickBot="1" x14ac:dyDescent="0.4">
      <c r="A2143" s="45"/>
      <c r="B2143" s="45"/>
      <c r="C2143" s="46"/>
      <c r="D2143" s="47"/>
      <c r="E2143" s="47"/>
      <c r="F2143" s="47"/>
      <c r="G2143" s="47"/>
      <c r="H2143" s="47"/>
      <c r="I2143" s="47"/>
      <c r="J2143" s="47"/>
      <c r="K2143" s="47"/>
      <c r="L2143" s="47"/>
      <c r="M2143" s="47"/>
      <c r="N2143" s="47"/>
      <c r="O2143" s="47"/>
      <c r="P2143" s="47"/>
      <c r="Q2143" s="47"/>
      <c r="R2143" s="47"/>
      <c r="S2143" s="47"/>
      <c r="T2143" s="45"/>
      <c r="U2143" s="45"/>
      <c r="V2143" s="45"/>
      <c r="W2143" s="45"/>
      <c r="X2143" s="47"/>
      <c r="Y2143" s="45"/>
      <c r="Z2143" s="45"/>
      <c r="AA2143" s="48"/>
      <c r="AB2143" s="48"/>
      <c r="AC2143" s="47"/>
      <c r="AD2143" s="47"/>
      <c r="AE2143" s="47"/>
    </row>
    <row r="2144" spans="1:31" x14ac:dyDescent="0.35">
      <c r="A2144" s="41"/>
      <c r="B2144" s="41"/>
      <c r="C2144" s="42"/>
      <c r="D2144" s="43"/>
      <c r="E2144" s="43"/>
      <c r="F2144" s="43"/>
      <c r="G2144" s="43"/>
      <c r="H2144" s="43"/>
      <c r="I2144" s="43"/>
      <c r="J2144" s="43"/>
      <c r="K2144" s="43"/>
      <c r="L2144" s="43"/>
      <c r="M2144" s="43"/>
      <c r="N2144" s="43"/>
      <c r="O2144" s="43"/>
      <c r="P2144" s="43"/>
      <c r="Q2144" s="43"/>
      <c r="R2144" s="43"/>
      <c r="S2144" s="43"/>
      <c r="T2144" s="43"/>
      <c r="U2144" s="43"/>
      <c r="V2144" s="41"/>
      <c r="W2144" s="41"/>
      <c r="X2144" s="41"/>
      <c r="Y2144" s="41"/>
      <c r="Z2144" s="41"/>
      <c r="AA2144" s="44"/>
      <c r="AB2144" s="44"/>
      <c r="AC2144" s="43"/>
      <c r="AD2144" s="43"/>
      <c r="AE2144" s="43"/>
    </row>
    <row r="2145" spans="1:31" x14ac:dyDescent="0.35">
      <c r="C2145" s="33"/>
      <c r="D2145" s="34"/>
      <c r="E2145" s="34"/>
      <c r="F2145" s="34"/>
      <c r="G2145" s="34"/>
      <c r="H2145" s="34"/>
      <c r="I2145" s="34"/>
      <c r="J2145" s="34"/>
      <c r="K2145" s="34"/>
      <c r="L2145" s="34"/>
      <c r="M2145" s="34"/>
      <c r="N2145" s="34"/>
      <c r="O2145" s="34"/>
      <c r="AA2145" s="35"/>
      <c r="AB2145" s="35"/>
      <c r="AC2145" s="34"/>
      <c r="AD2145" s="34"/>
      <c r="AE2145" s="34"/>
    </row>
    <row r="2146" spans="1:31" ht="15" thickBot="1" x14ac:dyDescent="0.4">
      <c r="A2146" s="45"/>
      <c r="B2146" s="45"/>
      <c r="C2146" s="46"/>
      <c r="D2146" s="47"/>
      <c r="E2146" s="47"/>
      <c r="F2146" s="47"/>
      <c r="G2146" s="47"/>
      <c r="H2146" s="47"/>
      <c r="I2146" s="47"/>
      <c r="J2146" s="47"/>
      <c r="K2146" s="47"/>
      <c r="L2146" s="47"/>
      <c r="M2146" s="47"/>
      <c r="N2146" s="47"/>
      <c r="O2146" s="47"/>
      <c r="P2146" s="47"/>
      <c r="Q2146" s="47"/>
      <c r="R2146" s="47"/>
      <c r="S2146" s="47"/>
      <c r="T2146" s="45"/>
      <c r="U2146" s="45"/>
      <c r="V2146" s="45"/>
      <c r="W2146" s="45"/>
      <c r="X2146" s="47"/>
      <c r="Y2146" s="45"/>
      <c r="Z2146" s="45"/>
      <c r="AA2146" s="48"/>
      <c r="AB2146" s="48"/>
      <c r="AC2146" s="47"/>
      <c r="AD2146" s="47"/>
      <c r="AE2146" s="47"/>
    </row>
    <row r="2147" spans="1:31" x14ac:dyDescent="0.35">
      <c r="A2147" s="41"/>
      <c r="B2147" s="41"/>
      <c r="C2147" s="42"/>
      <c r="D2147" s="43"/>
      <c r="E2147" s="43"/>
      <c r="F2147" s="43"/>
      <c r="G2147" s="43"/>
      <c r="H2147" s="43"/>
      <c r="I2147" s="43"/>
      <c r="J2147" s="43"/>
      <c r="K2147" s="43"/>
      <c r="L2147" s="43"/>
      <c r="M2147" s="43"/>
      <c r="N2147" s="43"/>
      <c r="O2147" s="43"/>
      <c r="P2147" s="43"/>
      <c r="Q2147" s="43"/>
      <c r="R2147" s="43"/>
      <c r="S2147" s="43"/>
      <c r="T2147" s="43"/>
      <c r="U2147" s="43"/>
      <c r="V2147" s="41"/>
      <c r="W2147" s="41"/>
      <c r="X2147" s="41"/>
      <c r="Y2147" s="41"/>
      <c r="Z2147" s="41"/>
      <c r="AA2147" s="44"/>
      <c r="AB2147" s="44"/>
      <c r="AC2147" s="43"/>
      <c r="AD2147" s="43"/>
      <c r="AE2147" s="43"/>
    </row>
    <row r="2148" spans="1:31" x14ac:dyDescent="0.35">
      <c r="C2148" s="33"/>
      <c r="D2148" s="34"/>
      <c r="E2148" s="34"/>
      <c r="F2148" s="34"/>
      <c r="G2148" s="34"/>
      <c r="H2148" s="34"/>
      <c r="I2148" s="34"/>
      <c r="J2148" s="34"/>
      <c r="K2148" s="34"/>
      <c r="L2148" s="34"/>
      <c r="M2148" s="34"/>
      <c r="N2148" s="34"/>
      <c r="O2148" s="34"/>
      <c r="AA2148" s="35"/>
      <c r="AB2148" s="35"/>
      <c r="AC2148" s="34"/>
      <c r="AD2148" s="34"/>
      <c r="AE2148" s="34"/>
    </row>
    <row r="2149" spans="1:31" ht="15" thickBot="1" x14ac:dyDescent="0.4">
      <c r="A2149" s="45"/>
      <c r="B2149" s="45"/>
      <c r="C2149" s="46"/>
      <c r="D2149" s="47"/>
      <c r="E2149" s="47"/>
      <c r="F2149" s="47"/>
      <c r="G2149" s="47"/>
      <c r="H2149" s="47"/>
      <c r="I2149" s="47"/>
      <c r="J2149" s="47"/>
      <c r="K2149" s="47"/>
      <c r="L2149" s="47"/>
      <c r="M2149" s="47"/>
      <c r="N2149" s="47"/>
      <c r="O2149" s="47"/>
      <c r="P2149" s="47"/>
      <c r="Q2149" s="47"/>
      <c r="R2149" s="47"/>
      <c r="S2149" s="47"/>
      <c r="T2149" s="45"/>
      <c r="U2149" s="45"/>
      <c r="V2149" s="45"/>
      <c r="W2149" s="45"/>
      <c r="X2149" s="47"/>
      <c r="Y2149" s="45"/>
      <c r="Z2149" s="45"/>
      <c r="AA2149" s="48"/>
      <c r="AB2149" s="48"/>
      <c r="AC2149" s="47"/>
      <c r="AD2149" s="47"/>
      <c r="AE2149" s="47"/>
    </row>
    <row r="2150" spans="1:31" x14ac:dyDescent="0.35">
      <c r="A2150" s="41"/>
      <c r="B2150" s="41"/>
      <c r="C2150" s="42"/>
      <c r="D2150" s="43"/>
      <c r="E2150" s="43"/>
      <c r="F2150" s="43"/>
      <c r="G2150" s="43"/>
      <c r="H2150" s="43"/>
      <c r="I2150" s="43"/>
      <c r="J2150" s="43"/>
      <c r="K2150" s="43"/>
      <c r="L2150" s="43"/>
      <c r="M2150" s="43"/>
      <c r="N2150" s="43"/>
      <c r="O2150" s="43"/>
      <c r="P2150" s="43"/>
      <c r="Q2150" s="43"/>
      <c r="R2150" s="43"/>
      <c r="S2150" s="43"/>
      <c r="T2150" s="43"/>
      <c r="U2150" s="43"/>
      <c r="V2150" s="41"/>
      <c r="W2150" s="41"/>
      <c r="X2150" s="41"/>
      <c r="Y2150" s="41"/>
      <c r="Z2150" s="41"/>
      <c r="AA2150" s="44"/>
      <c r="AB2150" s="44"/>
      <c r="AC2150" s="43"/>
      <c r="AD2150" s="43"/>
      <c r="AE2150" s="43"/>
    </row>
    <row r="2151" spans="1:31" x14ac:dyDescent="0.35">
      <c r="C2151" s="33"/>
      <c r="D2151" s="34"/>
      <c r="E2151" s="34"/>
      <c r="F2151" s="34"/>
      <c r="G2151" s="34"/>
      <c r="H2151" s="34"/>
      <c r="I2151" s="34"/>
      <c r="J2151" s="34"/>
      <c r="K2151" s="34"/>
      <c r="L2151" s="34"/>
      <c r="M2151" s="34"/>
      <c r="N2151" s="34"/>
      <c r="O2151" s="34"/>
      <c r="AA2151" s="35"/>
      <c r="AB2151" s="35"/>
      <c r="AC2151" s="34"/>
      <c r="AD2151" s="34"/>
      <c r="AE2151" s="34"/>
    </row>
    <row r="2152" spans="1:31" ht="15" thickBot="1" x14ac:dyDescent="0.4">
      <c r="A2152" s="45"/>
      <c r="B2152" s="45"/>
      <c r="C2152" s="46"/>
      <c r="D2152" s="47"/>
      <c r="E2152" s="47"/>
      <c r="F2152" s="47"/>
      <c r="G2152" s="47"/>
      <c r="H2152" s="47"/>
      <c r="I2152" s="47"/>
      <c r="J2152" s="47"/>
      <c r="K2152" s="47"/>
      <c r="L2152" s="47"/>
      <c r="M2152" s="47"/>
      <c r="N2152" s="47"/>
      <c r="O2152" s="47"/>
      <c r="P2152" s="47"/>
      <c r="Q2152" s="47"/>
      <c r="R2152" s="47"/>
      <c r="S2152" s="47"/>
      <c r="T2152" s="45"/>
      <c r="U2152" s="45"/>
      <c r="V2152" s="45"/>
      <c r="W2152" s="45"/>
      <c r="X2152" s="47"/>
      <c r="Y2152" s="45"/>
      <c r="Z2152" s="45"/>
      <c r="AA2152" s="48"/>
      <c r="AB2152" s="48"/>
      <c r="AC2152" s="47"/>
      <c r="AD2152" s="47"/>
      <c r="AE2152" s="47"/>
    </row>
    <row r="2153" spans="1:31" x14ac:dyDescent="0.35">
      <c r="A2153" s="41"/>
      <c r="B2153" s="41"/>
      <c r="C2153" s="42"/>
      <c r="D2153" s="43"/>
      <c r="E2153" s="43"/>
      <c r="F2153" s="43"/>
      <c r="G2153" s="43"/>
      <c r="H2153" s="43"/>
      <c r="I2153" s="43"/>
      <c r="J2153" s="43"/>
      <c r="K2153" s="43"/>
      <c r="L2153" s="43"/>
      <c r="M2153" s="43"/>
      <c r="N2153" s="43"/>
      <c r="O2153" s="43"/>
      <c r="P2153" s="43"/>
      <c r="Q2153" s="43"/>
      <c r="R2153" s="43"/>
      <c r="S2153" s="43"/>
      <c r="T2153" s="43"/>
      <c r="U2153" s="43"/>
      <c r="V2153" s="41"/>
      <c r="W2153" s="41"/>
      <c r="X2153" s="41"/>
      <c r="Y2153" s="41"/>
      <c r="Z2153" s="41"/>
      <c r="AA2153" s="44"/>
      <c r="AB2153" s="44"/>
      <c r="AC2153" s="43"/>
      <c r="AD2153" s="43"/>
      <c r="AE2153" s="43"/>
    </row>
    <row r="2154" spans="1:31" x14ac:dyDescent="0.35">
      <c r="C2154" s="33"/>
      <c r="D2154" s="34"/>
      <c r="E2154" s="34"/>
      <c r="F2154" s="34"/>
      <c r="G2154" s="34"/>
      <c r="H2154" s="34"/>
      <c r="I2154" s="34"/>
      <c r="J2154" s="34"/>
      <c r="K2154" s="34"/>
      <c r="L2154" s="34"/>
      <c r="M2154" s="34"/>
      <c r="N2154" s="34"/>
      <c r="O2154" s="34"/>
      <c r="AA2154" s="35"/>
      <c r="AB2154" s="35"/>
      <c r="AC2154" s="34"/>
      <c r="AD2154" s="34"/>
      <c r="AE2154" s="34"/>
    </row>
    <row r="2155" spans="1:31" ht="15" thickBot="1" x14ac:dyDescent="0.4">
      <c r="A2155" s="45"/>
      <c r="B2155" s="45"/>
      <c r="C2155" s="46"/>
      <c r="D2155" s="47"/>
      <c r="E2155" s="47"/>
      <c r="F2155" s="47"/>
      <c r="G2155" s="47"/>
      <c r="H2155" s="47"/>
      <c r="I2155" s="47"/>
      <c r="J2155" s="47"/>
      <c r="K2155" s="47"/>
      <c r="L2155" s="47"/>
      <c r="M2155" s="47"/>
      <c r="N2155" s="47"/>
      <c r="O2155" s="47"/>
      <c r="P2155" s="47"/>
      <c r="Q2155" s="47"/>
      <c r="R2155" s="47"/>
      <c r="S2155" s="47"/>
      <c r="T2155" s="45"/>
      <c r="U2155" s="45"/>
      <c r="V2155" s="45"/>
      <c r="W2155" s="45"/>
      <c r="X2155" s="47"/>
      <c r="Y2155" s="45"/>
      <c r="Z2155" s="45"/>
      <c r="AA2155" s="48"/>
      <c r="AB2155" s="48"/>
      <c r="AC2155" s="47"/>
      <c r="AD2155" s="47"/>
      <c r="AE2155" s="47"/>
    </row>
    <row r="2156" spans="1:31" x14ac:dyDescent="0.35">
      <c r="A2156" s="41"/>
      <c r="B2156" s="41"/>
      <c r="C2156" s="42"/>
      <c r="D2156" s="43"/>
      <c r="E2156" s="43"/>
      <c r="F2156" s="43"/>
      <c r="G2156" s="43"/>
      <c r="H2156" s="43"/>
      <c r="I2156" s="43"/>
      <c r="J2156" s="43"/>
      <c r="K2156" s="43"/>
      <c r="L2156" s="43"/>
      <c r="M2156" s="43"/>
      <c r="N2156" s="43"/>
      <c r="O2156" s="43"/>
      <c r="P2156" s="43"/>
      <c r="Q2156" s="43"/>
      <c r="R2156" s="43"/>
      <c r="S2156" s="43"/>
      <c r="T2156" s="43"/>
      <c r="U2156" s="43"/>
      <c r="V2156" s="41"/>
      <c r="W2156" s="41"/>
      <c r="X2156" s="41"/>
      <c r="Y2156" s="41"/>
      <c r="Z2156" s="41"/>
      <c r="AA2156" s="44"/>
      <c r="AB2156" s="44"/>
      <c r="AC2156" s="43"/>
      <c r="AD2156" s="43"/>
      <c r="AE2156" s="43"/>
    </row>
    <row r="2157" spans="1:31" x14ac:dyDescent="0.35">
      <c r="C2157" s="33"/>
      <c r="D2157" s="34"/>
      <c r="E2157" s="34"/>
      <c r="F2157" s="34"/>
      <c r="G2157" s="34"/>
      <c r="H2157" s="34"/>
      <c r="I2157" s="34"/>
      <c r="J2157" s="34"/>
      <c r="K2157" s="34"/>
      <c r="L2157" s="34"/>
      <c r="M2157" s="34"/>
      <c r="N2157" s="34"/>
      <c r="O2157" s="34"/>
      <c r="AA2157" s="35"/>
      <c r="AB2157" s="35"/>
      <c r="AC2157" s="34"/>
      <c r="AD2157" s="34"/>
      <c r="AE2157" s="34"/>
    </row>
    <row r="2158" spans="1:31" ht="15" thickBot="1" x14ac:dyDescent="0.4">
      <c r="A2158" s="45"/>
      <c r="B2158" s="45"/>
      <c r="C2158" s="46"/>
      <c r="D2158" s="47"/>
      <c r="E2158" s="47"/>
      <c r="F2158" s="47"/>
      <c r="G2158" s="47"/>
      <c r="H2158" s="47"/>
      <c r="I2158" s="47"/>
      <c r="J2158" s="47"/>
      <c r="K2158" s="47"/>
      <c r="L2158" s="47"/>
      <c r="M2158" s="47"/>
      <c r="N2158" s="47"/>
      <c r="O2158" s="47"/>
      <c r="P2158" s="47"/>
      <c r="Q2158" s="47"/>
      <c r="R2158" s="47"/>
      <c r="S2158" s="47"/>
      <c r="T2158" s="45"/>
      <c r="U2158" s="45"/>
      <c r="V2158" s="45"/>
      <c r="W2158" s="45"/>
      <c r="X2158" s="47"/>
      <c r="Y2158" s="45"/>
      <c r="Z2158" s="45"/>
      <c r="AA2158" s="48"/>
      <c r="AB2158" s="48"/>
      <c r="AC2158" s="47"/>
      <c r="AD2158" s="47"/>
      <c r="AE2158" s="47"/>
    </row>
    <row r="2159" spans="1:31" x14ac:dyDescent="0.35">
      <c r="A2159" s="41"/>
      <c r="B2159" s="41"/>
      <c r="C2159" s="42"/>
      <c r="D2159" s="43"/>
      <c r="E2159" s="43"/>
      <c r="F2159" s="43"/>
      <c r="G2159" s="43"/>
      <c r="H2159" s="43"/>
      <c r="I2159" s="43"/>
      <c r="J2159" s="43"/>
      <c r="K2159" s="43"/>
      <c r="L2159" s="43"/>
      <c r="M2159" s="43"/>
      <c r="N2159" s="43"/>
      <c r="O2159" s="43"/>
      <c r="P2159" s="43"/>
      <c r="Q2159" s="43"/>
      <c r="R2159" s="43"/>
      <c r="S2159" s="43"/>
      <c r="T2159" s="43"/>
      <c r="U2159" s="43"/>
      <c r="V2159" s="41"/>
      <c r="W2159" s="41"/>
      <c r="X2159" s="41"/>
      <c r="Y2159" s="41"/>
      <c r="Z2159" s="41"/>
      <c r="AA2159" s="44"/>
      <c r="AB2159" s="44"/>
      <c r="AC2159" s="43"/>
      <c r="AD2159" s="43"/>
      <c r="AE2159" s="43"/>
    </row>
    <row r="2160" spans="1:31" x14ac:dyDescent="0.35">
      <c r="C2160" s="33"/>
      <c r="D2160" s="34"/>
      <c r="E2160" s="34"/>
      <c r="F2160" s="34"/>
      <c r="G2160" s="34"/>
      <c r="H2160" s="34"/>
      <c r="I2160" s="34"/>
      <c r="J2160" s="34"/>
      <c r="K2160" s="34"/>
      <c r="L2160" s="34"/>
      <c r="M2160" s="34"/>
      <c r="N2160" s="34"/>
      <c r="O2160" s="34"/>
      <c r="AA2160" s="35"/>
      <c r="AB2160" s="35"/>
      <c r="AC2160" s="34"/>
      <c r="AD2160" s="34"/>
      <c r="AE2160" s="34"/>
    </row>
    <row r="2161" spans="1:31" ht="15" thickBot="1" x14ac:dyDescent="0.4">
      <c r="A2161" s="45"/>
      <c r="B2161" s="45"/>
      <c r="C2161" s="46"/>
      <c r="D2161" s="47"/>
      <c r="E2161" s="47"/>
      <c r="F2161" s="47"/>
      <c r="G2161" s="47"/>
      <c r="H2161" s="47"/>
      <c r="I2161" s="47"/>
      <c r="J2161" s="47"/>
      <c r="K2161" s="47"/>
      <c r="L2161" s="47"/>
      <c r="M2161" s="47"/>
      <c r="N2161" s="47"/>
      <c r="O2161" s="47"/>
      <c r="P2161" s="47"/>
      <c r="Q2161" s="47"/>
      <c r="R2161" s="47"/>
      <c r="S2161" s="47"/>
      <c r="T2161" s="45"/>
      <c r="U2161" s="45"/>
      <c r="V2161" s="45"/>
      <c r="W2161" s="45"/>
      <c r="X2161" s="47"/>
      <c r="Y2161" s="45"/>
      <c r="Z2161" s="45"/>
      <c r="AA2161" s="48"/>
      <c r="AB2161" s="48"/>
      <c r="AC2161" s="47"/>
      <c r="AD2161" s="47"/>
      <c r="AE2161" s="47"/>
    </row>
    <row r="2162" spans="1:31" x14ac:dyDescent="0.35">
      <c r="A2162" s="41"/>
      <c r="B2162" s="41"/>
      <c r="C2162" s="42"/>
      <c r="D2162" s="43"/>
      <c r="E2162" s="43"/>
      <c r="F2162" s="43"/>
      <c r="G2162" s="43"/>
      <c r="H2162" s="43"/>
      <c r="I2162" s="43"/>
      <c r="J2162" s="43"/>
      <c r="K2162" s="43"/>
      <c r="L2162" s="43"/>
      <c r="M2162" s="43"/>
      <c r="N2162" s="43"/>
      <c r="O2162" s="43"/>
      <c r="P2162" s="43"/>
      <c r="Q2162" s="43"/>
      <c r="R2162" s="43"/>
      <c r="S2162" s="43"/>
      <c r="T2162" s="43"/>
      <c r="U2162" s="43"/>
      <c r="V2162" s="41"/>
      <c r="W2162" s="41"/>
      <c r="X2162" s="41"/>
      <c r="Y2162" s="41"/>
      <c r="Z2162" s="41"/>
      <c r="AA2162" s="44"/>
      <c r="AB2162" s="44"/>
      <c r="AC2162" s="43"/>
      <c r="AD2162" s="43"/>
      <c r="AE2162" s="43"/>
    </row>
    <row r="2163" spans="1:31" x14ac:dyDescent="0.35">
      <c r="C2163" s="33"/>
      <c r="D2163" s="34"/>
      <c r="E2163" s="34"/>
      <c r="F2163" s="34"/>
      <c r="G2163" s="34"/>
      <c r="H2163" s="34"/>
      <c r="I2163" s="34"/>
      <c r="J2163" s="34"/>
      <c r="K2163" s="34"/>
      <c r="L2163" s="34"/>
      <c r="M2163" s="34"/>
      <c r="N2163" s="34"/>
      <c r="O2163" s="34"/>
      <c r="AA2163" s="35"/>
      <c r="AB2163" s="35"/>
      <c r="AC2163" s="34"/>
      <c r="AD2163" s="34"/>
      <c r="AE2163" s="34"/>
    </row>
    <row r="2164" spans="1:31" ht="15" thickBot="1" x14ac:dyDescent="0.4">
      <c r="A2164" s="45"/>
      <c r="B2164" s="45"/>
      <c r="C2164" s="46"/>
      <c r="D2164" s="47"/>
      <c r="E2164" s="47"/>
      <c r="F2164" s="47"/>
      <c r="G2164" s="47"/>
      <c r="H2164" s="47"/>
      <c r="I2164" s="47"/>
      <c r="J2164" s="47"/>
      <c r="K2164" s="47"/>
      <c r="L2164" s="47"/>
      <c r="M2164" s="47"/>
      <c r="N2164" s="47"/>
      <c r="O2164" s="47"/>
      <c r="P2164" s="47"/>
      <c r="Q2164" s="47"/>
      <c r="R2164" s="47"/>
      <c r="S2164" s="47"/>
      <c r="T2164" s="45"/>
      <c r="U2164" s="45"/>
      <c r="V2164" s="45"/>
      <c r="W2164" s="45"/>
      <c r="X2164" s="47"/>
      <c r="Y2164" s="45"/>
      <c r="Z2164" s="45"/>
      <c r="AA2164" s="48"/>
      <c r="AB2164" s="48"/>
      <c r="AC2164" s="47"/>
      <c r="AD2164" s="47"/>
      <c r="AE2164" s="47"/>
    </row>
    <row r="2165" spans="1:31" x14ac:dyDescent="0.35">
      <c r="A2165" s="41"/>
      <c r="B2165" s="41"/>
      <c r="C2165" s="42"/>
      <c r="D2165" s="43"/>
      <c r="E2165" s="43"/>
      <c r="F2165" s="43"/>
      <c r="G2165" s="43"/>
      <c r="H2165" s="43"/>
      <c r="I2165" s="43"/>
      <c r="J2165" s="43"/>
      <c r="K2165" s="43"/>
      <c r="L2165" s="43"/>
      <c r="M2165" s="43"/>
      <c r="N2165" s="43"/>
      <c r="O2165" s="43"/>
      <c r="P2165" s="43"/>
      <c r="Q2165" s="43"/>
      <c r="R2165" s="43"/>
      <c r="S2165" s="43"/>
      <c r="T2165" s="43"/>
      <c r="U2165" s="43"/>
      <c r="V2165" s="41"/>
      <c r="W2165" s="41"/>
      <c r="X2165" s="41"/>
      <c r="Y2165" s="41"/>
      <c r="Z2165" s="41"/>
      <c r="AA2165" s="44"/>
      <c r="AB2165" s="44"/>
      <c r="AC2165" s="43"/>
      <c r="AD2165" s="43"/>
      <c r="AE2165" s="43"/>
    </row>
    <row r="2166" spans="1:31" x14ac:dyDescent="0.35">
      <c r="C2166" s="33"/>
      <c r="D2166" s="34"/>
      <c r="E2166" s="34"/>
      <c r="F2166" s="34"/>
      <c r="G2166" s="34"/>
      <c r="H2166" s="34"/>
      <c r="I2166" s="34"/>
      <c r="J2166" s="34"/>
      <c r="K2166" s="34"/>
      <c r="L2166" s="34"/>
      <c r="M2166" s="34"/>
      <c r="N2166" s="34"/>
      <c r="O2166" s="34"/>
      <c r="AA2166" s="35"/>
      <c r="AB2166" s="35"/>
      <c r="AC2166" s="34"/>
      <c r="AD2166" s="34"/>
      <c r="AE2166" s="34"/>
    </row>
    <row r="2167" spans="1:31" ht="15" thickBot="1" x14ac:dyDescent="0.4">
      <c r="A2167" s="45"/>
      <c r="B2167" s="45"/>
      <c r="C2167" s="46"/>
      <c r="D2167" s="47"/>
      <c r="E2167" s="47"/>
      <c r="F2167" s="47"/>
      <c r="G2167" s="47"/>
      <c r="H2167" s="47"/>
      <c r="I2167" s="47"/>
      <c r="J2167" s="47"/>
      <c r="K2167" s="47"/>
      <c r="L2167" s="47"/>
      <c r="M2167" s="47"/>
      <c r="N2167" s="47"/>
      <c r="O2167" s="47"/>
      <c r="P2167" s="47"/>
      <c r="Q2167" s="47"/>
      <c r="R2167" s="47"/>
      <c r="S2167" s="47"/>
      <c r="T2167" s="45"/>
      <c r="U2167" s="45"/>
      <c r="V2167" s="45"/>
      <c r="W2167" s="45"/>
      <c r="X2167" s="47"/>
      <c r="Y2167" s="45"/>
      <c r="Z2167" s="45"/>
      <c r="AA2167" s="48"/>
      <c r="AB2167" s="48"/>
      <c r="AC2167" s="47"/>
      <c r="AD2167" s="47"/>
      <c r="AE2167" s="47"/>
    </row>
    <row r="2168" spans="1:31" x14ac:dyDescent="0.35">
      <c r="A2168" s="41"/>
      <c r="B2168" s="41"/>
      <c r="C2168" s="42"/>
      <c r="D2168" s="43"/>
      <c r="E2168" s="43"/>
      <c r="F2168" s="43"/>
      <c r="G2168" s="43"/>
      <c r="H2168" s="43"/>
      <c r="I2168" s="43"/>
      <c r="J2168" s="43"/>
      <c r="K2168" s="43"/>
      <c r="L2168" s="43"/>
      <c r="M2168" s="43"/>
      <c r="N2168" s="43"/>
      <c r="O2168" s="43"/>
      <c r="P2168" s="43"/>
      <c r="Q2168" s="43"/>
      <c r="R2168" s="43"/>
      <c r="S2168" s="43"/>
      <c r="T2168" s="43"/>
      <c r="U2168" s="43"/>
      <c r="V2168" s="41"/>
      <c r="W2168" s="41"/>
      <c r="X2168" s="41"/>
      <c r="Y2168" s="41"/>
      <c r="Z2168" s="41"/>
      <c r="AA2168" s="44"/>
      <c r="AB2168" s="44"/>
      <c r="AC2168" s="43"/>
      <c r="AD2168" s="43"/>
      <c r="AE2168" s="43"/>
    </row>
    <row r="2169" spans="1:31" x14ac:dyDescent="0.35">
      <c r="C2169" s="33"/>
      <c r="D2169" s="34"/>
      <c r="E2169" s="34"/>
      <c r="F2169" s="34"/>
      <c r="G2169" s="34"/>
      <c r="H2169" s="34"/>
      <c r="I2169" s="34"/>
      <c r="J2169" s="34"/>
      <c r="K2169" s="34"/>
      <c r="L2169" s="34"/>
      <c r="M2169" s="34"/>
      <c r="N2169" s="34"/>
      <c r="O2169" s="34"/>
      <c r="AA2169" s="35"/>
      <c r="AB2169" s="35"/>
      <c r="AC2169" s="34"/>
      <c r="AD2169" s="34"/>
      <c r="AE2169" s="34"/>
    </row>
    <row r="2170" spans="1:31" ht="15" thickBot="1" x14ac:dyDescent="0.4">
      <c r="A2170" s="45"/>
      <c r="B2170" s="45"/>
      <c r="C2170" s="46"/>
      <c r="D2170" s="47"/>
      <c r="E2170" s="47"/>
      <c r="F2170" s="47"/>
      <c r="G2170" s="47"/>
      <c r="H2170" s="47"/>
      <c r="I2170" s="47"/>
      <c r="J2170" s="47"/>
      <c r="K2170" s="47"/>
      <c r="L2170" s="47"/>
      <c r="M2170" s="47"/>
      <c r="N2170" s="47"/>
      <c r="O2170" s="47"/>
      <c r="P2170" s="47"/>
      <c r="Q2170" s="47"/>
      <c r="R2170" s="47"/>
      <c r="S2170" s="47"/>
      <c r="T2170" s="45"/>
      <c r="U2170" s="45"/>
      <c r="V2170" s="45"/>
      <c r="W2170" s="45"/>
      <c r="X2170" s="47"/>
      <c r="Y2170" s="45"/>
      <c r="Z2170" s="45"/>
      <c r="AA2170" s="48"/>
      <c r="AB2170" s="48"/>
      <c r="AC2170" s="47"/>
      <c r="AD2170" s="47"/>
      <c r="AE2170" s="47"/>
    </row>
    <row r="2171" spans="1:31" x14ac:dyDescent="0.35">
      <c r="A2171" s="41"/>
      <c r="B2171" s="41"/>
      <c r="C2171" s="42"/>
      <c r="D2171" s="43"/>
      <c r="E2171" s="43"/>
      <c r="F2171" s="43"/>
      <c r="G2171" s="43"/>
      <c r="H2171" s="43"/>
      <c r="I2171" s="43"/>
      <c r="J2171" s="43"/>
      <c r="K2171" s="43"/>
      <c r="L2171" s="43"/>
      <c r="M2171" s="43"/>
      <c r="N2171" s="43"/>
      <c r="O2171" s="43"/>
      <c r="P2171" s="43"/>
      <c r="Q2171" s="43"/>
      <c r="R2171" s="43"/>
      <c r="S2171" s="43"/>
      <c r="T2171" s="43"/>
      <c r="U2171" s="43"/>
      <c r="V2171" s="41"/>
      <c r="W2171" s="41"/>
      <c r="X2171" s="41"/>
      <c r="Y2171" s="41"/>
      <c r="Z2171" s="41"/>
      <c r="AA2171" s="44"/>
      <c r="AB2171" s="44"/>
      <c r="AC2171" s="43"/>
      <c r="AD2171" s="43"/>
      <c r="AE2171" s="43"/>
    </row>
    <row r="2172" spans="1:31" x14ac:dyDescent="0.35">
      <c r="C2172" s="33"/>
      <c r="D2172" s="34"/>
      <c r="E2172" s="34"/>
      <c r="F2172" s="34"/>
      <c r="G2172" s="34"/>
      <c r="H2172" s="34"/>
      <c r="I2172" s="34"/>
      <c r="J2172" s="34"/>
      <c r="K2172" s="34"/>
      <c r="L2172" s="34"/>
      <c r="M2172" s="34"/>
      <c r="N2172" s="34"/>
      <c r="O2172" s="34"/>
      <c r="AA2172" s="35"/>
      <c r="AB2172" s="35"/>
      <c r="AC2172" s="34"/>
      <c r="AD2172" s="34"/>
      <c r="AE2172" s="34"/>
    </row>
    <row r="2173" spans="1:31" ht="15" thickBot="1" x14ac:dyDescent="0.4">
      <c r="A2173" s="45"/>
      <c r="B2173" s="45"/>
      <c r="C2173" s="46"/>
      <c r="D2173" s="47"/>
      <c r="E2173" s="47"/>
      <c r="F2173" s="47"/>
      <c r="G2173" s="47"/>
      <c r="H2173" s="47"/>
      <c r="I2173" s="47"/>
      <c r="J2173" s="47"/>
      <c r="K2173" s="47"/>
      <c r="L2173" s="47"/>
      <c r="M2173" s="47"/>
      <c r="N2173" s="47"/>
      <c r="O2173" s="47"/>
      <c r="P2173" s="47"/>
      <c r="Q2173" s="47"/>
      <c r="R2173" s="47"/>
      <c r="S2173" s="47"/>
      <c r="T2173" s="45"/>
      <c r="U2173" s="45"/>
      <c r="V2173" s="45"/>
      <c r="W2173" s="45"/>
      <c r="X2173" s="47"/>
      <c r="Y2173" s="45"/>
      <c r="Z2173" s="45"/>
      <c r="AA2173" s="48"/>
      <c r="AB2173" s="48"/>
      <c r="AC2173" s="47"/>
      <c r="AD2173" s="47"/>
      <c r="AE2173" s="47"/>
    </row>
    <row r="2174" spans="1:31" x14ac:dyDescent="0.35">
      <c r="A2174" s="41"/>
      <c r="B2174" s="41"/>
      <c r="C2174" s="42"/>
      <c r="D2174" s="43"/>
      <c r="E2174" s="43"/>
      <c r="F2174" s="43"/>
      <c r="G2174" s="43"/>
      <c r="H2174" s="43"/>
      <c r="I2174" s="43"/>
      <c r="J2174" s="43"/>
      <c r="K2174" s="43"/>
      <c r="L2174" s="43"/>
      <c r="M2174" s="43"/>
      <c r="N2174" s="43"/>
      <c r="O2174" s="43"/>
      <c r="P2174" s="43"/>
      <c r="Q2174" s="43"/>
      <c r="R2174" s="43"/>
      <c r="S2174" s="43"/>
      <c r="T2174" s="43"/>
      <c r="U2174" s="43"/>
      <c r="V2174" s="41"/>
      <c r="W2174" s="41"/>
      <c r="X2174" s="41"/>
      <c r="Y2174" s="41"/>
      <c r="Z2174" s="41"/>
      <c r="AA2174" s="44"/>
      <c r="AB2174" s="44"/>
      <c r="AC2174" s="43"/>
      <c r="AD2174" s="43"/>
      <c r="AE2174" s="43"/>
    </row>
    <row r="2175" spans="1:31" x14ac:dyDescent="0.35">
      <c r="C2175" s="33"/>
      <c r="D2175" s="34"/>
      <c r="E2175" s="34"/>
      <c r="F2175" s="34"/>
      <c r="G2175" s="34"/>
      <c r="H2175" s="34"/>
      <c r="I2175" s="34"/>
      <c r="J2175" s="34"/>
      <c r="K2175" s="34"/>
      <c r="L2175" s="34"/>
      <c r="M2175" s="34"/>
      <c r="N2175" s="34"/>
      <c r="O2175" s="34"/>
      <c r="AA2175" s="35"/>
      <c r="AB2175" s="35"/>
      <c r="AC2175" s="34"/>
      <c r="AD2175" s="34"/>
      <c r="AE2175" s="34"/>
    </row>
    <row r="2176" spans="1:31" ht="15" thickBot="1" x14ac:dyDescent="0.4">
      <c r="A2176" s="45"/>
      <c r="B2176" s="45"/>
      <c r="C2176" s="46"/>
      <c r="D2176" s="47"/>
      <c r="E2176" s="47"/>
      <c r="F2176" s="47"/>
      <c r="G2176" s="47"/>
      <c r="H2176" s="47"/>
      <c r="I2176" s="47"/>
      <c r="J2176" s="47"/>
      <c r="K2176" s="47"/>
      <c r="L2176" s="47"/>
      <c r="M2176" s="47"/>
      <c r="N2176" s="47"/>
      <c r="O2176" s="47"/>
      <c r="P2176" s="47"/>
      <c r="Q2176" s="47"/>
      <c r="R2176" s="47"/>
      <c r="S2176" s="47"/>
      <c r="T2176" s="45"/>
      <c r="U2176" s="45"/>
      <c r="V2176" s="45"/>
      <c r="W2176" s="45"/>
      <c r="X2176" s="47"/>
      <c r="Y2176" s="45"/>
      <c r="Z2176" s="45"/>
      <c r="AA2176" s="48"/>
      <c r="AB2176" s="48"/>
      <c r="AC2176" s="47"/>
      <c r="AD2176" s="47"/>
      <c r="AE2176" s="47"/>
    </row>
    <row r="2177" spans="1:31" x14ac:dyDescent="0.35">
      <c r="A2177" s="41"/>
      <c r="B2177" s="41"/>
      <c r="C2177" s="42"/>
      <c r="D2177" s="43"/>
      <c r="E2177" s="43"/>
      <c r="F2177" s="43"/>
      <c r="G2177" s="43"/>
      <c r="H2177" s="43"/>
      <c r="I2177" s="43"/>
      <c r="J2177" s="43"/>
      <c r="K2177" s="43"/>
      <c r="L2177" s="43"/>
      <c r="M2177" s="43"/>
      <c r="N2177" s="43"/>
      <c r="O2177" s="43"/>
      <c r="P2177" s="43"/>
      <c r="Q2177" s="43"/>
      <c r="R2177" s="43"/>
      <c r="S2177" s="43"/>
      <c r="T2177" s="43"/>
      <c r="U2177" s="43"/>
      <c r="V2177" s="41"/>
      <c r="W2177" s="41"/>
      <c r="X2177" s="41"/>
      <c r="Y2177" s="41"/>
      <c r="Z2177" s="41"/>
      <c r="AA2177" s="44"/>
      <c r="AB2177" s="44"/>
      <c r="AC2177" s="43"/>
      <c r="AD2177" s="43"/>
      <c r="AE2177" s="43"/>
    </row>
    <row r="2178" spans="1:31" x14ac:dyDescent="0.35">
      <c r="C2178" s="33"/>
      <c r="D2178" s="34"/>
      <c r="E2178" s="34"/>
      <c r="F2178" s="34"/>
      <c r="G2178" s="34"/>
      <c r="H2178" s="34"/>
      <c r="I2178" s="34"/>
      <c r="J2178" s="34"/>
      <c r="K2178" s="34"/>
      <c r="L2178" s="34"/>
      <c r="M2178" s="34"/>
      <c r="N2178" s="34"/>
      <c r="O2178" s="34"/>
      <c r="AA2178" s="35"/>
      <c r="AB2178" s="35"/>
      <c r="AC2178" s="34"/>
      <c r="AD2178" s="34"/>
      <c r="AE2178" s="34"/>
    </row>
    <row r="2179" spans="1:31" ht="15" thickBot="1" x14ac:dyDescent="0.4">
      <c r="A2179" s="45"/>
      <c r="B2179" s="45"/>
      <c r="C2179" s="46"/>
      <c r="D2179" s="47"/>
      <c r="E2179" s="47"/>
      <c r="F2179" s="47"/>
      <c r="G2179" s="47"/>
      <c r="H2179" s="47"/>
      <c r="I2179" s="47"/>
      <c r="J2179" s="47"/>
      <c r="K2179" s="47"/>
      <c r="L2179" s="47"/>
      <c r="M2179" s="47"/>
      <c r="N2179" s="47"/>
      <c r="O2179" s="47"/>
      <c r="P2179" s="47"/>
      <c r="Q2179" s="47"/>
      <c r="R2179" s="47"/>
      <c r="S2179" s="47"/>
      <c r="T2179" s="45"/>
      <c r="U2179" s="45"/>
      <c r="V2179" s="45"/>
      <c r="W2179" s="45"/>
      <c r="X2179" s="47"/>
      <c r="Y2179" s="45"/>
      <c r="Z2179" s="45"/>
      <c r="AA2179" s="48"/>
      <c r="AB2179" s="48"/>
      <c r="AC2179" s="47"/>
      <c r="AD2179" s="47"/>
      <c r="AE2179" s="47"/>
    </row>
    <row r="2180" spans="1:31" x14ac:dyDescent="0.35">
      <c r="A2180" s="41"/>
      <c r="B2180" s="41"/>
      <c r="C2180" s="42"/>
      <c r="D2180" s="43"/>
      <c r="E2180" s="43"/>
      <c r="F2180" s="43"/>
      <c r="G2180" s="43"/>
      <c r="H2180" s="43"/>
      <c r="I2180" s="43"/>
      <c r="J2180" s="43"/>
      <c r="K2180" s="43"/>
      <c r="L2180" s="43"/>
      <c r="M2180" s="43"/>
      <c r="N2180" s="43"/>
      <c r="O2180" s="43"/>
      <c r="P2180" s="43"/>
      <c r="Q2180" s="43"/>
      <c r="R2180" s="43"/>
      <c r="S2180" s="43"/>
      <c r="T2180" s="43"/>
      <c r="U2180" s="43"/>
      <c r="V2180" s="41"/>
      <c r="W2180" s="41"/>
      <c r="X2180" s="41"/>
      <c r="Y2180" s="41"/>
      <c r="Z2180" s="41"/>
      <c r="AA2180" s="44"/>
      <c r="AB2180" s="44"/>
      <c r="AC2180" s="43"/>
      <c r="AD2180" s="43"/>
      <c r="AE2180" s="43"/>
    </row>
    <row r="2181" spans="1:31" x14ac:dyDescent="0.35">
      <c r="C2181" s="33"/>
      <c r="D2181" s="34"/>
      <c r="E2181" s="34"/>
      <c r="F2181" s="34"/>
      <c r="G2181" s="34"/>
      <c r="H2181" s="34"/>
      <c r="I2181" s="34"/>
      <c r="J2181" s="34"/>
      <c r="K2181" s="34"/>
      <c r="L2181" s="34"/>
      <c r="M2181" s="34"/>
      <c r="N2181" s="34"/>
      <c r="O2181" s="34"/>
      <c r="AA2181" s="35"/>
      <c r="AB2181" s="35"/>
      <c r="AC2181" s="34"/>
      <c r="AD2181" s="34"/>
      <c r="AE2181" s="34"/>
    </row>
    <row r="2182" spans="1:31" ht="15" thickBot="1" x14ac:dyDescent="0.4">
      <c r="A2182" s="45"/>
      <c r="B2182" s="45"/>
      <c r="C2182" s="46"/>
      <c r="D2182" s="47"/>
      <c r="E2182" s="47"/>
      <c r="F2182" s="47"/>
      <c r="G2182" s="47"/>
      <c r="H2182" s="47"/>
      <c r="I2182" s="47"/>
      <c r="J2182" s="47"/>
      <c r="K2182" s="47"/>
      <c r="L2182" s="47"/>
      <c r="M2182" s="47"/>
      <c r="N2182" s="47"/>
      <c r="O2182" s="47"/>
      <c r="P2182" s="47"/>
      <c r="Q2182" s="47"/>
      <c r="R2182" s="47"/>
      <c r="S2182" s="47"/>
      <c r="T2182" s="45"/>
      <c r="U2182" s="45"/>
      <c r="V2182" s="45"/>
      <c r="W2182" s="45"/>
      <c r="X2182" s="47"/>
      <c r="Y2182" s="45"/>
      <c r="Z2182" s="45"/>
      <c r="AA2182" s="48"/>
      <c r="AB2182" s="48"/>
      <c r="AC2182" s="47"/>
      <c r="AD2182" s="47"/>
      <c r="AE2182" s="47"/>
    </row>
    <row r="2183" spans="1:31" x14ac:dyDescent="0.35">
      <c r="A2183" s="41"/>
      <c r="B2183" s="41"/>
      <c r="C2183" s="42"/>
      <c r="D2183" s="43"/>
      <c r="E2183" s="43"/>
      <c r="F2183" s="43"/>
      <c r="G2183" s="43"/>
      <c r="H2183" s="43"/>
      <c r="I2183" s="43"/>
      <c r="J2183" s="43"/>
      <c r="K2183" s="43"/>
      <c r="L2183" s="43"/>
      <c r="M2183" s="43"/>
      <c r="N2183" s="43"/>
      <c r="O2183" s="43"/>
      <c r="P2183" s="43"/>
      <c r="Q2183" s="43"/>
      <c r="R2183" s="43"/>
      <c r="S2183" s="43"/>
      <c r="T2183" s="43"/>
      <c r="U2183" s="43"/>
      <c r="V2183" s="41"/>
      <c r="W2183" s="41"/>
      <c r="X2183" s="41"/>
      <c r="Y2183" s="41"/>
      <c r="Z2183" s="41"/>
      <c r="AA2183" s="44"/>
      <c r="AB2183" s="44"/>
      <c r="AC2183" s="43"/>
      <c r="AD2183" s="43"/>
      <c r="AE2183" s="43"/>
    </row>
    <row r="2184" spans="1:31" x14ac:dyDescent="0.35">
      <c r="C2184" s="33"/>
      <c r="D2184" s="34"/>
      <c r="E2184" s="34"/>
      <c r="F2184" s="34"/>
      <c r="G2184" s="34"/>
      <c r="H2184" s="34"/>
      <c r="I2184" s="34"/>
      <c r="J2184" s="34"/>
      <c r="K2184" s="34"/>
      <c r="L2184" s="34"/>
      <c r="M2184" s="34"/>
      <c r="N2184" s="34"/>
      <c r="O2184" s="34"/>
      <c r="AA2184" s="35"/>
      <c r="AB2184" s="35"/>
      <c r="AC2184" s="34"/>
      <c r="AD2184" s="34"/>
      <c r="AE2184" s="34"/>
    </row>
    <row r="2185" spans="1:31" ht="15" thickBot="1" x14ac:dyDescent="0.4">
      <c r="A2185" s="45"/>
      <c r="B2185" s="45"/>
      <c r="C2185" s="46"/>
      <c r="D2185" s="47"/>
      <c r="E2185" s="47"/>
      <c r="F2185" s="47"/>
      <c r="G2185" s="47"/>
      <c r="H2185" s="47"/>
      <c r="I2185" s="47"/>
      <c r="J2185" s="47"/>
      <c r="K2185" s="47"/>
      <c r="L2185" s="47"/>
      <c r="M2185" s="47"/>
      <c r="N2185" s="47"/>
      <c r="O2185" s="47"/>
      <c r="P2185" s="47"/>
      <c r="Q2185" s="47"/>
      <c r="R2185" s="47"/>
      <c r="S2185" s="47"/>
      <c r="T2185" s="45"/>
      <c r="U2185" s="45"/>
      <c r="V2185" s="45"/>
      <c r="W2185" s="45"/>
      <c r="X2185" s="47"/>
      <c r="Y2185" s="45"/>
      <c r="Z2185" s="45"/>
      <c r="AA2185" s="48"/>
      <c r="AB2185" s="48"/>
      <c r="AC2185" s="47"/>
      <c r="AD2185" s="47"/>
      <c r="AE2185" s="47"/>
    </row>
    <row r="2186" spans="1:31" x14ac:dyDescent="0.35">
      <c r="A2186" s="41"/>
      <c r="B2186" s="41"/>
      <c r="C2186" s="42"/>
      <c r="D2186" s="43"/>
      <c r="E2186" s="43"/>
      <c r="F2186" s="43"/>
      <c r="G2186" s="43"/>
      <c r="H2186" s="43"/>
      <c r="I2186" s="43"/>
      <c r="J2186" s="43"/>
      <c r="K2186" s="43"/>
      <c r="L2186" s="43"/>
      <c r="M2186" s="43"/>
      <c r="N2186" s="43"/>
      <c r="O2186" s="43"/>
      <c r="P2186" s="43"/>
      <c r="Q2186" s="43"/>
      <c r="R2186" s="43"/>
      <c r="S2186" s="43"/>
      <c r="T2186" s="43"/>
      <c r="U2186" s="43"/>
      <c r="V2186" s="41"/>
      <c r="W2186" s="41"/>
      <c r="X2186" s="41"/>
      <c r="Y2186" s="41"/>
      <c r="Z2186" s="41"/>
      <c r="AA2186" s="44"/>
      <c r="AB2186" s="44"/>
      <c r="AC2186" s="43"/>
      <c r="AD2186" s="43"/>
      <c r="AE2186" s="43"/>
    </row>
    <row r="2187" spans="1:31" x14ac:dyDescent="0.35">
      <c r="C2187" s="33"/>
      <c r="D2187" s="34"/>
      <c r="E2187" s="34"/>
      <c r="F2187" s="34"/>
      <c r="G2187" s="34"/>
      <c r="H2187" s="34"/>
      <c r="I2187" s="34"/>
      <c r="J2187" s="34"/>
      <c r="K2187" s="34"/>
      <c r="L2187" s="34"/>
      <c r="M2187" s="34"/>
      <c r="N2187" s="34"/>
      <c r="O2187" s="34"/>
      <c r="AA2187" s="35"/>
      <c r="AB2187" s="35"/>
      <c r="AC2187" s="34"/>
      <c r="AD2187" s="34"/>
      <c r="AE2187" s="34"/>
    </row>
    <row r="2188" spans="1:31" ht="15" thickBot="1" x14ac:dyDescent="0.4">
      <c r="A2188" s="45"/>
      <c r="B2188" s="45"/>
      <c r="C2188" s="46"/>
      <c r="D2188" s="47"/>
      <c r="E2188" s="47"/>
      <c r="F2188" s="47"/>
      <c r="G2188" s="47"/>
      <c r="H2188" s="47"/>
      <c r="I2188" s="47"/>
      <c r="J2188" s="47"/>
      <c r="K2188" s="47"/>
      <c r="L2188" s="47"/>
      <c r="M2188" s="47"/>
      <c r="N2188" s="47"/>
      <c r="O2188" s="47"/>
      <c r="P2188" s="47"/>
      <c r="Q2188" s="47"/>
      <c r="R2188" s="47"/>
      <c r="S2188" s="47"/>
      <c r="T2188" s="45"/>
      <c r="U2188" s="45"/>
      <c r="V2188" s="45"/>
      <c r="W2188" s="45"/>
      <c r="X2188" s="47"/>
      <c r="Y2188" s="45"/>
      <c r="Z2188" s="45"/>
      <c r="AA2188" s="48"/>
      <c r="AB2188" s="48"/>
      <c r="AC2188" s="47"/>
      <c r="AD2188" s="47"/>
      <c r="AE2188" s="47"/>
    </row>
    <row r="2189" spans="1:31" x14ac:dyDescent="0.35">
      <c r="A2189" s="41"/>
      <c r="B2189" s="41"/>
      <c r="C2189" s="42"/>
      <c r="D2189" s="43"/>
      <c r="E2189" s="43"/>
      <c r="F2189" s="43"/>
      <c r="G2189" s="43"/>
      <c r="H2189" s="43"/>
      <c r="I2189" s="43"/>
      <c r="J2189" s="43"/>
      <c r="K2189" s="43"/>
      <c r="L2189" s="43"/>
      <c r="M2189" s="43"/>
      <c r="N2189" s="43"/>
      <c r="O2189" s="43"/>
      <c r="P2189" s="43"/>
      <c r="Q2189" s="43"/>
      <c r="R2189" s="43"/>
      <c r="S2189" s="43"/>
      <c r="T2189" s="43"/>
      <c r="U2189" s="43"/>
      <c r="V2189" s="41"/>
      <c r="W2189" s="41"/>
      <c r="X2189" s="41"/>
      <c r="Y2189" s="41"/>
      <c r="Z2189" s="41"/>
      <c r="AA2189" s="44"/>
      <c r="AB2189" s="44"/>
      <c r="AC2189" s="43"/>
      <c r="AD2189" s="43"/>
      <c r="AE2189" s="43"/>
    </row>
    <row r="2190" spans="1:31" x14ac:dyDescent="0.35">
      <c r="C2190" s="33"/>
      <c r="D2190" s="34"/>
      <c r="E2190" s="34"/>
      <c r="F2190" s="34"/>
      <c r="G2190" s="34"/>
      <c r="H2190" s="34"/>
      <c r="I2190" s="34"/>
      <c r="J2190" s="34"/>
      <c r="K2190" s="34"/>
      <c r="L2190" s="34"/>
      <c r="M2190" s="34"/>
      <c r="N2190" s="34"/>
      <c r="O2190" s="34"/>
      <c r="AA2190" s="35"/>
      <c r="AB2190" s="35"/>
      <c r="AC2190" s="34"/>
      <c r="AD2190" s="34"/>
      <c r="AE2190" s="34"/>
    </row>
    <row r="2191" spans="1:31" ht="15" thickBot="1" x14ac:dyDescent="0.4">
      <c r="A2191" s="45"/>
      <c r="B2191" s="45"/>
      <c r="C2191" s="46"/>
      <c r="D2191" s="47"/>
      <c r="E2191" s="47"/>
      <c r="F2191" s="47"/>
      <c r="G2191" s="47"/>
      <c r="H2191" s="47"/>
      <c r="I2191" s="47"/>
      <c r="J2191" s="47"/>
      <c r="K2191" s="47"/>
      <c r="L2191" s="47"/>
      <c r="M2191" s="47"/>
      <c r="N2191" s="47"/>
      <c r="O2191" s="47"/>
      <c r="P2191" s="47"/>
      <c r="Q2191" s="47"/>
      <c r="R2191" s="47"/>
      <c r="S2191" s="47"/>
      <c r="T2191" s="45"/>
      <c r="U2191" s="45"/>
      <c r="V2191" s="45"/>
      <c r="W2191" s="45"/>
      <c r="X2191" s="47"/>
      <c r="Y2191" s="45"/>
      <c r="Z2191" s="45"/>
      <c r="AA2191" s="48"/>
      <c r="AB2191" s="48"/>
      <c r="AC2191" s="47"/>
      <c r="AD2191" s="47"/>
      <c r="AE2191" s="47"/>
    </row>
    <row r="2192" spans="1:31" x14ac:dyDescent="0.35">
      <c r="A2192" s="41"/>
      <c r="B2192" s="41"/>
      <c r="C2192" s="42"/>
      <c r="D2192" s="43"/>
      <c r="E2192" s="43"/>
      <c r="F2192" s="43"/>
      <c r="G2192" s="43"/>
      <c r="H2192" s="43"/>
      <c r="I2192" s="43"/>
      <c r="J2192" s="43"/>
      <c r="K2192" s="43"/>
      <c r="L2192" s="43"/>
      <c r="M2192" s="43"/>
      <c r="N2192" s="43"/>
      <c r="O2192" s="43"/>
      <c r="P2192" s="43"/>
      <c r="Q2192" s="43"/>
      <c r="R2192" s="43"/>
      <c r="S2192" s="43"/>
      <c r="T2192" s="43"/>
      <c r="U2192" s="43"/>
      <c r="V2192" s="41"/>
      <c r="W2192" s="41"/>
      <c r="X2192" s="41"/>
      <c r="Y2192" s="41"/>
      <c r="Z2192" s="41"/>
      <c r="AA2192" s="44"/>
      <c r="AB2192" s="44"/>
      <c r="AC2192" s="43"/>
      <c r="AD2192" s="43"/>
      <c r="AE2192" s="43"/>
    </row>
    <row r="2193" spans="1:31" x14ac:dyDescent="0.35">
      <c r="C2193" s="33"/>
      <c r="D2193" s="34"/>
      <c r="E2193" s="34"/>
      <c r="F2193" s="34"/>
      <c r="G2193" s="34"/>
      <c r="H2193" s="34"/>
      <c r="I2193" s="34"/>
      <c r="J2193" s="34"/>
      <c r="K2193" s="34"/>
      <c r="L2193" s="34"/>
      <c r="M2193" s="34"/>
      <c r="N2193" s="34"/>
      <c r="O2193" s="34"/>
      <c r="AA2193" s="35"/>
      <c r="AB2193" s="35"/>
      <c r="AC2193" s="34"/>
      <c r="AD2193" s="34"/>
      <c r="AE2193" s="34"/>
    </row>
    <row r="2194" spans="1:31" ht="15" thickBot="1" x14ac:dyDescent="0.4">
      <c r="A2194" s="45"/>
      <c r="B2194" s="45"/>
      <c r="C2194" s="46"/>
      <c r="D2194" s="47"/>
      <c r="E2194" s="47"/>
      <c r="F2194" s="47"/>
      <c r="G2194" s="47"/>
      <c r="H2194" s="47"/>
      <c r="I2194" s="47"/>
      <c r="J2194" s="47"/>
      <c r="K2194" s="47"/>
      <c r="L2194" s="47"/>
      <c r="M2194" s="47"/>
      <c r="N2194" s="47"/>
      <c r="O2194" s="47"/>
      <c r="P2194" s="47"/>
      <c r="Q2194" s="47"/>
      <c r="R2194" s="47"/>
      <c r="S2194" s="47"/>
      <c r="T2194" s="45"/>
      <c r="U2194" s="45"/>
      <c r="V2194" s="45"/>
      <c r="W2194" s="45"/>
      <c r="X2194" s="47"/>
      <c r="Y2194" s="45"/>
      <c r="Z2194" s="45"/>
      <c r="AA2194" s="48"/>
      <c r="AB2194" s="48"/>
      <c r="AC2194" s="47"/>
      <c r="AD2194" s="47"/>
      <c r="AE2194" s="47"/>
    </row>
    <row r="2195" spans="1:31" x14ac:dyDescent="0.35">
      <c r="A2195" s="41"/>
      <c r="B2195" s="41"/>
      <c r="C2195" s="42"/>
      <c r="D2195" s="43"/>
      <c r="E2195" s="43"/>
      <c r="F2195" s="43"/>
      <c r="G2195" s="43"/>
      <c r="H2195" s="43"/>
      <c r="I2195" s="43"/>
      <c r="J2195" s="43"/>
      <c r="K2195" s="43"/>
      <c r="L2195" s="43"/>
      <c r="M2195" s="43"/>
      <c r="N2195" s="43"/>
      <c r="O2195" s="43"/>
      <c r="P2195" s="43"/>
      <c r="Q2195" s="43"/>
      <c r="R2195" s="43"/>
      <c r="S2195" s="43"/>
      <c r="T2195" s="43"/>
      <c r="U2195" s="43"/>
      <c r="V2195" s="41"/>
      <c r="W2195" s="41"/>
      <c r="X2195" s="41"/>
      <c r="Y2195" s="41"/>
      <c r="Z2195" s="41"/>
      <c r="AA2195" s="44"/>
      <c r="AB2195" s="44"/>
      <c r="AC2195" s="43"/>
      <c r="AD2195" s="43"/>
      <c r="AE2195" s="43"/>
    </row>
    <row r="2196" spans="1:31" x14ac:dyDescent="0.35">
      <c r="C2196" s="33"/>
      <c r="D2196" s="34"/>
      <c r="E2196" s="34"/>
      <c r="F2196" s="34"/>
      <c r="G2196" s="34"/>
      <c r="H2196" s="34"/>
      <c r="I2196" s="34"/>
      <c r="J2196" s="34"/>
      <c r="K2196" s="34"/>
      <c r="L2196" s="34"/>
      <c r="M2196" s="34"/>
      <c r="N2196" s="34"/>
      <c r="O2196" s="34"/>
      <c r="AA2196" s="35"/>
      <c r="AB2196" s="35"/>
      <c r="AC2196" s="34"/>
      <c r="AD2196" s="34"/>
      <c r="AE2196" s="34"/>
    </row>
    <row r="2197" spans="1:31" ht="15" thickBot="1" x14ac:dyDescent="0.4">
      <c r="A2197" s="45"/>
      <c r="B2197" s="45"/>
      <c r="C2197" s="46"/>
      <c r="D2197" s="47"/>
      <c r="E2197" s="47"/>
      <c r="F2197" s="47"/>
      <c r="G2197" s="47"/>
      <c r="H2197" s="47"/>
      <c r="I2197" s="47"/>
      <c r="J2197" s="47"/>
      <c r="K2197" s="47"/>
      <c r="L2197" s="47"/>
      <c r="M2197" s="47"/>
      <c r="N2197" s="47"/>
      <c r="O2197" s="47"/>
      <c r="P2197" s="47"/>
      <c r="Q2197" s="47"/>
      <c r="R2197" s="47"/>
      <c r="S2197" s="47"/>
      <c r="T2197" s="45"/>
      <c r="U2197" s="45"/>
      <c r="V2197" s="45"/>
      <c r="W2197" s="45"/>
      <c r="X2197" s="47"/>
      <c r="Y2197" s="45"/>
      <c r="Z2197" s="45"/>
      <c r="AA2197" s="48"/>
      <c r="AB2197" s="48"/>
      <c r="AC2197" s="47"/>
      <c r="AD2197" s="47"/>
      <c r="AE2197" s="47"/>
    </row>
    <row r="2198" spans="1:31" x14ac:dyDescent="0.35">
      <c r="A2198" s="41"/>
      <c r="B2198" s="41"/>
      <c r="C2198" s="42"/>
      <c r="D2198" s="43"/>
      <c r="E2198" s="43"/>
      <c r="F2198" s="43"/>
      <c r="G2198" s="43"/>
      <c r="H2198" s="43"/>
      <c r="I2198" s="43"/>
      <c r="J2198" s="43"/>
      <c r="K2198" s="43"/>
      <c r="L2198" s="43"/>
      <c r="M2198" s="43"/>
      <c r="N2198" s="43"/>
      <c r="O2198" s="43"/>
      <c r="P2198" s="43"/>
      <c r="Q2198" s="43"/>
      <c r="R2198" s="43"/>
      <c r="S2198" s="43"/>
      <c r="T2198" s="43"/>
      <c r="U2198" s="43"/>
      <c r="V2198" s="41"/>
      <c r="W2198" s="41"/>
      <c r="X2198" s="41"/>
      <c r="Y2198" s="41"/>
      <c r="Z2198" s="41"/>
      <c r="AA2198" s="44"/>
      <c r="AB2198" s="44"/>
      <c r="AC2198" s="43"/>
      <c r="AD2198" s="43"/>
      <c r="AE2198" s="43"/>
    </row>
    <row r="2199" spans="1:31" x14ac:dyDescent="0.35">
      <c r="C2199" s="33"/>
      <c r="D2199" s="34"/>
      <c r="E2199" s="34"/>
      <c r="F2199" s="34"/>
      <c r="G2199" s="34"/>
      <c r="H2199" s="34"/>
      <c r="I2199" s="34"/>
      <c r="J2199" s="34"/>
      <c r="K2199" s="34"/>
      <c r="L2199" s="34"/>
      <c r="M2199" s="34"/>
      <c r="N2199" s="34"/>
      <c r="O2199" s="34"/>
      <c r="AA2199" s="35"/>
      <c r="AB2199" s="35"/>
      <c r="AC2199" s="34"/>
      <c r="AD2199" s="34"/>
      <c r="AE2199" s="34"/>
    </row>
    <row r="2200" spans="1:31" ht="15" thickBot="1" x14ac:dyDescent="0.4">
      <c r="A2200" s="45"/>
      <c r="B2200" s="45"/>
      <c r="C2200" s="46"/>
      <c r="D2200" s="47"/>
      <c r="E2200" s="47"/>
      <c r="F2200" s="47"/>
      <c r="G2200" s="47"/>
      <c r="H2200" s="47"/>
      <c r="I2200" s="47"/>
      <c r="J2200" s="47"/>
      <c r="K2200" s="47"/>
      <c r="L2200" s="47"/>
      <c r="M2200" s="47"/>
      <c r="N2200" s="47"/>
      <c r="O2200" s="47"/>
      <c r="P2200" s="47"/>
      <c r="Q2200" s="47"/>
      <c r="R2200" s="47"/>
      <c r="S2200" s="47"/>
      <c r="T2200" s="45"/>
      <c r="U2200" s="45"/>
      <c r="V2200" s="45"/>
      <c r="W2200" s="45"/>
      <c r="X2200" s="47"/>
      <c r="Y2200" s="45"/>
      <c r="Z2200" s="45"/>
      <c r="AA2200" s="48"/>
      <c r="AB2200" s="48"/>
      <c r="AC2200" s="47"/>
      <c r="AD2200" s="47"/>
      <c r="AE2200" s="47"/>
    </row>
    <row r="2201" spans="1:31" x14ac:dyDescent="0.35">
      <c r="A2201" s="41"/>
      <c r="B2201" s="41"/>
      <c r="C2201" s="42"/>
      <c r="D2201" s="43"/>
      <c r="E2201" s="43"/>
      <c r="F2201" s="43"/>
      <c r="G2201" s="43"/>
      <c r="H2201" s="43"/>
      <c r="I2201" s="43"/>
      <c r="J2201" s="43"/>
      <c r="K2201" s="43"/>
      <c r="L2201" s="43"/>
      <c r="M2201" s="43"/>
      <c r="N2201" s="43"/>
      <c r="O2201" s="43"/>
      <c r="P2201" s="43"/>
      <c r="Q2201" s="43"/>
      <c r="R2201" s="43"/>
      <c r="S2201" s="43"/>
      <c r="T2201" s="43"/>
      <c r="U2201" s="43"/>
      <c r="V2201" s="41"/>
      <c r="W2201" s="41"/>
      <c r="X2201" s="41"/>
      <c r="Y2201" s="41"/>
      <c r="Z2201" s="41"/>
      <c r="AA2201" s="44"/>
      <c r="AB2201" s="44"/>
      <c r="AC2201" s="43"/>
      <c r="AD2201" s="43"/>
      <c r="AE2201" s="43"/>
    </row>
    <row r="2202" spans="1:31" x14ac:dyDescent="0.35">
      <c r="C2202" s="33"/>
      <c r="D2202" s="34"/>
      <c r="E2202" s="34"/>
      <c r="F2202" s="34"/>
      <c r="G2202" s="34"/>
      <c r="H2202" s="34"/>
      <c r="I2202" s="34"/>
      <c r="J2202" s="34"/>
      <c r="K2202" s="34"/>
      <c r="L2202" s="34"/>
      <c r="M2202" s="34"/>
      <c r="N2202" s="34"/>
      <c r="O2202" s="34"/>
      <c r="AA2202" s="35"/>
      <c r="AB2202" s="35"/>
      <c r="AC2202" s="34"/>
      <c r="AD2202" s="34"/>
      <c r="AE2202" s="34"/>
    </row>
    <row r="2203" spans="1:31" ht="15" thickBot="1" x14ac:dyDescent="0.4">
      <c r="A2203" s="45"/>
      <c r="B2203" s="45"/>
      <c r="C2203" s="46"/>
      <c r="D2203" s="47"/>
      <c r="E2203" s="47"/>
      <c r="F2203" s="47"/>
      <c r="G2203" s="47"/>
      <c r="H2203" s="47"/>
      <c r="I2203" s="47"/>
      <c r="J2203" s="47"/>
      <c r="K2203" s="47"/>
      <c r="L2203" s="47"/>
      <c r="M2203" s="47"/>
      <c r="N2203" s="47"/>
      <c r="O2203" s="47"/>
      <c r="P2203" s="47"/>
      <c r="Q2203" s="47"/>
      <c r="R2203" s="47"/>
      <c r="S2203" s="47"/>
      <c r="T2203" s="45"/>
      <c r="U2203" s="45"/>
      <c r="V2203" s="45"/>
      <c r="W2203" s="45"/>
      <c r="X2203" s="47"/>
      <c r="Y2203" s="45"/>
      <c r="Z2203" s="45"/>
      <c r="AA2203" s="48"/>
      <c r="AB2203" s="48"/>
      <c r="AC2203" s="47"/>
      <c r="AD2203" s="47"/>
      <c r="AE2203" s="47"/>
    </row>
    <row r="2204" spans="1:31" x14ac:dyDescent="0.35">
      <c r="A2204" s="41"/>
      <c r="B2204" s="41"/>
      <c r="C2204" s="42"/>
      <c r="D2204" s="43"/>
      <c r="E2204" s="43"/>
      <c r="F2204" s="43"/>
      <c r="G2204" s="43"/>
      <c r="H2204" s="43"/>
      <c r="I2204" s="43"/>
      <c r="J2204" s="43"/>
      <c r="K2204" s="43"/>
      <c r="L2204" s="43"/>
      <c r="M2204" s="43"/>
      <c r="N2204" s="43"/>
      <c r="O2204" s="43"/>
      <c r="P2204" s="43"/>
      <c r="Q2204" s="43"/>
      <c r="R2204" s="43"/>
      <c r="S2204" s="43"/>
      <c r="T2204" s="43"/>
      <c r="U2204" s="43"/>
      <c r="V2204" s="41"/>
      <c r="W2204" s="41"/>
      <c r="X2204" s="41"/>
      <c r="Y2204" s="41"/>
      <c r="Z2204" s="41"/>
      <c r="AA2204" s="44"/>
      <c r="AB2204" s="44"/>
      <c r="AC2204" s="43"/>
      <c r="AD2204" s="43"/>
      <c r="AE2204" s="43"/>
    </row>
    <row r="2205" spans="1:31" x14ac:dyDescent="0.35">
      <c r="C2205" s="33"/>
      <c r="D2205" s="34"/>
      <c r="E2205" s="34"/>
      <c r="F2205" s="34"/>
      <c r="G2205" s="34"/>
      <c r="H2205" s="34"/>
      <c r="I2205" s="34"/>
      <c r="J2205" s="34"/>
      <c r="K2205" s="34"/>
      <c r="L2205" s="34"/>
      <c r="M2205" s="34"/>
      <c r="N2205" s="34"/>
      <c r="O2205" s="34"/>
      <c r="AA2205" s="35"/>
      <c r="AB2205" s="35"/>
      <c r="AC2205" s="34"/>
      <c r="AD2205" s="34"/>
      <c r="AE2205" s="34"/>
    </row>
    <row r="2206" spans="1:31" ht="15" thickBot="1" x14ac:dyDescent="0.4">
      <c r="A2206" s="45"/>
      <c r="B2206" s="45"/>
      <c r="C2206" s="46"/>
      <c r="D2206" s="47"/>
      <c r="E2206" s="47"/>
      <c r="F2206" s="47"/>
      <c r="G2206" s="47"/>
      <c r="H2206" s="47"/>
      <c r="I2206" s="47"/>
      <c r="J2206" s="47"/>
      <c r="K2206" s="47"/>
      <c r="L2206" s="47"/>
      <c r="M2206" s="47"/>
      <c r="N2206" s="47"/>
      <c r="O2206" s="47"/>
      <c r="P2206" s="47"/>
      <c r="Q2206" s="47"/>
      <c r="R2206" s="47"/>
      <c r="S2206" s="47"/>
      <c r="T2206" s="45"/>
      <c r="U2206" s="45"/>
      <c r="V2206" s="45"/>
      <c r="W2206" s="45"/>
      <c r="X2206" s="47"/>
      <c r="Y2206" s="45"/>
      <c r="Z2206" s="45"/>
      <c r="AA2206" s="48"/>
      <c r="AB2206" s="48"/>
      <c r="AC2206" s="47"/>
      <c r="AD2206" s="47"/>
      <c r="AE2206" s="47"/>
    </row>
    <row r="2207" spans="1:31" x14ac:dyDescent="0.35">
      <c r="A2207" s="41"/>
      <c r="B2207" s="41"/>
      <c r="C2207" s="42"/>
      <c r="D2207" s="43"/>
      <c r="E2207" s="43"/>
      <c r="F2207" s="43"/>
      <c r="G2207" s="43"/>
      <c r="H2207" s="43"/>
      <c r="I2207" s="43"/>
      <c r="J2207" s="43"/>
      <c r="K2207" s="43"/>
      <c r="L2207" s="43"/>
      <c r="M2207" s="43"/>
      <c r="N2207" s="43"/>
      <c r="O2207" s="43"/>
      <c r="P2207" s="43"/>
      <c r="Q2207" s="43"/>
      <c r="R2207" s="43"/>
      <c r="S2207" s="43"/>
      <c r="T2207" s="43"/>
      <c r="U2207" s="43"/>
      <c r="V2207" s="41"/>
      <c r="W2207" s="41"/>
      <c r="X2207" s="41"/>
      <c r="Y2207" s="41"/>
      <c r="Z2207" s="41"/>
      <c r="AA2207" s="44"/>
      <c r="AB2207" s="44"/>
      <c r="AC2207" s="43"/>
      <c r="AD2207" s="43"/>
      <c r="AE2207" s="43"/>
    </row>
    <row r="2208" spans="1:31" x14ac:dyDescent="0.35">
      <c r="C2208" s="33"/>
      <c r="D2208" s="34"/>
      <c r="E2208" s="34"/>
      <c r="F2208" s="34"/>
      <c r="G2208" s="34"/>
      <c r="H2208" s="34"/>
      <c r="I2208" s="34"/>
      <c r="J2208" s="34"/>
      <c r="K2208" s="34"/>
      <c r="L2208" s="34"/>
      <c r="M2208" s="34"/>
      <c r="N2208" s="34"/>
      <c r="O2208" s="34"/>
      <c r="AA2208" s="35"/>
      <c r="AB2208" s="35"/>
      <c r="AC2208" s="34"/>
      <c r="AD2208" s="34"/>
      <c r="AE2208" s="34"/>
    </row>
    <row r="2209" spans="1:31" ht="15" thickBot="1" x14ac:dyDescent="0.4">
      <c r="A2209" s="45"/>
      <c r="B2209" s="45"/>
      <c r="C2209" s="46"/>
      <c r="D2209" s="47"/>
      <c r="E2209" s="47"/>
      <c r="F2209" s="47"/>
      <c r="G2209" s="47"/>
      <c r="H2209" s="47"/>
      <c r="I2209" s="47"/>
      <c r="J2209" s="47"/>
      <c r="K2209" s="47"/>
      <c r="L2209" s="47"/>
      <c r="M2209" s="47"/>
      <c r="N2209" s="47"/>
      <c r="O2209" s="47"/>
      <c r="P2209" s="47"/>
      <c r="Q2209" s="47"/>
      <c r="R2209" s="47"/>
      <c r="S2209" s="47"/>
      <c r="T2209" s="45"/>
      <c r="U2209" s="45"/>
      <c r="V2209" s="45"/>
      <c r="W2209" s="45"/>
      <c r="X2209" s="47"/>
      <c r="Y2209" s="45"/>
      <c r="Z2209" s="45"/>
      <c r="AA2209" s="48"/>
      <c r="AB2209" s="48"/>
      <c r="AC2209" s="47"/>
      <c r="AD2209" s="47"/>
      <c r="AE2209" s="47"/>
    </row>
    <row r="2210" spans="1:31" x14ac:dyDescent="0.35">
      <c r="A2210" s="41"/>
      <c r="B2210" s="41"/>
      <c r="C2210" s="42"/>
      <c r="D2210" s="43"/>
      <c r="E2210" s="43"/>
      <c r="F2210" s="43"/>
      <c r="G2210" s="43"/>
      <c r="H2210" s="43"/>
      <c r="I2210" s="43"/>
      <c r="J2210" s="43"/>
      <c r="K2210" s="43"/>
      <c r="L2210" s="43"/>
      <c r="M2210" s="43"/>
      <c r="N2210" s="43"/>
      <c r="O2210" s="43"/>
      <c r="P2210" s="43"/>
      <c r="Q2210" s="43"/>
      <c r="R2210" s="43"/>
      <c r="S2210" s="43"/>
      <c r="T2210" s="43"/>
      <c r="U2210" s="43"/>
      <c r="V2210" s="41"/>
      <c r="W2210" s="41"/>
      <c r="X2210" s="41"/>
      <c r="Y2210" s="41"/>
      <c r="Z2210" s="41"/>
      <c r="AA2210" s="44"/>
      <c r="AB2210" s="44"/>
      <c r="AC2210" s="43"/>
      <c r="AD2210" s="43"/>
      <c r="AE2210" s="43"/>
    </row>
    <row r="2211" spans="1:31" x14ac:dyDescent="0.35">
      <c r="C2211" s="33"/>
      <c r="D2211" s="34"/>
      <c r="E2211" s="34"/>
      <c r="F2211" s="34"/>
      <c r="G2211" s="34"/>
      <c r="H2211" s="34"/>
      <c r="I2211" s="34"/>
      <c r="J2211" s="34"/>
      <c r="K2211" s="34"/>
      <c r="L2211" s="34"/>
      <c r="M2211" s="34"/>
      <c r="N2211" s="34"/>
      <c r="O2211" s="34"/>
      <c r="AA2211" s="35"/>
      <c r="AB2211" s="35"/>
      <c r="AC2211" s="34"/>
      <c r="AD2211" s="34"/>
      <c r="AE2211" s="34"/>
    </row>
    <row r="2212" spans="1:31" ht="15" thickBot="1" x14ac:dyDescent="0.4">
      <c r="A2212" s="45"/>
      <c r="B2212" s="45"/>
      <c r="C2212" s="46"/>
      <c r="D2212" s="47"/>
      <c r="E2212" s="47"/>
      <c r="F2212" s="47"/>
      <c r="G2212" s="47"/>
      <c r="H2212" s="47"/>
      <c r="I2212" s="47"/>
      <c r="J2212" s="47"/>
      <c r="K2212" s="47"/>
      <c r="L2212" s="47"/>
      <c r="M2212" s="47"/>
      <c r="N2212" s="47"/>
      <c r="O2212" s="47"/>
      <c r="P2212" s="47"/>
      <c r="Q2212" s="47"/>
      <c r="R2212" s="47"/>
      <c r="S2212" s="47"/>
      <c r="T2212" s="45"/>
      <c r="U2212" s="45"/>
      <c r="V2212" s="45"/>
      <c r="W2212" s="45"/>
      <c r="X2212" s="47"/>
      <c r="Y2212" s="45"/>
      <c r="Z2212" s="45"/>
      <c r="AA2212" s="48"/>
      <c r="AB2212" s="48"/>
      <c r="AC2212" s="47"/>
      <c r="AD2212" s="47"/>
      <c r="AE2212" s="47"/>
    </row>
    <row r="2213" spans="1:31" x14ac:dyDescent="0.35">
      <c r="A2213" s="41"/>
      <c r="B2213" s="41"/>
      <c r="C2213" s="42"/>
      <c r="D2213" s="43"/>
      <c r="E2213" s="43"/>
      <c r="F2213" s="43"/>
      <c r="G2213" s="43"/>
      <c r="H2213" s="43"/>
      <c r="I2213" s="43"/>
      <c r="J2213" s="43"/>
      <c r="K2213" s="43"/>
      <c r="L2213" s="43"/>
      <c r="M2213" s="43"/>
      <c r="N2213" s="43"/>
      <c r="O2213" s="43"/>
      <c r="P2213" s="43"/>
      <c r="Q2213" s="43"/>
      <c r="R2213" s="43"/>
      <c r="S2213" s="43"/>
      <c r="T2213" s="43"/>
      <c r="U2213" s="43"/>
      <c r="V2213" s="41"/>
      <c r="W2213" s="41"/>
      <c r="X2213" s="41"/>
      <c r="Y2213" s="41"/>
      <c r="Z2213" s="41"/>
      <c r="AA2213" s="44"/>
      <c r="AB2213" s="44"/>
      <c r="AC2213" s="43"/>
      <c r="AD2213" s="43"/>
      <c r="AE2213" s="43"/>
    </row>
    <row r="2214" spans="1:31" x14ac:dyDescent="0.35">
      <c r="C2214" s="33"/>
      <c r="D2214" s="34"/>
      <c r="E2214" s="34"/>
      <c r="F2214" s="34"/>
      <c r="G2214" s="34"/>
      <c r="H2214" s="34"/>
      <c r="I2214" s="34"/>
      <c r="J2214" s="34"/>
      <c r="K2214" s="34"/>
      <c r="L2214" s="34"/>
      <c r="M2214" s="34"/>
      <c r="N2214" s="34"/>
      <c r="O2214" s="34"/>
      <c r="AA2214" s="35"/>
      <c r="AB2214" s="35"/>
      <c r="AC2214" s="34"/>
      <c r="AD2214" s="34"/>
      <c r="AE2214" s="34"/>
    </row>
    <row r="2215" spans="1:31" ht="15" thickBot="1" x14ac:dyDescent="0.4">
      <c r="A2215" s="45"/>
      <c r="B2215" s="45"/>
      <c r="C2215" s="46"/>
      <c r="D2215" s="47"/>
      <c r="E2215" s="47"/>
      <c r="F2215" s="47"/>
      <c r="G2215" s="47"/>
      <c r="H2215" s="47"/>
      <c r="I2215" s="47"/>
      <c r="J2215" s="47"/>
      <c r="K2215" s="47"/>
      <c r="L2215" s="47"/>
      <c r="M2215" s="47"/>
      <c r="N2215" s="47"/>
      <c r="O2215" s="47"/>
      <c r="P2215" s="47"/>
      <c r="Q2215" s="47"/>
      <c r="R2215" s="47"/>
      <c r="S2215" s="47"/>
      <c r="T2215" s="45"/>
      <c r="U2215" s="45"/>
      <c r="V2215" s="45"/>
      <c r="W2215" s="45"/>
      <c r="X2215" s="47"/>
      <c r="Y2215" s="45"/>
      <c r="Z2215" s="45"/>
      <c r="AA2215" s="48"/>
      <c r="AB2215" s="48"/>
      <c r="AC2215" s="47"/>
      <c r="AD2215" s="47"/>
      <c r="AE2215" s="47"/>
    </row>
    <row r="2216" spans="1:31" x14ac:dyDescent="0.35">
      <c r="A2216" s="41"/>
      <c r="B2216" s="41"/>
      <c r="C2216" s="42"/>
      <c r="D2216" s="43"/>
      <c r="E2216" s="43"/>
      <c r="F2216" s="43"/>
      <c r="G2216" s="43"/>
      <c r="H2216" s="43"/>
      <c r="I2216" s="43"/>
      <c r="J2216" s="43"/>
      <c r="K2216" s="43"/>
      <c r="L2216" s="43"/>
      <c r="M2216" s="43"/>
      <c r="N2216" s="43"/>
      <c r="O2216" s="43"/>
      <c r="P2216" s="43"/>
      <c r="Q2216" s="43"/>
      <c r="R2216" s="43"/>
      <c r="S2216" s="43"/>
      <c r="T2216" s="43"/>
      <c r="U2216" s="43"/>
      <c r="V2216" s="41"/>
      <c r="W2216" s="41"/>
      <c r="X2216" s="41"/>
      <c r="Y2216" s="41"/>
      <c r="Z2216" s="41"/>
      <c r="AA2216" s="44"/>
      <c r="AB2216" s="44"/>
      <c r="AC2216" s="43"/>
      <c r="AD2216" s="43"/>
      <c r="AE2216" s="43"/>
    </row>
    <row r="2217" spans="1:31" x14ac:dyDescent="0.35">
      <c r="C2217" s="33"/>
      <c r="D2217" s="34"/>
      <c r="E2217" s="34"/>
      <c r="F2217" s="34"/>
      <c r="G2217" s="34"/>
      <c r="H2217" s="34"/>
      <c r="I2217" s="34"/>
      <c r="J2217" s="34"/>
      <c r="K2217" s="34"/>
      <c r="L2217" s="34"/>
      <c r="M2217" s="34"/>
      <c r="N2217" s="34"/>
      <c r="O2217" s="34"/>
      <c r="AA2217" s="35"/>
      <c r="AB2217" s="35"/>
      <c r="AC2217" s="34"/>
      <c r="AD2217" s="34"/>
      <c r="AE2217" s="34"/>
    </row>
    <row r="2218" spans="1:31" ht="15" thickBot="1" x14ac:dyDescent="0.4">
      <c r="A2218" s="45"/>
      <c r="B2218" s="45"/>
      <c r="C2218" s="46"/>
      <c r="D2218" s="47"/>
      <c r="E2218" s="47"/>
      <c r="F2218" s="47"/>
      <c r="G2218" s="47"/>
      <c r="H2218" s="47"/>
      <c r="I2218" s="47"/>
      <c r="J2218" s="47"/>
      <c r="K2218" s="47"/>
      <c r="L2218" s="47"/>
      <c r="M2218" s="47"/>
      <c r="N2218" s="47"/>
      <c r="O2218" s="47"/>
      <c r="P2218" s="47"/>
      <c r="Q2218" s="47"/>
      <c r="R2218" s="47"/>
      <c r="S2218" s="47"/>
      <c r="T2218" s="45"/>
      <c r="U2218" s="45"/>
      <c r="V2218" s="45"/>
      <c r="W2218" s="45"/>
      <c r="X2218" s="47"/>
      <c r="Y2218" s="45"/>
      <c r="Z2218" s="45"/>
      <c r="AA2218" s="48"/>
      <c r="AB2218" s="48"/>
      <c r="AC2218" s="47"/>
      <c r="AD2218" s="47"/>
      <c r="AE2218" s="47"/>
    </row>
    <row r="2219" spans="1:31" x14ac:dyDescent="0.35">
      <c r="A2219" s="41"/>
      <c r="B2219" s="41"/>
      <c r="C2219" s="42"/>
      <c r="D2219" s="43"/>
      <c r="E2219" s="43"/>
      <c r="F2219" s="43"/>
      <c r="G2219" s="43"/>
      <c r="H2219" s="43"/>
      <c r="I2219" s="43"/>
      <c r="J2219" s="43"/>
      <c r="K2219" s="43"/>
      <c r="L2219" s="43"/>
      <c r="M2219" s="43"/>
      <c r="N2219" s="43"/>
      <c r="O2219" s="43"/>
      <c r="P2219" s="43"/>
      <c r="Q2219" s="43"/>
      <c r="R2219" s="43"/>
      <c r="S2219" s="43"/>
      <c r="T2219" s="43"/>
      <c r="U2219" s="43"/>
      <c r="V2219" s="41"/>
      <c r="W2219" s="41"/>
      <c r="X2219" s="41"/>
      <c r="Y2219" s="41"/>
      <c r="Z2219" s="41"/>
      <c r="AA2219" s="44"/>
      <c r="AB2219" s="44"/>
      <c r="AC2219" s="43"/>
      <c r="AD2219" s="43"/>
      <c r="AE2219" s="43"/>
    </row>
    <row r="2220" spans="1:31" x14ac:dyDescent="0.35">
      <c r="C2220" s="33"/>
      <c r="D2220" s="34"/>
      <c r="E2220" s="34"/>
      <c r="F2220" s="34"/>
      <c r="G2220" s="34"/>
      <c r="H2220" s="34"/>
      <c r="I2220" s="34"/>
      <c r="J2220" s="34"/>
      <c r="K2220" s="34"/>
      <c r="L2220" s="34"/>
      <c r="M2220" s="34"/>
      <c r="N2220" s="34"/>
      <c r="O2220" s="34"/>
      <c r="AA2220" s="35"/>
      <c r="AB2220" s="35"/>
      <c r="AC2220" s="34"/>
      <c r="AD2220" s="34"/>
      <c r="AE2220" s="34"/>
    </row>
    <row r="2221" spans="1:31" ht="15" thickBot="1" x14ac:dyDescent="0.4">
      <c r="A2221" s="45"/>
      <c r="B2221" s="45"/>
      <c r="C2221" s="46"/>
      <c r="D2221" s="47"/>
      <c r="E2221" s="47"/>
      <c r="F2221" s="47"/>
      <c r="G2221" s="47"/>
      <c r="H2221" s="47"/>
      <c r="I2221" s="47"/>
      <c r="J2221" s="47"/>
      <c r="K2221" s="47"/>
      <c r="L2221" s="47"/>
      <c r="M2221" s="47"/>
      <c r="N2221" s="47"/>
      <c r="O2221" s="47"/>
      <c r="P2221" s="47"/>
      <c r="Q2221" s="47"/>
      <c r="R2221" s="47"/>
      <c r="S2221" s="47"/>
      <c r="T2221" s="45"/>
      <c r="U2221" s="45"/>
      <c r="V2221" s="45"/>
      <c r="W2221" s="45"/>
      <c r="X2221" s="47"/>
      <c r="Y2221" s="45"/>
      <c r="Z2221" s="45"/>
      <c r="AA2221" s="48"/>
      <c r="AB2221" s="48"/>
      <c r="AC2221" s="47"/>
      <c r="AD2221" s="47"/>
      <c r="AE2221" s="47"/>
    </row>
    <row r="2222" spans="1:31" x14ac:dyDescent="0.35">
      <c r="A2222" s="41"/>
      <c r="B2222" s="41"/>
      <c r="C2222" s="42"/>
      <c r="D2222" s="43"/>
      <c r="E2222" s="43"/>
      <c r="F2222" s="43"/>
      <c r="G2222" s="43"/>
      <c r="H2222" s="43"/>
      <c r="I2222" s="43"/>
      <c r="J2222" s="43"/>
      <c r="K2222" s="43"/>
      <c r="L2222" s="43"/>
      <c r="M2222" s="43"/>
      <c r="N2222" s="43"/>
      <c r="O2222" s="43"/>
      <c r="P2222" s="43"/>
      <c r="Q2222" s="43"/>
      <c r="R2222" s="43"/>
      <c r="S2222" s="43"/>
      <c r="T2222" s="43"/>
      <c r="U2222" s="43"/>
      <c r="V2222" s="41"/>
      <c r="W2222" s="41"/>
      <c r="X2222" s="41"/>
      <c r="Y2222" s="41"/>
      <c r="Z2222" s="41"/>
      <c r="AA2222" s="44"/>
      <c r="AB2222" s="44"/>
      <c r="AC2222" s="43"/>
      <c r="AD2222" s="43"/>
      <c r="AE2222" s="43"/>
    </row>
    <row r="2223" spans="1:31" x14ac:dyDescent="0.35">
      <c r="C2223" s="33"/>
      <c r="D2223" s="34"/>
      <c r="E2223" s="34"/>
      <c r="F2223" s="34"/>
      <c r="G2223" s="34"/>
      <c r="H2223" s="34"/>
      <c r="I2223" s="34"/>
      <c r="J2223" s="34"/>
      <c r="K2223" s="34"/>
      <c r="L2223" s="34"/>
      <c r="M2223" s="34"/>
      <c r="N2223" s="34"/>
      <c r="O2223" s="34"/>
      <c r="AA2223" s="35"/>
      <c r="AB2223" s="35"/>
      <c r="AC2223" s="34"/>
      <c r="AD2223" s="34"/>
      <c r="AE2223" s="34"/>
    </row>
    <row r="2224" spans="1:31" ht="15" thickBot="1" x14ac:dyDescent="0.4">
      <c r="A2224" s="45"/>
      <c r="B2224" s="45"/>
      <c r="C2224" s="46"/>
      <c r="D2224" s="47"/>
      <c r="E2224" s="47"/>
      <c r="F2224" s="47"/>
      <c r="G2224" s="47"/>
      <c r="H2224" s="47"/>
      <c r="I2224" s="47"/>
      <c r="J2224" s="47"/>
      <c r="K2224" s="47"/>
      <c r="L2224" s="47"/>
      <c r="M2224" s="47"/>
      <c r="N2224" s="47"/>
      <c r="O2224" s="47"/>
      <c r="P2224" s="47"/>
      <c r="Q2224" s="47"/>
      <c r="R2224" s="47"/>
      <c r="S2224" s="47"/>
      <c r="T2224" s="45"/>
      <c r="U2224" s="45"/>
      <c r="V2224" s="45"/>
      <c r="W2224" s="45"/>
      <c r="X2224" s="47"/>
      <c r="Y2224" s="45"/>
      <c r="Z2224" s="45"/>
      <c r="AA2224" s="48"/>
      <c r="AB2224" s="48"/>
      <c r="AC2224" s="47"/>
      <c r="AD2224" s="47"/>
      <c r="AE2224" s="47"/>
    </row>
    <row r="2225" spans="1:31" x14ac:dyDescent="0.35">
      <c r="A2225" s="41"/>
      <c r="B2225" s="41"/>
      <c r="C2225" s="42"/>
      <c r="D2225" s="43"/>
      <c r="E2225" s="43"/>
      <c r="F2225" s="43"/>
      <c r="G2225" s="43"/>
      <c r="H2225" s="43"/>
      <c r="I2225" s="43"/>
      <c r="J2225" s="43"/>
      <c r="K2225" s="43"/>
      <c r="L2225" s="43"/>
      <c r="M2225" s="43"/>
      <c r="N2225" s="43"/>
      <c r="O2225" s="43"/>
      <c r="P2225" s="43"/>
      <c r="Q2225" s="43"/>
      <c r="R2225" s="43"/>
      <c r="S2225" s="43"/>
      <c r="T2225" s="43"/>
      <c r="U2225" s="43"/>
      <c r="V2225" s="41"/>
      <c r="W2225" s="41"/>
      <c r="X2225" s="41"/>
      <c r="Y2225" s="41"/>
      <c r="Z2225" s="41"/>
      <c r="AA2225" s="44"/>
      <c r="AB2225" s="44"/>
      <c r="AC2225" s="43"/>
      <c r="AD2225" s="43"/>
      <c r="AE2225" s="43"/>
    </row>
    <row r="2226" spans="1:31" x14ac:dyDescent="0.35">
      <c r="C2226" s="33"/>
      <c r="D2226" s="34"/>
      <c r="E2226" s="34"/>
      <c r="F2226" s="34"/>
      <c r="G2226" s="34"/>
      <c r="H2226" s="34"/>
      <c r="I2226" s="34"/>
      <c r="J2226" s="34"/>
      <c r="K2226" s="34"/>
      <c r="L2226" s="34"/>
      <c r="M2226" s="34"/>
      <c r="N2226" s="34"/>
      <c r="O2226" s="34"/>
      <c r="AA2226" s="35"/>
      <c r="AB2226" s="35"/>
      <c r="AC2226" s="34"/>
      <c r="AD2226" s="34"/>
      <c r="AE2226" s="34"/>
    </row>
    <row r="2227" spans="1:31" ht="15" thickBot="1" x14ac:dyDescent="0.4">
      <c r="A2227" s="45"/>
      <c r="B2227" s="45"/>
      <c r="C2227" s="46"/>
      <c r="D2227" s="47"/>
      <c r="E2227" s="47"/>
      <c r="F2227" s="47"/>
      <c r="G2227" s="47"/>
      <c r="H2227" s="47"/>
      <c r="I2227" s="47"/>
      <c r="J2227" s="47"/>
      <c r="K2227" s="47"/>
      <c r="L2227" s="47"/>
      <c r="M2227" s="47"/>
      <c r="N2227" s="47"/>
      <c r="O2227" s="47"/>
      <c r="P2227" s="47"/>
      <c r="Q2227" s="47"/>
      <c r="R2227" s="47"/>
      <c r="S2227" s="47"/>
      <c r="T2227" s="45"/>
      <c r="U2227" s="45"/>
      <c r="V2227" s="45"/>
      <c r="W2227" s="45"/>
      <c r="X2227" s="47"/>
      <c r="Y2227" s="45"/>
      <c r="Z2227" s="45"/>
      <c r="AA2227" s="48"/>
      <c r="AB2227" s="48"/>
      <c r="AC2227" s="47"/>
      <c r="AD2227" s="47"/>
      <c r="AE2227" s="47"/>
    </row>
    <row r="2228" spans="1:31" x14ac:dyDescent="0.35">
      <c r="A2228" s="41"/>
      <c r="B2228" s="41"/>
      <c r="C2228" s="42"/>
      <c r="D2228" s="43"/>
      <c r="E2228" s="43"/>
      <c r="F2228" s="43"/>
      <c r="G2228" s="43"/>
      <c r="H2228" s="43"/>
      <c r="I2228" s="43"/>
      <c r="J2228" s="43"/>
      <c r="K2228" s="43"/>
      <c r="L2228" s="43"/>
      <c r="M2228" s="43"/>
      <c r="N2228" s="43"/>
      <c r="O2228" s="43"/>
      <c r="P2228" s="43"/>
      <c r="Q2228" s="43"/>
      <c r="R2228" s="43"/>
      <c r="S2228" s="43"/>
      <c r="T2228" s="43"/>
      <c r="U2228" s="43"/>
      <c r="V2228" s="41"/>
      <c r="W2228" s="41"/>
      <c r="X2228" s="41"/>
      <c r="Y2228" s="41"/>
      <c r="Z2228" s="41"/>
      <c r="AA2228" s="44"/>
      <c r="AB2228" s="44"/>
      <c r="AC2228" s="43"/>
      <c r="AD2228" s="43"/>
      <c r="AE2228" s="43"/>
    </row>
    <row r="2229" spans="1:31" x14ac:dyDescent="0.35">
      <c r="C2229" s="33"/>
      <c r="D2229" s="34"/>
      <c r="E2229" s="34"/>
      <c r="F2229" s="34"/>
      <c r="G2229" s="34"/>
      <c r="H2229" s="34"/>
      <c r="I2229" s="34"/>
      <c r="J2229" s="34"/>
      <c r="K2229" s="34"/>
      <c r="L2229" s="34"/>
      <c r="M2229" s="34"/>
      <c r="N2229" s="34"/>
      <c r="O2229" s="34"/>
      <c r="AA2229" s="35"/>
      <c r="AB2229" s="35"/>
      <c r="AC2229" s="34"/>
      <c r="AD2229" s="34"/>
      <c r="AE2229" s="34"/>
    </row>
    <row r="2230" spans="1:31" ht="15" thickBot="1" x14ac:dyDescent="0.4">
      <c r="A2230" s="45"/>
      <c r="B2230" s="45"/>
      <c r="C2230" s="46"/>
      <c r="D2230" s="47"/>
      <c r="E2230" s="47"/>
      <c r="F2230" s="47"/>
      <c r="G2230" s="47"/>
      <c r="H2230" s="47"/>
      <c r="I2230" s="47"/>
      <c r="J2230" s="47"/>
      <c r="K2230" s="47"/>
      <c r="L2230" s="47"/>
      <c r="M2230" s="47"/>
      <c r="N2230" s="47"/>
      <c r="O2230" s="47"/>
      <c r="P2230" s="47"/>
      <c r="Q2230" s="47"/>
      <c r="R2230" s="47"/>
      <c r="S2230" s="47"/>
      <c r="T2230" s="45"/>
      <c r="U2230" s="45"/>
      <c r="V2230" s="45"/>
      <c r="W2230" s="45"/>
      <c r="X2230" s="47"/>
      <c r="Y2230" s="45"/>
      <c r="Z2230" s="45"/>
      <c r="AA2230" s="48"/>
      <c r="AB2230" s="48"/>
      <c r="AC2230" s="47"/>
      <c r="AD2230" s="47"/>
      <c r="AE2230" s="47"/>
    </row>
    <row r="2231" spans="1:31" x14ac:dyDescent="0.35">
      <c r="A2231" s="41"/>
      <c r="B2231" s="41"/>
      <c r="C2231" s="42"/>
      <c r="D2231" s="43"/>
      <c r="E2231" s="43"/>
      <c r="F2231" s="43"/>
      <c r="G2231" s="43"/>
      <c r="H2231" s="43"/>
      <c r="I2231" s="43"/>
      <c r="J2231" s="43"/>
      <c r="K2231" s="43"/>
      <c r="L2231" s="43"/>
      <c r="M2231" s="43"/>
      <c r="N2231" s="43"/>
      <c r="O2231" s="43"/>
      <c r="P2231" s="43"/>
      <c r="Q2231" s="43"/>
      <c r="R2231" s="43"/>
      <c r="S2231" s="43"/>
      <c r="T2231" s="43"/>
      <c r="U2231" s="43"/>
      <c r="V2231" s="41"/>
      <c r="W2231" s="41"/>
      <c r="X2231" s="41"/>
      <c r="Y2231" s="41"/>
      <c r="Z2231" s="41"/>
      <c r="AA2231" s="44"/>
      <c r="AB2231" s="44"/>
      <c r="AC2231" s="43"/>
      <c r="AD2231" s="43"/>
      <c r="AE2231" s="43"/>
    </row>
    <row r="2232" spans="1:31" x14ac:dyDescent="0.35">
      <c r="C2232" s="33"/>
      <c r="D2232" s="34"/>
      <c r="E2232" s="34"/>
      <c r="F2232" s="34"/>
      <c r="G2232" s="34"/>
      <c r="H2232" s="34"/>
      <c r="I2232" s="34"/>
      <c r="J2232" s="34"/>
      <c r="K2232" s="34"/>
      <c r="L2232" s="34"/>
      <c r="M2232" s="34"/>
      <c r="N2232" s="34"/>
      <c r="O2232" s="34"/>
      <c r="AA2232" s="35"/>
      <c r="AB2232" s="35"/>
      <c r="AC2232" s="34"/>
      <c r="AD2232" s="34"/>
      <c r="AE2232" s="34"/>
    </row>
    <row r="2233" spans="1:31" ht="15" thickBot="1" x14ac:dyDescent="0.4">
      <c r="A2233" s="45"/>
      <c r="B2233" s="45"/>
      <c r="C2233" s="46"/>
      <c r="D2233" s="47"/>
      <c r="E2233" s="47"/>
      <c r="F2233" s="47"/>
      <c r="G2233" s="47"/>
      <c r="H2233" s="47"/>
      <c r="I2233" s="47"/>
      <c r="J2233" s="47"/>
      <c r="K2233" s="47"/>
      <c r="L2233" s="47"/>
      <c r="M2233" s="47"/>
      <c r="N2233" s="47"/>
      <c r="O2233" s="47"/>
      <c r="P2233" s="47"/>
      <c r="Q2233" s="47"/>
      <c r="R2233" s="47"/>
      <c r="S2233" s="47"/>
      <c r="T2233" s="45"/>
      <c r="U2233" s="45"/>
      <c r="V2233" s="45"/>
      <c r="W2233" s="45"/>
      <c r="X2233" s="47"/>
      <c r="Y2233" s="45"/>
      <c r="Z2233" s="45"/>
      <c r="AA2233" s="48"/>
      <c r="AB2233" s="48"/>
      <c r="AC2233" s="47"/>
      <c r="AD2233" s="47"/>
      <c r="AE2233" s="47"/>
    </row>
    <row r="2234" spans="1:31" x14ac:dyDescent="0.35">
      <c r="A2234" s="41"/>
      <c r="B2234" s="41"/>
      <c r="C2234" s="42"/>
      <c r="D2234" s="43"/>
      <c r="E2234" s="43"/>
      <c r="F2234" s="43"/>
      <c r="G2234" s="43"/>
      <c r="H2234" s="43"/>
      <c r="I2234" s="43"/>
      <c r="J2234" s="43"/>
      <c r="K2234" s="43"/>
      <c r="L2234" s="43"/>
      <c r="M2234" s="43"/>
      <c r="N2234" s="43"/>
      <c r="O2234" s="43"/>
      <c r="P2234" s="43"/>
      <c r="Q2234" s="43"/>
      <c r="R2234" s="43"/>
      <c r="S2234" s="43"/>
      <c r="T2234" s="43"/>
      <c r="U2234" s="43"/>
      <c r="V2234" s="41"/>
      <c r="W2234" s="41"/>
      <c r="X2234" s="41"/>
      <c r="Y2234" s="41"/>
      <c r="Z2234" s="41"/>
      <c r="AA2234" s="44"/>
      <c r="AB2234" s="44"/>
      <c r="AC2234" s="43"/>
      <c r="AD2234" s="43"/>
      <c r="AE2234" s="43"/>
    </row>
    <row r="2235" spans="1:31" x14ac:dyDescent="0.35">
      <c r="C2235" s="33"/>
      <c r="D2235" s="34"/>
      <c r="E2235" s="34"/>
      <c r="F2235" s="34"/>
      <c r="G2235" s="34"/>
      <c r="H2235" s="34"/>
      <c r="I2235" s="34"/>
      <c r="J2235" s="34"/>
      <c r="K2235" s="34"/>
      <c r="L2235" s="34"/>
      <c r="M2235" s="34"/>
      <c r="N2235" s="34"/>
      <c r="O2235" s="34"/>
      <c r="AA2235" s="35"/>
      <c r="AB2235" s="35"/>
      <c r="AC2235" s="34"/>
      <c r="AD2235" s="34"/>
      <c r="AE2235" s="34"/>
    </row>
    <row r="2236" spans="1:31" ht="15" thickBot="1" x14ac:dyDescent="0.4">
      <c r="A2236" s="45"/>
      <c r="B2236" s="45"/>
      <c r="C2236" s="46"/>
      <c r="D2236" s="47"/>
      <c r="E2236" s="47"/>
      <c r="F2236" s="47"/>
      <c r="G2236" s="47"/>
      <c r="H2236" s="47"/>
      <c r="I2236" s="47"/>
      <c r="J2236" s="47"/>
      <c r="K2236" s="47"/>
      <c r="L2236" s="47"/>
      <c r="M2236" s="47"/>
      <c r="N2236" s="47"/>
      <c r="O2236" s="47"/>
      <c r="P2236" s="47"/>
      <c r="Q2236" s="47"/>
      <c r="R2236" s="47"/>
      <c r="S2236" s="47"/>
      <c r="T2236" s="45"/>
      <c r="U2236" s="45"/>
      <c r="V2236" s="45"/>
      <c r="W2236" s="45"/>
      <c r="X2236" s="47"/>
      <c r="Y2236" s="45"/>
      <c r="Z2236" s="45"/>
      <c r="AA2236" s="48"/>
      <c r="AB2236" s="48"/>
      <c r="AC2236" s="47"/>
      <c r="AD2236" s="47"/>
      <c r="AE2236" s="47"/>
    </row>
    <row r="2237" spans="1:31" x14ac:dyDescent="0.35">
      <c r="A2237" s="41"/>
      <c r="B2237" s="41"/>
      <c r="C2237" s="42"/>
      <c r="D2237" s="43"/>
      <c r="E2237" s="43"/>
      <c r="F2237" s="43"/>
      <c r="G2237" s="43"/>
      <c r="H2237" s="43"/>
      <c r="I2237" s="43"/>
      <c r="J2237" s="43"/>
      <c r="K2237" s="43"/>
      <c r="L2237" s="43"/>
      <c r="M2237" s="43"/>
      <c r="N2237" s="43"/>
      <c r="O2237" s="43"/>
      <c r="P2237" s="43"/>
      <c r="Q2237" s="43"/>
      <c r="R2237" s="43"/>
      <c r="S2237" s="43"/>
      <c r="T2237" s="43"/>
      <c r="U2237" s="43"/>
      <c r="V2237" s="41"/>
      <c r="W2237" s="41"/>
      <c r="X2237" s="41"/>
      <c r="Y2237" s="41"/>
      <c r="Z2237" s="41"/>
      <c r="AA2237" s="44"/>
      <c r="AB2237" s="44"/>
      <c r="AC2237" s="43"/>
      <c r="AD2237" s="43"/>
      <c r="AE2237" s="43"/>
    </row>
    <row r="2238" spans="1:31" x14ac:dyDescent="0.35">
      <c r="C2238" s="33"/>
      <c r="D2238" s="34"/>
      <c r="E2238" s="34"/>
      <c r="F2238" s="34"/>
      <c r="G2238" s="34"/>
      <c r="H2238" s="34"/>
      <c r="I2238" s="34"/>
      <c r="J2238" s="34"/>
      <c r="K2238" s="34"/>
      <c r="L2238" s="34"/>
      <c r="M2238" s="34"/>
      <c r="N2238" s="34"/>
      <c r="O2238" s="34"/>
      <c r="AA2238" s="35"/>
      <c r="AB2238" s="35"/>
      <c r="AC2238" s="34"/>
      <c r="AD2238" s="34"/>
      <c r="AE2238" s="34"/>
    </row>
    <row r="2239" spans="1:31" ht="15" thickBot="1" x14ac:dyDescent="0.4">
      <c r="A2239" s="45"/>
      <c r="B2239" s="45"/>
      <c r="C2239" s="46"/>
      <c r="D2239" s="47"/>
      <c r="E2239" s="47"/>
      <c r="F2239" s="47"/>
      <c r="G2239" s="47"/>
      <c r="H2239" s="47"/>
      <c r="I2239" s="47"/>
      <c r="J2239" s="47"/>
      <c r="K2239" s="47"/>
      <c r="L2239" s="47"/>
      <c r="M2239" s="47"/>
      <c r="N2239" s="47"/>
      <c r="O2239" s="47"/>
      <c r="P2239" s="47"/>
      <c r="Q2239" s="47"/>
      <c r="R2239" s="47"/>
      <c r="S2239" s="47"/>
      <c r="T2239" s="45"/>
      <c r="U2239" s="45"/>
      <c r="V2239" s="45"/>
      <c r="W2239" s="45"/>
      <c r="X2239" s="47"/>
      <c r="Y2239" s="45"/>
      <c r="Z2239" s="45"/>
      <c r="AA2239" s="48"/>
      <c r="AB2239" s="48"/>
      <c r="AC2239" s="47"/>
      <c r="AD2239" s="47"/>
      <c r="AE2239" s="47"/>
    </row>
    <row r="2240" spans="1:31" x14ac:dyDescent="0.35">
      <c r="A2240" s="41"/>
      <c r="B2240" s="41"/>
      <c r="C2240" s="42"/>
      <c r="D2240" s="43"/>
      <c r="E2240" s="43"/>
      <c r="F2240" s="43"/>
      <c r="G2240" s="43"/>
      <c r="H2240" s="43"/>
      <c r="I2240" s="43"/>
      <c r="J2240" s="43"/>
      <c r="K2240" s="43"/>
      <c r="L2240" s="43"/>
      <c r="M2240" s="43"/>
      <c r="N2240" s="43"/>
      <c r="O2240" s="43"/>
      <c r="P2240" s="43"/>
      <c r="Q2240" s="43"/>
      <c r="R2240" s="43"/>
      <c r="S2240" s="43"/>
      <c r="T2240" s="43"/>
      <c r="U2240" s="43"/>
      <c r="V2240" s="41"/>
      <c r="W2240" s="41"/>
      <c r="X2240" s="41"/>
      <c r="Y2240" s="41"/>
      <c r="Z2240" s="41"/>
      <c r="AA2240" s="44"/>
      <c r="AB2240" s="44"/>
      <c r="AC2240" s="43"/>
      <c r="AD2240" s="43"/>
      <c r="AE2240" s="43"/>
    </row>
    <row r="2241" spans="1:31" x14ac:dyDescent="0.35">
      <c r="C2241" s="33"/>
      <c r="D2241" s="34"/>
      <c r="E2241" s="34"/>
      <c r="F2241" s="34"/>
      <c r="G2241" s="34"/>
      <c r="H2241" s="34"/>
      <c r="I2241" s="34"/>
      <c r="J2241" s="34"/>
      <c r="K2241" s="34"/>
      <c r="L2241" s="34"/>
      <c r="M2241" s="34"/>
      <c r="N2241" s="34"/>
      <c r="O2241" s="34"/>
      <c r="AA2241" s="35"/>
      <c r="AB2241" s="35"/>
      <c r="AC2241" s="34"/>
      <c r="AD2241" s="34"/>
      <c r="AE2241" s="34"/>
    </row>
    <row r="2242" spans="1:31" ht="15" thickBot="1" x14ac:dyDescent="0.4">
      <c r="A2242" s="45"/>
      <c r="B2242" s="45"/>
      <c r="C2242" s="46"/>
      <c r="D2242" s="47"/>
      <c r="E2242" s="47"/>
      <c r="F2242" s="47"/>
      <c r="G2242" s="47"/>
      <c r="H2242" s="47"/>
      <c r="I2242" s="47"/>
      <c r="J2242" s="47"/>
      <c r="K2242" s="47"/>
      <c r="L2242" s="47"/>
      <c r="M2242" s="47"/>
      <c r="N2242" s="47"/>
      <c r="O2242" s="47"/>
      <c r="P2242" s="47"/>
      <c r="Q2242" s="47"/>
      <c r="R2242" s="47"/>
      <c r="S2242" s="47"/>
      <c r="T2242" s="45"/>
      <c r="U2242" s="45"/>
      <c r="V2242" s="45"/>
      <c r="W2242" s="45"/>
      <c r="X2242" s="47"/>
      <c r="Y2242" s="45"/>
      <c r="Z2242" s="45"/>
      <c r="AA2242" s="48"/>
      <c r="AB2242" s="48"/>
      <c r="AC2242" s="47"/>
      <c r="AD2242" s="47"/>
      <c r="AE2242" s="47"/>
    </row>
    <row r="2243" spans="1:31" x14ac:dyDescent="0.35">
      <c r="A2243" s="41"/>
      <c r="B2243" s="41"/>
      <c r="C2243" s="42"/>
      <c r="D2243" s="43"/>
      <c r="E2243" s="43"/>
      <c r="F2243" s="43"/>
      <c r="G2243" s="43"/>
      <c r="H2243" s="43"/>
      <c r="I2243" s="43"/>
      <c r="J2243" s="43"/>
      <c r="K2243" s="43"/>
      <c r="L2243" s="43"/>
      <c r="M2243" s="43"/>
      <c r="N2243" s="43"/>
      <c r="O2243" s="43"/>
      <c r="P2243" s="43"/>
      <c r="Q2243" s="43"/>
      <c r="R2243" s="43"/>
      <c r="S2243" s="43"/>
      <c r="T2243" s="43"/>
      <c r="U2243" s="43"/>
      <c r="V2243" s="41"/>
      <c r="W2243" s="41"/>
      <c r="X2243" s="41"/>
      <c r="Y2243" s="41"/>
      <c r="Z2243" s="41"/>
      <c r="AA2243" s="44"/>
      <c r="AB2243" s="44"/>
      <c r="AC2243" s="43"/>
      <c r="AD2243" s="43"/>
      <c r="AE2243" s="43"/>
    </row>
    <row r="2244" spans="1:31" x14ac:dyDescent="0.35">
      <c r="C2244" s="33"/>
      <c r="D2244" s="34"/>
      <c r="E2244" s="34"/>
      <c r="F2244" s="34"/>
      <c r="G2244" s="34"/>
      <c r="H2244" s="34"/>
      <c r="I2244" s="34"/>
      <c r="J2244" s="34"/>
      <c r="K2244" s="34"/>
      <c r="L2244" s="34"/>
      <c r="M2244" s="34"/>
      <c r="N2244" s="34"/>
      <c r="O2244" s="34"/>
      <c r="AA2244" s="35"/>
      <c r="AB2244" s="35"/>
      <c r="AC2244" s="34"/>
      <c r="AD2244" s="34"/>
      <c r="AE2244" s="34"/>
    </row>
    <row r="2245" spans="1:31" ht="15" thickBot="1" x14ac:dyDescent="0.4">
      <c r="A2245" s="45"/>
      <c r="B2245" s="45"/>
      <c r="C2245" s="46"/>
      <c r="D2245" s="47"/>
      <c r="E2245" s="47"/>
      <c r="F2245" s="47"/>
      <c r="G2245" s="47"/>
      <c r="H2245" s="47"/>
      <c r="I2245" s="47"/>
      <c r="J2245" s="47"/>
      <c r="K2245" s="47"/>
      <c r="L2245" s="47"/>
      <c r="M2245" s="47"/>
      <c r="N2245" s="47"/>
      <c r="O2245" s="47"/>
      <c r="P2245" s="47"/>
      <c r="Q2245" s="47"/>
      <c r="R2245" s="47"/>
      <c r="S2245" s="47"/>
      <c r="T2245" s="45"/>
      <c r="U2245" s="45"/>
      <c r="V2245" s="45"/>
      <c r="W2245" s="45"/>
      <c r="X2245" s="47"/>
      <c r="Y2245" s="45"/>
      <c r="Z2245" s="45"/>
      <c r="AA2245" s="48"/>
      <c r="AB2245" s="48"/>
      <c r="AC2245" s="47"/>
      <c r="AD2245" s="47"/>
      <c r="AE2245" s="47"/>
    </row>
    <row r="2246" spans="1:31" x14ac:dyDescent="0.35">
      <c r="A2246" s="41"/>
      <c r="B2246" s="41"/>
      <c r="C2246" s="42"/>
      <c r="D2246" s="43"/>
      <c r="E2246" s="43"/>
      <c r="F2246" s="43"/>
      <c r="G2246" s="43"/>
      <c r="H2246" s="43"/>
      <c r="I2246" s="43"/>
      <c r="J2246" s="43"/>
      <c r="K2246" s="43"/>
      <c r="L2246" s="43"/>
      <c r="M2246" s="43"/>
      <c r="N2246" s="43"/>
      <c r="O2246" s="43"/>
      <c r="P2246" s="43"/>
      <c r="Q2246" s="43"/>
      <c r="R2246" s="43"/>
      <c r="S2246" s="43"/>
      <c r="T2246" s="43"/>
      <c r="U2246" s="43"/>
      <c r="V2246" s="41"/>
      <c r="W2246" s="41"/>
      <c r="X2246" s="41"/>
      <c r="Y2246" s="41"/>
      <c r="Z2246" s="41"/>
      <c r="AA2246" s="44"/>
      <c r="AB2246" s="44"/>
      <c r="AC2246" s="43"/>
      <c r="AD2246" s="43"/>
      <c r="AE2246" s="43"/>
    </row>
    <row r="2247" spans="1:31" x14ac:dyDescent="0.35">
      <c r="C2247" s="33"/>
      <c r="D2247" s="34"/>
      <c r="E2247" s="34"/>
      <c r="F2247" s="34"/>
      <c r="G2247" s="34"/>
      <c r="H2247" s="34"/>
      <c r="I2247" s="34"/>
      <c r="J2247" s="34"/>
      <c r="K2247" s="34"/>
      <c r="L2247" s="34"/>
      <c r="M2247" s="34"/>
      <c r="N2247" s="34"/>
      <c r="O2247" s="34"/>
      <c r="AA2247" s="35"/>
      <c r="AB2247" s="35"/>
      <c r="AC2247" s="34"/>
      <c r="AD2247" s="34"/>
      <c r="AE2247" s="34"/>
    </row>
    <row r="2248" spans="1:31" ht="15" thickBot="1" x14ac:dyDescent="0.4">
      <c r="A2248" s="45"/>
      <c r="B2248" s="45"/>
      <c r="C2248" s="46"/>
      <c r="D2248" s="47"/>
      <c r="E2248" s="47"/>
      <c r="F2248" s="47"/>
      <c r="G2248" s="47"/>
      <c r="H2248" s="47"/>
      <c r="I2248" s="47"/>
      <c r="J2248" s="47"/>
      <c r="K2248" s="47"/>
      <c r="L2248" s="47"/>
      <c r="M2248" s="47"/>
      <c r="N2248" s="47"/>
      <c r="O2248" s="47"/>
      <c r="P2248" s="47"/>
      <c r="Q2248" s="47"/>
      <c r="R2248" s="47"/>
      <c r="S2248" s="47"/>
      <c r="T2248" s="45"/>
      <c r="U2248" s="45"/>
      <c r="V2248" s="45"/>
      <c r="W2248" s="45"/>
      <c r="X2248" s="47"/>
      <c r="Y2248" s="45"/>
      <c r="Z2248" s="45"/>
      <c r="AA2248" s="48"/>
      <c r="AB2248" s="48"/>
      <c r="AC2248" s="47"/>
      <c r="AD2248" s="47"/>
      <c r="AE2248" s="47"/>
    </row>
    <row r="2249" spans="1:31" x14ac:dyDescent="0.35">
      <c r="A2249" s="41"/>
      <c r="B2249" s="41"/>
      <c r="C2249" s="42"/>
      <c r="D2249" s="43"/>
      <c r="E2249" s="43"/>
      <c r="F2249" s="43"/>
      <c r="G2249" s="43"/>
      <c r="H2249" s="43"/>
      <c r="I2249" s="43"/>
      <c r="J2249" s="43"/>
      <c r="K2249" s="43"/>
      <c r="L2249" s="43"/>
      <c r="M2249" s="43"/>
      <c r="N2249" s="43"/>
      <c r="O2249" s="43"/>
      <c r="P2249" s="43"/>
      <c r="Q2249" s="43"/>
      <c r="R2249" s="43"/>
      <c r="S2249" s="43"/>
      <c r="T2249" s="43"/>
      <c r="U2249" s="43"/>
      <c r="V2249" s="41"/>
      <c r="W2249" s="41"/>
      <c r="X2249" s="41"/>
      <c r="Y2249" s="41"/>
      <c r="Z2249" s="41"/>
      <c r="AA2249" s="44"/>
      <c r="AB2249" s="44"/>
      <c r="AC2249" s="43"/>
      <c r="AD2249" s="43"/>
      <c r="AE2249" s="43"/>
    </row>
    <row r="2250" spans="1:31" x14ac:dyDescent="0.35">
      <c r="C2250" s="33"/>
      <c r="D2250" s="34"/>
      <c r="E2250" s="34"/>
      <c r="F2250" s="34"/>
      <c r="G2250" s="34"/>
      <c r="H2250" s="34"/>
      <c r="I2250" s="34"/>
      <c r="J2250" s="34"/>
      <c r="K2250" s="34"/>
      <c r="L2250" s="34"/>
      <c r="M2250" s="34"/>
      <c r="N2250" s="34"/>
      <c r="O2250" s="34"/>
      <c r="AA2250" s="35"/>
      <c r="AB2250" s="35"/>
      <c r="AC2250" s="34"/>
      <c r="AD2250" s="34"/>
      <c r="AE2250" s="34"/>
    </row>
    <row r="2251" spans="1:31" ht="15" thickBot="1" x14ac:dyDescent="0.4">
      <c r="A2251" s="45"/>
      <c r="B2251" s="45"/>
      <c r="C2251" s="46"/>
      <c r="D2251" s="47"/>
      <c r="E2251" s="47"/>
      <c r="F2251" s="47"/>
      <c r="G2251" s="47"/>
      <c r="H2251" s="47"/>
      <c r="I2251" s="47"/>
      <c r="J2251" s="47"/>
      <c r="K2251" s="47"/>
      <c r="L2251" s="47"/>
      <c r="M2251" s="47"/>
      <c r="N2251" s="47"/>
      <c r="O2251" s="47"/>
      <c r="P2251" s="47"/>
      <c r="Q2251" s="47"/>
      <c r="R2251" s="47"/>
      <c r="S2251" s="47"/>
      <c r="T2251" s="45"/>
      <c r="U2251" s="45"/>
      <c r="V2251" s="45"/>
      <c r="W2251" s="45"/>
      <c r="X2251" s="47"/>
      <c r="Y2251" s="45"/>
      <c r="Z2251" s="45"/>
      <c r="AA2251" s="48"/>
      <c r="AB2251" s="48"/>
      <c r="AC2251" s="47"/>
      <c r="AD2251" s="47"/>
      <c r="AE2251" s="47"/>
    </row>
    <row r="2252" spans="1:31" x14ac:dyDescent="0.35">
      <c r="A2252" s="41"/>
      <c r="B2252" s="41"/>
      <c r="C2252" s="42"/>
      <c r="D2252" s="43"/>
      <c r="E2252" s="43"/>
      <c r="F2252" s="43"/>
      <c r="G2252" s="43"/>
      <c r="H2252" s="43"/>
      <c r="I2252" s="43"/>
      <c r="J2252" s="43"/>
      <c r="K2252" s="43"/>
      <c r="L2252" s="43"/>
      <c r="M2252" s="43"/>
      <c r="N2252" s="43"/>
      <c r="O2252" s="43"/>
      <c r="P2252" s="43"/>
      <c r="Q2252" s="43"/>
      <c r="R2252" s="43"/>
      <c r="S2252" s="43"/>
      <c r="T2252" s="43"/>
      <c r="U2252" s="43"/>
      <c r="V2252" s="41"/>
      <c r="W2252" s="41"/>
      <c r="X2252" s="41"/>
      <c r="Y2252" s="41"/>
      <c r="Z2252" s="41"/>
      <c r="AA2252" s="44"/>
      <c r="AB2252" s="44"/>
      <c r="AC2252" s="43"/>
      <c r="AD2252" s="43"/>
      <c r="AE2252" s="43"/>
    </row>
    <row r="2253" spans="1:31" x14ac:dyDescent="0.35">
      <c r="C2253" s="33"/>
      <c r="D2253" s="34"/>
      <c r="E2253" s="34"/>
      <c r="F2253" s="34"/>
      <c r="G2253" s="34"/>
      <c r="H2253" s="34"/>
      <c r="I2253" s="34"/>
      <c r="J2253" s="34"/>
      <c r="K2253" s="34"/>
      <c r="L2253" s="34"/>
      <c r="M2253" s="34"/>
      <c r="N2253" s="34"/>
      <c r="O2253" s="34"/>
      <c r="AA2253" s="35"/>
      <c r="AB2253" s="35"/>
      <c r="AC2253" s="34"/>
      <c r="AD2253" s="34"/>
      <c r="AE2253" s="34"/>
    </row>
    <row r="2254" spans="1:31" ht="15" thickBot="1" x14ac:dyDescent="0.4">
      <c r="A2254" s="45"/>
      <c r="B2254" s="45"/>
      <c r="C2254" s="46"/>
      <c r="D2254" s="47"/>
      <c r="E2254" s="47"/>
      <c r="F2254" s="47"/>
      <c r="G2254" s="47"/>
      <c r="H2254" s="47"/>
      <c r="I2254" s="47"/>
      <c r="J2254" s="47"/>
      <c r="K2254" s="47"/>
      <c r="L2254" s="47"/>
      <c r="M2254" s="47"/>
      <c r="N2254" s="47"/>
      <c r="O2254" s="47"/>
      <c r="P2254" s="47"/>
      <c r="Q2254" s="47"/>
      <c r="R2254" s="47"/>
      <c r="S2254" s="47"/>
      <c r="T2254" s="45"/>
      <c r="U2254" s="45"/>
      <c r="V2254" s="45"/>
      <c r="W2254" s="45"/>
      <c r="X2254" s="47"/>
      <c r="Y2254" s="45"/>
      <c r="Z2254" s="45"/>
      <c r="AA2254" s="48"/>
      <c r="AB2254" s="48"/>
      <c r="AC2254" s="47"/>
      <c r="AD2254" s="47"/>
      <c r="AE2254" s="47"/>
    </row>
    <row r="2255" spans="1:31" x14ac:dyDescent="0.35">
      <c r="A2255" s="41"/>
      <c r="B2255" s="41"/>
      <c r="C2255" s="42"/>
      <c r="D2255" s="43"/>
      <c r="E2255" s="43"/>
      <c r="F2255" s="43"/>
      <c r="G2255" s="43"/>
      <c r="H2255" s="43"/>
      <c r="I2255" s="43"/>
      <c r="J2255" s="43"/>
      <c r="K2255" s="43"/>
      <c r="L2255" s="43"/>
      <c r="M2255" s="43"/>
      <c r="N2255" s="43"/>
      <c r="O2255" s="43"/>
      <c r="P2255" s="43"/>
      <c r="Q2255" s="43"/>
      <c r="R2255" s="43"/>
      <c r="S2255" s="43"/>
      <c r="T2255" s="43"/>
      <c r="U2255" s="43"/>
      <c r="V2255" s="41"/>
      <c r="W2255" s="41"/>
      <c r="X2255" s="41"/>
      <c r="Y2255" s="41"/>
      <c r="Z2255" s="41"/>
      <c r="AA2255" s="44"/>
      <c r="AB2255" s="44"/>
      <c r="AC2255" s="43"/>
      <c r="AD2255" s="43"/>
      <c r="AE2255" s="43"/>
    </row>
    <row r="2256" spans="1:31" x14ac:dyDescent="0.35">
      <c r="C2256" s="33"/>
      <c r="D2256" s="34"/>
      <c r="E2256" s="34"/>
      <c r="F2256" s="34"/>
      <c r="G2256" s="34"/>
      <c r="H2256" s="34"/>
      <c r="I2256" s="34"/>
      <c r="J2256" s="34"/>
      <c r="K2256" s="34"/>
      <c r="L2256" s="34"/>
      <c r="M2256" s="34"/>
      <c r="N2256" s="34"/>
      <c r="O2256" s="34"/>
      <c r="AA2256" s="35"/>
      <c r="AB2256" s="35"/>
      <c r="AC2256" s="34"/>
      <c r="AD2256" s="34"/>
      <c r="AE2256" s="34"/>
    </row>
    <row r="2257" spans="1:31" ht="15" thickBot="1" x14ac:dyDescent="0.4">
      <c r="A2257" s="45"/>
      <c r="B2257" s="45"/>
      <c r="C2257" s="46"/>
      <c r="D2257" s="47"/>
      <c r="E2257" s="47"/>
      <c r="F2257" s="47"/>
      <c r="G2257" s="47"/>
      <c r="H2257" s="47"/>
      <c r="I2257" s="47"/>
      <c r="J2257" s="47"/>
      <c r="K2257" s="47"/>
      <c r="L2257" s="47"/>
      <c r="M2257" s="47"/>
      <c r="N2257" s="47"/>
      <c r="O2257" s="47"/>
      <c r="P2257" s="47"/>
      <c r="Q2257" s="47"/>
      <c r="R2257" s="47"/>
      <c r="S2257" s="47"/>
      <c r="T2257" s="45"/>
      <c r="U2257" s="45"/>
      <c r="V2257" s="45"/>
      <c r="W2257" s="45"/>
      <c r="X2257" s="47"/>
      <c r="Y2257" s="45"/>
      <c r="Z2257" s="45"/>
      <c r="AA2257" s="48"/>
      <c r="AB2257" s="48"/>
      <c r="AC2257" s="47"/>
      <c r="AD2257" s="47"/>
      <c r="AE2257" s="47"/>
    </row>
    <row r="2258" spans="1:31" x14ac:dyDescent="0.35">
      <c r="A2258" s="41"/>
      <c r="B2258" s="41"/>
      <c r="C2258" s="42"/>
      <c r="D2258" s="43"/>
      <c r="E2258" s="43"/>
      <c r="F2258" s="43"/>
      <c r="G2258" s="43"/>
      <c r="H2258" s="43"/>
      <c r="I2258" s="43"/>
      <c r="J2258" s="43"/>
      <c r="K2258" s="43"/>
      <c r="L2258" s="43"/>
      <c r="M2258" s="43"/>
      <c r="N2258" s="43"/>
      <c r="O2258" s="43"/>
      <c r="P2258" s="43"/>
      <c r="Q2258" s="43"/>
      <c r="R2258" s="43"/>
      <c r="S2258" s="43"/>
      <c r="T2258" s="43"/>
      <c r="U2258" s="43"/>
      <c r="V2258" s="41"/>
      <c r="W2258" s="41"/>
      <c r="X2258" s="41"/>
      <c r="Y2258" s="41"/>
      <c r="Z2258" s="41"/>
      <c r="AA2258" s="44"/>
      <c r="AB2258" s="44"/>
      <c r="AC2258" s="43"/>
      <c r="AD2258" s="43"/>
      <c r="AE2258" s="43"/>
    </row>
    <row r="2259" spans="1:31" x14ac:dyDescent="0.35">
      <c r="C2259" s="33"/>
      <c r="D2259" s="34"/>
      <c r="E2259" s="34"/>
      <c r="F2259" s="34"/>
      <c r="G2259" s="34"/>
      <c r="H2259" s="34"/>
      <c r="I2259" s="34"/>
      <c r="J2259" s="34"/>
      <c r="K2259" s="34"/>
      <c r="L2259" s="34"/>
      <c r="M2259" s="34"/>
      <c r="N2259" s="34"/>
      <c r="O2259" s="34"/>
      <c r="AA2259" s="35"/>
      <c r="AB2259" s="35"/>
      <c r="AC2259" s="34"/>
      <c r="AD2259" s="34"/>
      <c r="AE2259" s="34"/>
    </row>
    <row r="2260" spans="1:31" ht="15" thickBot="1" x14ac:dyDescent="0.4">
      <c r="A2260" s="45"/>
      <c r="B2260" s="45"/>
      <c r="C2260" s="46"/>
      <c r="D2260" s="47"/>
      <c r="E2260" s="47"/>
      <c r="F2260" s="47"/>
      <c r="G2260" s="47"/>
      <c r="H2260" s="47"/>
      <c r="I2260" s="47"/>
      <c r="J2260" s="47"/>
      <c r="K2260" s="47"/>
      <c r="L2260" s="47"/>
      <c r="M2260" s="47"/>
      <c r="N2260" s="47"/>
      <c r="O2260" s="47"/>
      <c r="P2260" s="47"/>
      <c r="Q2260" s="47"/>
      <c r="R2260" s="47"/>
      <c r="S2260" s="47"/>
      <c r="T2260" s="45"/>
      <c r="U2260" s="45"/>
      <c r="V2260" s="45"/>
      <c r="W2260" s="45"/>
      <c r="X2260" s="47"/>
      <c r="Y2260" s="45"/>
      <c r="Z2260" s="45"/>
      <c r="AA2260" s="48"/>
      <c r="AB2260" s="48"/>
      <c r="AC2260" s="47"/>
      <c r="AD2260" s="47"/>
      <c r="AE2260" s="47"/>
    </row>
    <row r="2261" spans="1:31" x14ac:dyDescent="0.35">
      <c r="A2261" s="41"/>
      <c r="B2261" s="41"/>
      <c r="C2261" s="42"/>
      <c r="D2261" s="43"/>
      <c r="E2261" s="43"/>
      <c r="F2261" s="43"/>
      <c r="G2261" s="43"/>
      <c r="H2261" s="43"/>
      <c r="I2261" s="43"/>
      <c r="J2261" s="43"/>
      <c r="K2261" s="43"/>
      <c r="L2261" s="43"/>
      <c r="M2261" s="43"/>
      <c r="N2261" s="43"/>
      <c r="O2261" s="43"/>
      <c r="P2261" s="43"/>
      <c r="Q2261" s="43"/>
      <c r="R2261" s="43"/>
      <c r="S2261" s="43"/>
      <c r="T2261" s="43"/>
      <c r="U2261" s="43"/>
      <c r="V2261" s="41"/>
      <c r="W2261" s="41"/>
      <c r="X2261" s="41"/>
      <c r="Y2261" s="41"/>
      <c r="Z2261" s="41"/>
      <c r="AA2261" s="44"/>
      <c r="AB2261" s="44"/>
      <c r="AC2261" s="43"/>
      <c r="AD2261" s="43"/>
      <c r="AE2261" s="43"/>
    </row>
    <row r="2262" spans="1:31" x14ac:dyDescent="0.35">
      <c r="C2262" s="33"/>
      <c r="D2262" s="34"/>
      <c r="E2262" s="34"/>
      <c r="F2262" s="34"/>
      <c r="G2262" s="34"/>
      <c r="H2262" s="34"/>
      <c r="I2262" s="34"/>
      <c r="J2262" s="34"/>
      <c r="K2262" s="34"/>
      <c r="L2262" s="34"/>
      <c r="M2262" s="34"/>
      <c r="N2262" s="34"/>
      <c r="O2262" s="34"/>
      <c r="AA2262" s="35"/>
      <c r="AB2262" s="35"/>
      <c r="AC2262" s="34"/>
      <c r="AD2262" s="34"/>
      <c r="AE2262" s="34"/>
    </row>
    <row r="2263" spans="1:31" ht="15" thickBot="1" x14ac:dyDescent="0.4">
      <c r="A2263" s="45"/>
      <c r="B2263" s="45"/>
      <c r="C2263" s="46"/>
      <c r="D2263" s="47"/>
      <c r="E2263" s="47"/>
      <c r="F2263" s="47"/>
      <c r="G2263" s="47"/>
      <c r="H2263" s="47"/>
      <c r="I2263" s="47"/>
      <c r="J2263" s="47"/>
      <c r="K2263" s="47"/>
      <c r="L2263" s="47"/>
      <c r="M2263" s="47"/>
      <c r="N2263" s="47"/>
      <c r="O2263" s="47"/>
      <c r="P2263" s="47"/>
      <c r="Q2263" s="47"/>
      <c r="R2263" s="47"/>
      <c r="S2263" s="47"/>
      <c r="T2263" s="45"/>
      <c r="U2263" s="45"/>
      <c r="V2263" s="45"/>
      <c r="W2263" s="45"/>
      <c r="X2263" s="47"/>
      <c r="Y2263" s="45"/>
      <c r="Z2263" s="45"/>
      <c r="AA2263" s="48"/>
      <c r="AB2263" s="48"/>
      <c r="AC2263" s="47"/>
      <c r="AD2263" s="47"/>
      <c r="AE2263" s="47"/>
    </row>
    <row r="2264" spans="1:31" x14ac:dyDescent="0.35">
      <c r="A2264" s="41"/>
      <c r="B2264" s="41"/>
      <c r="C2264" s="42"/>
      <c r="D2264" s="43"/>
      <c r="E2264" s="43"/>
      <c r="F2264" s="43"/>
      <c r="G2264" s="43"/>
      <c r="H2264" s="43"/>
      <c r="I2264" s="43"/>
      <c r="J2264" s="43"/>
      <c r="K2264" s="43"/>
      <c r="L2264" s="43"/>
      <c r="M2264" s="43"/>
      <c r="N2264" s="43"/>
      <c r="O2264" s="43"/>
      <c r="P2264" s="43"/>
      <c r="Q2264" s="43"/>
      <c r="R2264" s="43"/>
      <c r="S2264" s="43"/>
      <c r="T2264" s="43"/>
      <c r="U2264" s="43"/>
      <c r="V2264" s="41"/>
      <c r="W2264" s="41"/>
      <c r="X2264" s="41"/>
      <c r="Y2264" s="41"/>
      <c r="Z2264" s="41"/>
      <c r="AA2264" s="44"/>
      <c r="AB2264" s="44"/>
      <c r="AC2264" s="43"/>
      <c r="AD2264" s="43"/>
      <c r="AE2264" s="43"/>
    </row>
    <row r="2265" spans="1:31" x14ac:dyDescent="0.35">
      <c r="C2265" s="33"/>
      <c r="D2265" s="34"/>
      <c r="E2265" s="34"/>
      <c r="F2265" s="34"/>
      <c r="G2265" s="34"/>
      <c r="H2265" s="34"/>
      <c r="I2265" s="34"/>
      <c r="J2265" s="34"/>
      <c r="K2265" s="34"/>
      <c r="L2265" s="34"/>
      <c r="M2265" s="34"/>
      <c r="N2265" s="34"/>
      <c r="O2265" s="34"/>
      <c r="AA2265" s="35"/>
      <c r="AB2265" s="35"/>
      <c r="AC2265" s="34"/>
      <c r="AD2265" s="34"/>
      <c r="AE2265" s="34"/>
    </row>
    <row r="2266" spans="1:31" ht="15" thickBot="1" x14ac:dyDescent="0.4">
      <c r="A2266" s="45"/>
      <c r="B2266" s="45"/>
      <c r="C2266" s="46"/>
      <c r="D2266" s="47"/>
      <c r="E2266" s="47"/>
      <c r="F2266" s="47"/>
      <c r="G2266" s="47"/>
      <c r="H2266" s="47"/>
      <c r="I2266" s="47"/>
      <c r="J2266" s="47"/>
      <c r="K2266" s="47"/>
      <c r="L2266" s="47"/>
      <c r="M2266" s="47"/>
      <c r="N2266" s="47"/>
      <c r="O2266" s="47"/>
      <c r="P2266" s="47"/>
      <c r="Q2266" s="47"/>
      <c r="R2266" s="47"/>
      <c r="S2266" s="47"/>
      <c r="T2266" s="45"/>
      <c r="U2266" s="45"/>
      <c r="V2266" s="45"/>
      <c r="W2266" s="45"/>
      <c r="X2266" s="47"/>
      <c r="Y2266" s="45"/>
      <c r="Z2266" s="45"/>
      <c r="AA2266" s="48"/>
      <c r="AB2266" s="48"/>
      <c r="AC2266" s="47"/>
      <c r="AD2266" s="47"/>
      <c r="AE2266" s="47"/>
    </row>
    <row r="2267" spans="1:31" x14ac:dyDescent="0.35">
      <c r="A2267" s="41"/>
      <c r="B2267" s="41"/>
      <c r="C2267" s="42"/>
      <c r="D2267" s="43"/>
      <c r="E2267" s="43"/>
      <c r="F2267" s="43"/>
      <c r="G2267" s="43"/>
      <c r="H2267" s="43"/>
      <c r="I2267" s="43"/>
      <c r="J2267" s="43"/>
      <c r="K2267" s="43"/>
      <c r="L2267" s="43"/>
      <c r="M2267" s="43"/>
      <c r="N2267" s="43"/>
      <c r="O2267" s="43"/>
      <c r="P2267" s="43"/>
      <c r="Q2267" s="43"/>
      <c r="R2267" s="43"/>
      <c r="S2267" s="43"/>
      <c r="T2267" s="43"/>
      <c r="U2267" s="43"/>
      <c r="V2267" s="41"/>
      <c r="W2267" s="41"/>
      <c r="X2267" s="41"/>
      <c r="Y2267" s="41"/>
      <c r="Z2267" s="41"/>
      <c r="AA2267" s="44"/>
      <c r="AB2267" s="44"/>
      <c r="AC2267" s="43"/>
      <c r="AD2267" s="43"/>
      <c r="AE2267" s="43"/>
    </row>
    <row r="2268" spans="1:31" x14ac:dyDescent="0.35">
      <c r="C2268" s="33"/>
      <c r="D2268" s="34"/>
      <c r="E2268" s="34"/>
      <c r="F2268" s="34"/>
      <c r="G2268" s="34"/>
      <c r="H2268" s="34"/>
      <c r="I2268" s="34"/>
      <c r="J2268" s="34"/>
      <c r="K2268" s="34"/>
      <c r="L2268" s="34"/>
      <c r="M2268" s="34"/>
      <c r="N2268" s="34"/>
      <c r="O2268" s="34"/>
      <c r="AA2268" s="35"/>
      <c r="AB2268" s="35"/>
      <c r="AC2268" s="34"/>
      <c r="AD2268" s="34"/>
      <c r="AE2268" s="34"/>
    </row>
    <row r="2269" spans="1:31" ht="15" thickBot="1" x14ac:dyDescent="0.4">
      <c r="A2269" s="45"/>
      <c r="B2269" s="45"/>
      <c r="C2269" s="46"/>
      <c r="D2269" s="47"/>
      <c r="E2269" s="47"/>
      <c r="F2269" s="47"/>
      <c r="G2269" s="47"/>
      <c r="H2269" s="47"/>
      <c r="I2269" s="47"/>
      <c r="J2269" s="47"/>
      <c r="K2269" s="47"/>
      <c r="L2269" s="47"/>
      <c r="M2269" s="47"/>
      <c r="N2269" s="47"/>
      <c r="O2269" s="47"/>
      <c r="P2269" s="47"/>
      <c r="Q2269" s="47"/>
      <c r="R2269" s="47"/>
      <c r="S2269" s="47"/>
      <c r="T2269" s="45"/>
      <c r="U2269" s="45"/>
      <c r="V2269" s="45"/>
      <c r="W2269" s="45"/>
      <c r="X2269" s="47"/>
      <c r="Y2269" s="45"/>
      <c r="Z2269" s="45"/>
      <c r="AA2269" s="48"/>
      <c r="AB2269" s="48"/>
      <c r="AC2269" s="47"/>
      <c r="AD2269" s="47"/>
      <c r="AE2269" s="47"/>
    </row>
    <row r="2270" spans="1:31" x14ac:dyDescent="0.35">
      <c r="A2270" s="41"/>
      <c r="B2270" s="41"/>
      <c r="C2270" s="42"/>
      <c r="D2270" s="43"/>
      <c r="E2270" s="43"/>
      <c r="F2270" s="43"/>
      <c r="G2270" s="43"/>
      <c r="H2270" s="43"/>
      <c r="I2270" s="43"/>
      <c r="J2270" s="43"/>
      <c r="K2270" s="43"/>
      <c r="L2270" s="43"/>
      <c r="M2270" s="43"/>
      <c r="N2270" s="43"/>
      <c r="O2270" s="43"/>
      <c r="P2270" s="43"/>
      <c r="Q2270" s="43"/>
      <c r="R2270" s="43"/>
      <c r="S2270" s="43"/>
      <c r="T2270" s="43"/>
      <c r="U2270" s="43"/>
      <c r="V2270" s="41"/>
      <c r="W2270" s="41"/>
      <c r="X2270" s="41"/>
      <c r="Y2270" s="41"/>
      <c r="Z2270" s="41"/>
      <c r="AA2270" s="44"/>
      <c r="AB2270" s="44"/>
      <c r="AC2270" s="43"/>
      <c r="AD2270" s="43"/>
      <c r="AE2270" s="43"/>
    </row>
    <row r="2271" spans="1:31" x14ac:dyDescent="0.35">
      <c r="C2271" s="33"/>
      <c r="D2271" s="34"/>
      <c r="E2271" s="34"/>
      <c r="F2271" s="34"/>
      <c r="G2271" s="34"/>
      <c r="H2271" s="34"/>
      <c r="I2271" s="34"/>
      <c r="J2271" s="34"/>
      <c r="K2271" s="34"/>
      <c r="L2271" s="34"/>
      <c r="M2271" s="34"/>
      <c r="N2271" s="34"/>
      <c r="O2271" s="34"/>
      <c r="AA2271" s="35"/>
      <c r="AB2271" s="35"/>
      <c r="AC2271" s="34"/>
      <c r="AD2271" s="34"/>
      <c r="AE2271" s="34"/>
    </row>
    <row r="2272" spans="1:31" ht="15" thickBot="1" x14ac:dyDescent="0.4">
      <c r="A2272" s="45"/>
      <c r="B2272" s="45"/>
      <c r="C2272" s="46"/>
      <c r="D2272" s="47"/>
      <c r="E2272" s="47"/>
      <c r="F2272" s="47"/>
      <c r="G2272" s="47"/>
      <c r="H2272" s="47"/>
      <c r="I2272" s="47"/>
      <c r="J2272" s="47"/>
      <c r="K2272" s="47"/>
      <c r="L2272" s="47"/>
      <c r="M2272" s="47"/>
      <c r="N2272" s="47"/>
      <c r="O2272" s="47"/>
      <c r="P2272" s="47"/>
      <c r="Q2272" s="47"/>
      <c r="R2272" s="47"/>
      <c r="S2272" s="47"/>
      <c r="T2272" s="45"/>
      <c r="U2272" s="45"/>
      <c r="V2272" s="45"/>
      <c r="W2272" s="45"/>
      <c r="X2272" s="47"/>
      <c r="Y2272" s="45"/>
      <c r="Z2272" s="45"/>
      <c r="AA2272" s="48"/>
      <c r="AB2272" s="48"/>
      <c r="AC2272" s="47"/>
      <c r="AD2272" s="47"/>
      <c r="AE2272" s="47"/>
    </row>
    <row r="2273" spans="1:31" x14ac:dyDescent="0.35">
      <c r="A2273" s="41"/>
      <c r="B2273" s="41"/>
      <c r="C2273" s="42"/>
      <c r="D2273" s="43"/>
      <c r="E2273" s="43"/>
      <c r="F2273" s="43"/>
      <c r="G2273" s="43"/>
      <c r="H2273" s="43"/>
      <c r="I2273" s="43"/>
      <c r="J2273" s="43"/>
      <c r="K2273" s="43"/>
      <c r="L2273" s="43"/>
      <c r="M2273" s="43"/>
      <c r="N2273" s="43"/>
      <c r="O2273" s="43"/>
      <c r="P2273" s="43"/>
      <c r="Q2273" s="43"/>
      <c r="R2273" s="43"/>
      <c r="S2273" s="43"/>
      <c r="T2273" s="43"/>
      <c r="U2273" s="43"/>
      <c r="V2273" s="41"/>
      <c r="W2273" s="41"/>
      <c r="X2273" s="41"/>
      <c r="Y2273" s="41"/>
      <c r="Z2273" s="41"/>
      <c r="AA2273" s="44"/>
      <c r="AB2273" s="44"/>
      <c r="AC2273" s="43"/>
      <c r="AD2273" s="43"/>
      <c r="AE2273" s="43"/>
    </row>
    <row r="2274" spans="1:31" x14ac:dyDescent="0.35">
      <c r="C2274" s="33"/>
      <c r="D2274" s="34"/>
      <c r="E2274" s="34"/>
      <c r="F2274" s="34"/>
      <c r="G2274" s="34"/>
      <c r="H2274" s="34"/>
      <c r="I2274" s="34"/>
      <c r="J2274" s="34"/>
      <c r="K2274" s="34"/>
      <c r="L2274" s="34"/>
      <c r="M2274" s="34"/>
      <c r="N2274" s="34"/>
      <c r="O2274" s="34"/>
      <c r="AA2274" s="35"/>
      <c r="AB2274" s="35"/>
      <c r="AC2274" s="34"/>
      <c r="AD2274" s="34"/>
      <c r="AE2274" s="34"/>
    </row>
    <row r="2275" spans="1:31" ht="15" thickBot="1" x14ac:dyDescent="0.4">
      <c r="A2275" s="45"/>
      <c r="B2275" s="45"/>
      <c r="C2275" s="46"/>
      <c r="D2275" s="47"/>
      <c r="E2275" s="47"/>
      <c r="F2275" s="47"/>
      <c r="G2275" s="47"/>
      <c r="H2275" s="47"/>
      <c r="I2275" s="47"/>
      <c r="J2275" s="47"/>
      <c r="K2275" s="47"/>
      <c r="L2275" s="47"/>
      <c r="M2275" s="47"/>
      <c r="N2275" s="47"/>
      <c r="O2275" s="47"/>
      <c r="P2275" s="47"/>
      <c r="Q2275" s="47"/>
      <c r="R2275" s="47"/>
      <c r="S2275" s="47"/>
      <c r="T2275" s="45"/>
      <c r="U2275" s="45"/>
      <c r="V2275" s="45"/>
      <c r="W2275" s="45"/>
      <c r="X2275" s="47"/>
      <c r="Y2275" s="45"/>
      <c r="Z2275" s="45"/>
      <c r="AA2275" s="48"/>
      <c r="AB2275" s="48"/>
      <c r="AC2275" s="47"/>
      <c r="AD2275" s="47"/>
      <c r="AE2275" s="47"/>
    </row>
    <row r="2276" spans="1:31" x14ac:dyDescent="0.35">
      <c r="A2276" s="41"/>
      <c r="B2276" s="41"/>
      <c r="C2276" s="42"/>
      <c r="D2276" s="43"/>
      <c r="E2276" s="43"/>
      <c r="F2276" s="43"/>
      <c r="G2276" s="43"/>
      <c r="H2276" s="43"/>
      <c r="I2276" s="43"/>
      <c r="J2276" s="43"/>
      <c r="K2276" s="43"/>
      <c r="L2276" s="43"/>
      <c r="M2276" s="43"/>
      <c r="N2276" s="43"/>
      <c r="O2276" s="43"/>
      <c r="P2276" s="43"/>
      <c r="Q2276" s="43"/>
      <c r="R2276" s="43"/>
      <c r="S2276" s="43"/>
      <c r="T2276" s="43"/>
      <c r="U2276" s="43"/>
      <c r="V2276" s="41"/>
      <c r="W2276" s="41"/>
      <c r="X2276" s="41"/>
      <c r="Y2276" s="41"/>
      <c r="Z2276" s="41"/>
      <c r="AA2276" s="44"/>
      <c r="AB2276" s="44"/>
      <c r="AC2276" s="43"/>
      <c r="AD2276" s="43"/>
      <c r="AE2276" s="43"/>
    </row>
    <row r="2277" spans="1:31" x14ac:dyDescent="0.35">
      <c r="C2277" s="33"/>
      <c r="D2277" s="34"/>
      <c r="E2277" s="34"/>
      <c r="F2277" s="34"/>
      <c r="G2277" s="34"/>
      <c r="H2277" s="34"/>
      <c r="I2277" s="34"/>
      <c r="J2277" s="34"/>
      <c r="K2277" s="34"/>
      <c r="L2277" s="34"/>
      <c r="M2277" s="34"/>
      <c r="N2277" s="34"/>
      <c r="O2277" s="34"/>
      <c r="AA2277" s="35"/>
      <c r="AB2277" s="35"/>
      <c r="AC2277" s="34"/>
      <c r="AD2277" s="34"/>
      <c r="AE2277" s="34"/>
    </row>
    <row r="2278" spans="1:31" ht="15" thickBot="1" x14ac:dyDescent="0.4">
      <c r="A2278" s="45"/>
      <c r="B2278" s="45"/>
      <c r="C2278" s="46"/>
      <c r="D2278" s="47"/>
      <c r="E2278" s="47"/>
      <c r="F2278" s="47"/>
      <c r="G2278" s="47"/>
      <c r="H2278" s="47"/>
      <c r="I2278" s="47"/>
      <c r="J2278" s="47"/>
      <c r="K2278" s="47"/>
      <c r="L2278" s="47"/>
      <c r="M2278" s="47"/>
      <c r="N2278" s="47"/>
      <c r="O2278" s="47"/>
      <c r="P2278" s="47"/>
      <c r="Q2278" s="47"/>
      <c r="R2278" s="47"/>
      <c r="S2278" s="47"/>
      <c r="T2278" s="45"/>
      <c r="U2278" s="45"/>
      <c r="V2278" s="45"/>
      <c r="W2278" s="45"/>
      <c r="X2278" s="47"/>
      <c r="Y2278" s="45"/>
      <c r="Z2278" s="45"/>
      <c r="AA2278" s="48"/>
      <c r="AB2278" s="48"/>
      <c r="AC2278" s="47"/>
      <c r="AD2278" s="47"/>
      <c r="AE2278" s="47"/>
    </row>
    <row r="2279" spans="1:31" x14ac:dyDescent="0.35">
      <c r="A2279" s="41"/>
      <c r="B2279" s="41"/>
      <c r="C2279" s="42"/>
      <c r="D2279" s="43"/>
      <c r="E2279" s="43"/>
      <c r="F2279" s="43"/>
      <c r="G2279" s="43"/>
      <c r="H2279" s="43"/>
      <c r="I2279" s="43"/>
      <c r="J2279" s="43"/>
      <c r="K2279" s="43"/>
      <c r="L2279" s="43"/>
      <c r="M2279" s="43"/>
      <c r="N2279" s="43"/>
      <c r="O2279" s="43"/>
      <c r="P2279" s="43"/>
      <c r="Q2279" s="43"/>
      <c r="R2279" s="43"/>
      <c r="S2279" s="43"/>
      <c r="T2279" s="43"/>
      <c r="U2279" s="43"/>
      <c r="V2279" s="41"/>
      <c r="W2279" s="41"/>
      <c r="X2279" s="41"/>
      <c r="Y2279" s="41"/>
      <c r="Z2279" s="41"/>
      <c r="AA2279" s="44"/>
      <c r="AB2279" s="44"/>
      <c r="AC2279" s="43"/>
      <c r="AD2279" s="43"/>
      <c r="AE2279" s="43"/>
    </row>
    <row r="2280" spans="1:31" x14ac:dyDescent="0.35">
      <c r="C2280" s="33"/>
      <c r="D2280" s="34"/>
      <c r="E2280" s="34"/>
      <c r="F2280" s="34"/>
      <c r="G2280" s="34"/>
      <c r="H2280" s="34"/>
      <c r="I2280" s="34"/>
      <c r="J2280" s="34"/>
      <c r="K2280" s="34"/>
      <c r="L2280" s="34"/>
      <c r="M2280" s="34"/>
      <c r="N2280" s="34"/>
      <c r="O2280" s="34"/>
      <c r="AA2280" s="35"/>
      <c r="AB2280" s="35"/>
      <c r="AC2280" s="34"/>
      <c r="AD2280" s="34"/>
      <c r="AE2280" s="34"/>
    </row>
    <row r="2281" spans="1:31" ht="15" thickBot="1" x14ac:dyDescent="0.4">
      <c r="A2281" s="45"/>
      <c r="B2281" s="45"/>
      <c r="C2281" s="46"/>
      <c r="D2281" s="47"/>
      <c r="E2281" s="47"/>
      <c r="F2281" s="47"/>
      <c r="G2281" s="47"/>
      <c r="H2281" s="47"/>
      <c r="I2281" s="47"/>
      <c r="J2281" s="47"/>
      <c r="K2281" s="47"/>
      <c r="L2281" s="47"/>
      <c r="M2281" s="47"/>
      <c r="N2281" s="47"/>
      <c r="O2281" s="47"/>
      <c r="P2281" s="47"/>
      <c r="Q2281" s="47"/>
      <c r="R2281" s="47"/>
      <c r="S2281" s="47"/>
      <c r="T2281" s="45"/>
      <c r="U2281" s="45"/>
      <c r="V2281" s="45"/>
      <c r="W2281" s="45"/>
      <c r="X2281" s="47"/>
      <c r="Y2281" s="45"/>
      <c r="Z2281" s="45"/>
      <c r="AA2281" s="48"/>
      <c r="AB2281" s="48"/>
      <c r="AC2281" s="47"/>
      <c r="AD2281" s="47"/>
      <c r="AE2281" s="47"/>
    </row>
    <row r="2282" spans="1:31" x14ac:dyDescent="0.35">
      <c r="A2282" s="41"/>
      <c r="B2282" s="41"/>
      <c r="C2282" s="42"/>
      <c r="D2282" s="43"/>
      <c r="E2282" s="43"/>
      <c r="F2282" s="43"/>
      <c r="G2282" s="43"/>
      <c r="H2282" s="43"/>
      <c r="I2282" s="43"/>
      <c r="J2282" s="43"/>
      <c r="K2282" s="43"/>
      <c r="L2282" s="43"/>
      <c r="M2282" s="43"/>
      <c r="N2282" s="43"/>
      <c r="O2282" s="43"/>
      <c r="P2282" s="43"/>
      <c r="Q2282" s="43"/>
      <c r="R2282" s="43"/>
      <c r="S2282" s="43"/>
      <c r="T2282" s="43"/>
      <c r="U2282" s="43"/>
      <c r="V2282" s="41"/>
      <c r="W2282" s="41"/>
      <c r="X2282" s="41"/>
      <c r="Y2282" s="41"/>
      <c r="Z2282" s="41"/>
      <c r="AA2282" s="44"/>
      <c r="AB2282" s="44"/>
      <c r="AC2282" s="43"/>
      <c r="AD2282" s="43"/>
      <c r="AE2282" s="43"/>
    </row>
    <row r="2283" spans="1:31" x14ac:dyDescent="0.35">
      <c r="C2283" s="33"/>
      <c r="D2283" s="34"/>
      <c r="E2283" s="34"/>
      <c r="F2283" s="34"/>
      <c r="G2283" s="34"/>
      <c r="H2283" s="34"/>
      <c r="I2283" s="34"/>
      <c r="J2283" s="34"/>
      <c r="K2283" s="34"/>
      <c r="L2283" s="34"/>
      <c r="M2283" s="34"/>
      <c r="N2283" s="34"/>
      <c r="O2283" s="34"/>
      <c r="AA2283" s="35"/>
      <c r="AB2283" s="35"/>
      <c r="AC2283" s="34"/>
      <c r="AD2283" s="34"/>
      <c r="AE2283" s="34"/>
    </row>
    <row r="2284" spans="1:31" ht="15" thickBot="1" x14ac:dyDescent="0.4">
      <c r="A2284" s="45"/>
      <c r="B2284" s="45"/>
      <c r="C2284" s="46"/>
      <c r="D2284" s="47"/>
      <c r="E2284" s="47"/>
      <c r="F2284" s="47"/>
      <c r="G2284" s="47"/>
      <c r="H2284" s="47"/>
      <c r="I2284" s="47"/>
      <c r="J2284" s="47"/>
      <c r="K2284" s="47"/>
      <c r="L2284" s="47"/>
      <c r="M2284" s="47"/>
      <c r="N2284" s="47"/>
      <c r="O2284" s="47"/>
      <c r="P2284" s="47"/>
      <c r="Q2284" s="47"/>
      <c r="R2284" s="47"/>
      <c r="S2284" s="47"/>
      <c r="T2284" s="45"/>
      <c r="U2284" s="45"/>
      <c r="V2284" s="45"/>
      <c r="W2284" s="45"/>
      <c r="X2284" s="47"/>
      <c r="Y2284" s="45"/>
      <c r="Z2284" s="45"/>
      <c r="AA2284" s="48"/>
      <c r="AB2284" s="48"/>
      <c r="AC2284" s="47"/>
      <c r="AD2284" s="47"/>
      <c r="AE2284" s="47"/>
    </row>
    <row r="2285" spans="1:31" x14ac:dyDescent="0.35">
      <c r="A2285" s="41"/>
      <c r="B2285" s="41"/>
      <c r="C2285" s="42"/>
      <c r="D2285" s="43"/>
      <c r="E2285" s="43"/>
      <c r="F2285" s="43"/>
      <c r="G2285" s="43"/>
      <c r="H2285" s="43"/>
      <c r="I2285" s="43"/>
      <c r="J2285" s="43"/>
      <c r="K2285" s="43"/>
      <c r="L2285" s="43"/>
      <c r="M2285" s="43"/>
      <c r="N2285" s="43"/>
      <c r="O2285" s="43"/>
      <c r="P2285" s="43"/>
      <c r="Q2285" s="43"/>
      <c r="R2285" s="43"/>
      <c r="S2285" s="43"/>
      <c r="T2285" s="43"/>
      <c r="U2285" s="43"/>
      <c r="V2285" s="41"/>
      <c r="W2285" s="41"/>
      <c r="X2285" s="41"/>
      <c r="Y2285" s="41"/>
      <c r="Z2285" s="41"/>
      <c r="AA2285" s="44"/>
      <c r="AB2285" s="44"/>
      <c r="AC2285" s="43"/>
      <c r="AD2285" s="43"/>
      <c r="AE2285" s="43"/>
    </row>
    <row r="2286" spans="1:31" x14ac:dyDescent="0.35">
      <c r="C2286" s="33"/>
      <c r="D2286" s="34"/>
      <c r="E2286" s="34"/>
      <c r="F2286" s="34"/>
      <c r="G2286" s="34"/>
      <c r="H2286" s="34"/>
      <c r="I2286" s="34"/>
      <c r="J2286" s="34"/>
      <c r="K2286" s="34"/>
      <c r="L2286" s="34"/>
      <c r="M2286" s="34"/>
      <c r="N2286" s="34"/>
      <c r="O2286" s="34"/>
      <c r="AA2286" s="35"/>
      <c r="AB2286" s="35"/>
      <c r="AC2286" s="34"/>
      <c r="AD2286" s="34"/>
      <c r="AE2286" s="34"/>
    </row>
    <row r="2287" spans="1:31" ht="15" thickBot="1" x14ac:dyDescent="0.4">
      <c r="A2287" s="45"/>
      <c r="B2287" s="45"/>
      <c r="C2287" s="46"/>
      <c r="D2287" s="47"/>
      <c r="E2287" s="47"/>
      <c r="F2287" s="47"/>
      <c r="G2287" s="47"/>
      <c r="H2287" s="47"/>
      <c r="I2287" s="47"/>
      <c r="J2287" s="47"/>
      <c r="K2287" s="47"/>
      <c r="L2287" s="47"/>
      <c r="M2287" s="47"/>
      <c r="N2287" s="47"/>
      <c r="O2287" s="47"/>
      <c r="P2287" s="47"/>
      <c r="Q2287" s="47"/>
      <c r="R2287" s="47"/>
      <c r="S2287" s="47"/>
      <c r="T2287" s="45"/>
      <c r="U2287" s="45"/>
      <c r="V2287" s="45"/>
      <c r="W2287" s="45"/>
      <c r="X2287" s="47"/>
      <c r="Y2287" s="45"/>
      <c r="Z2287" s="45"/>
      <c r="AA2287" s="48"/>
      <c r="AB2287" s="48"/>
      <c r="AC2287" s="47"/>
      <c r="AD2287" s="47"/>
      <c r="AE2287" s="47"/>
    </row>
    <row r="2288" spans="1:31" x14ac:dyDescent="0.35">
      <c r="A2288" s="41"/>
      <c r="B2288" s="41"/>
      <c r="C2288" s="42"/>
      <c r="D2288" s="43"/>
      <c r="E2288" s="43"/>
      <c r="F2288" s="43"/>
      <c r="G2288" s="43"/>
      <c r="H2288" s="43"/>
      <c r="I2288" s="43"/>
      <c r="J2288" s="43"/>
      <c r="K2288" s="43"/>
      <c r="L2288" s="43"/>
      <c r="M2288" s="43"/>
      <c r="N2288" s="43"/>
      <c r="O2288" s="43"/>
      <c r="P2288" s="43"/>
      <c r="Q2288" s="43"/>
      <c r="R2288" s="43"/>
      <c r="S2288" s="43"/>
      <c r="T2288" s="43"/>
      <c r="U2288" s="43"/>
      <c r="V2288" s="41"/>
      <c r="W2288" s="41"/>
      <c r="X2288" s="41"/>
      <c r="Y2288" s="41"/>
      <c r="Z2288" s="41"/>
      <c r="AA2288" s="44"/>
      <c r="AB2288" s="44"/>
      <c r="AC2288" s="43"/>
      <c r="AD2288" s="43"/>
      <c r="AE2288" s="43"/>
    </row>
    <row r="2289" spans="1:31" x14ac:dyDescent="0.35">
      <c r="C2289" s="33"/>
      <c r="D2289" s="34"/>
      <c r="E2289" s="34"/>
      <c r="F2289" s="34"/>
      <c r="G2289" s="34"/>
      <c r="H2289" s="34"/>
      <c r="I2289" s="34"/>
      <c r="J2289" s="34"/>
      <c r="K2289" s="34"/>
      <c r="L2289" s="34"/>
      <c r="M2289" s="34"/>
      <c r="N2289" s="34"/>
      <c r="O2289" s="34"/>
      <c r="AA2289" s="35"/>
      <c r="AB2289" s="35"/>
      <c r="AC2289" s="34"/>
      <c r="AD2289" s="34"/>
      <c r="AE2289" s="34"/>
    </row>
    <row r="2290" spans="1:31" ht="15" thickBot="1" x14ac:dyDescent="0.4">
      <c r="A2290" s="45"/>
      <c r="B2290" s="45"/>
      <c r="C2290" s="46"/>
      <c r="D2290" s="47"/>
      <c r="E2290" s="47"/>
      <c r="F2290" s="47"/>
      <c r="G2290" s="47"/>
      <c r="H2290" s="47"/>
      <c r="I2290" s="47"/>
      <c r="J2290" s="47"/>
      <c r="K2290" s="47"/>
      <c r="L2290" s="47"/>
      <c r="M2290" s="47"/>
      <c r="N2290" s="47"/>
      <c r="O2290" s="47"/>
      <c r="P2290" s="47"/>
      <c r="Q2290" s="47"/>
      <c r="R2290" s="47"/>
      <c r="S2290" s="47"/>
      <c r="T2290" s="45"/>
      <c r="U2290" s="45"/>
      <c r="V2290" s="45"/>
      <c r="W2290" s="45"/>
      <c r="X2290" s="47"/>
      <c r="Y2290" s="45"/>
      <c r="Z2290" s="45"/>
      <c r="AA2290" s="48"/>
      <c r="AB2290" s="48"/>
      <c r="AC2290" s="47"/>
      <c r="AD2290" s="47"/>
      <c r="AE2290" s="47"/>
    </row>
    <row r="2291" spans="1:31" x14ac:dyDescent="0.35">
      <c r="A2291" s="41"/>
      <c r="B2291" s="41"/>
      <c r="C2291" s="42"/>
      <c r="D2291" s="43"/>
      <c r="E2291" s="43"/>
      <c r="F2291" s="43"/>
      <c r="G2291" s="43"/>
      <c r="H2291" s="43"/>
      <c r="I2291" s="43"/>
      <c r="J2291" s="43"/>
      <c r="K2291" s="43"/>
      <c r="L2291" s="43"/>
      <c r="M2291" s="43"/>
      <c r="N2291" s="43"/>
      <c r="O2291" s="43"/>
      <c r="P2291" s="43"/>
      <c r="Q2291" s="43"/>
      <c r="R2291" s="43"/>
      <c r="S2291" s="43"/>
      <c r="T2291" s="43"/>
      <c r="U2291" s="43"/>
      <c r="V2291" s="41"/>
      <c r="W2291" s="41"/>
      <c r="X2291" s="41"/>
      <c r="Y2291" s="41"/>
      <c r="Z2291" s="41"/>
      <c r="AA2291" s="44"/>
      <c r="AB2291" s="44"/>
      <c r="AC2291" s="43"/>
      <c r="AD2291" s="43"/>
      <c r="AE2291" s="43"/>
    </row>
    <row r="2292" spans="1:31" x14ac:dyDescent="0.35">
      <c r="C2292" s="33"/>
      <c r="D2292" s="34"/>
      <c r="E2292" s="34"/>
      <c r="F2292" s="34"/>
      <c r="G2292" s="34"/>
      <c r="H2292" s="34"/>
      <c r="I2292" s="34"/>
      <c r="J2292" s="34"/>
      <c r="K2292" s="34"/>
      <c r="L2292" s="34"/>
      <c r="M2292" s="34"/>
      <c r="N2292" s="34"/>
      <c r="O2292" s="34"/>
      <c r="AA2292" s="35"/>
      <c r="AB2292" s="35"/>
      <c r="AC2292" s="34"/>
      <c r="AD2292" s="34"/>
      <c r="AE2292" s="34"/>
    </row>
    <row r="2293" spans="1:31" ht="15" thickBot="1" x14ac:dyDescent="0.4">
      <c r="A2293" s="45"/>
      <c r="B2293" s="45"/>
      <c r="C2293" s="46"/>
      <c r="D2293" s="47"/>
      <c r="E2293" s="47"/>
      <c r="F2293" s="47"/>
      <c r="G2293" s="47"/>
      <c r="H2293" s="47"/>
      <c r="I2293" s="47"/>
      <c r="J2293" s="47"/>
      <c r="K2293" s="47"/>
      <c r="L2293" s="47"/>
      <c r="M2293" s="47"/>
      <c r="N2293" s="47"/>
      <c r="O2293" s="47"/>
      <c r="P2293" s="47"/>
      <c r="Q2293" s="47"/>
      <c r="R2293" s="47"/>
      <c r="S2293" s="47"/>
      <c r="T2293" s="45"/>
      <c r="U2293" s="45"/>
      <c r="V2293" s="45"/>
      <c r="W2293" s="45"/>
      <c r="X2293" s="47"/>
      <c r="Y2293" s="45"/>
      <c r="Z2293" s="45"/>
      <c r="AA2293" s="48"/>
      <c r="AB2293" s="48"/>
      <c r="AC2293" s="47"/>
      <c r="AD2293" s="47"/>
      <c r="AE2293" s="47"/>
    </row>
    <row r="2294" spans="1:31" x14ac:dyDescent="0.35">
      <c r="A2294" s="41"/>
      <c r="B2294" s="41"/>
      <c r="C2294" s="42"/>
      <c r="D2294" s="43"/>
      <c r="E2294" s="43"/>
      <c r="F2294" s="43"/>
      <c r="G2294" s="43"/>
      <c r="H2294" s="43"/>
      <c r="I2294" s="43"/>
      <c r="J2294" s="43"/>
      <c r="K2294" s="43"/>
      <c r="L2294" s="43"/>
      <c r="M2294" s="43"/>
      <c r="N2294" s="43"/>
      <c r="O2294" s="43"/>
      <c r="P2294" s="43"/>
      <c r="Q2294" s="43"/>
      <c r="R2294" s="43"/>
      <c r="S2294" s="43"/>
      <c r="T2294" s="43"/>
      <c r="U2294" s="43"/>
      <c r="V2294" s="41"/>
      <c r="W2294" s="41"/>
      <c r="X2294" s="41"/>
      <c r="Y2294" s="41"/>
      <c r="Z2294" s="41"/>
      <c r="AA2294" s="44"/>
      <c r="AB2294" s="44"/>
      <c r="AC2294" s="43"/>
      <c r="AD2294" s="43"/>
      <c r="AE2294" s="43"/>
    </row>
    <row r="2295" spans="1:31" x14ac:dyDescent="0.35">
      <c r="C2295" s="33"/>
      <c r="D2295" s="34"/>
      <c r="E2295" s="34"/>
      <c r="F2295" s="34"/>
      <c r="G2295" s="34"/>
      <c r="H2295" s="34"/>
      <c r="I2295" s="34"/>
      <c r="J2295" s="34"/>
      <c r="K2295" s="34"/>
      <c r="L2295" s="34"/>
      <c r="M2295" s="34"/>
      <c r="N2295" s="34"/>
      <c r="O2295" s="34"/>
      <c r="AA2295" s="35"/>
      <c r="AB2295" s="35"/>
      <c r="AC2295" s="34"/>
      <c r="AD2295" s="34"/>
      <c r="AE2295" s="34"/>
    </row>
    <row r="2296" spans="1:31" ht="15" thickBot="1" x14ac:dyDescent="0.4">
      <c r="A2296" s="45"/>
      <c r="B2296" s="45"/>
      <c r="C2296" s="46"/>
      <c r="D2296" s="47"/>
      <c r="E2296" s="47"/>
      <c r="F2296" s="47"/>
      <c r="G2296" s="47"/>
      <c r="H2296" s="47"/>
      <c r="I2296" s="47"/>
      <c r="J2296" s="47"/>
      <c r="K2296" s="47"/>
      <c r="L2296" s="47"/>
      <c r="M2296" s="47"/>
      <c r="N2296" s="47"/>
      <c r="O2296" s="47"/>
      <c r="P2296" s="47"/>
      <c r="Q2296" s="47"/>
      <c r="R2296" s="47"/>
      <c r="S2296" s="47"/>
      <c r="T2296" s="45"/>
      <c r="U2296" s="45"/>
      <c r="V2296" s="45"/>
      <c r="W2296" s="45"/>
      <c r="X2296" s="47"/>
      <c r="Y2296" s="45"/>
      <c r="Z2296" s="45"/>
      <c r="AA2296" s="48"/>
      <c r="AB2296" s="48"/>
      <c r="AC2296" s="47"/>
      <c r="AD2296" s="47"/>
      <c r="AE2296" s="47"/>
    </row>
    <row r="2297" spans="1:31" x14ac:dyDescent="0.35">
      <c r="A2297" s="41"/>
      <c r="B2297" s="41"/>
      <c r="C2297" s="42"/>
      <c r="D2297" s="43"/>
      <c r="E2297" s="43"/>
      <c r="F2297" s="43"/>
      <c r="G2297" s="43"/>
      <c r="H2297" s="43"/>
      <c r="I2297" s="43"/>
      <c r="J2297" s="43"/>
      <c r="K2297" s="43"/>
      <c r="L2297" s="43"/>
      <c r="M2297" s="43"/>
      <c r="N2297" s="43"/>
      <c r="O2297" s="43"/>
      <c r="P2297" s="43"/>
      <c r="Q2297" s="43"/>
      <c r="R2297" s="43"/>
      <c r="S2297" s="43"/>
      <c r="T2297" s="43"/>
      <c r="U2297" s="43"/>
      <c r="V2297" s="41"/>
      <c r="W2297" s="41"/>
      <c r="X2297" s="41"/>
      <c r="Y2297" s="41"/>
      <c r="Z2297" s="41"/>
      <c r="AA2297" s="44"/>
      <c r="AB2297" s="44"/>
      <c r="AC2297" s="43"/>
      <c r="AD2297" s="43"/>
      <c r="AE2297" s="43"/>
    </row>
    <row r="2298" spans="1:31" x14ac:dyDescent="0.35">
      <c r="C2298" s="33"/>
      <c r="D2298" s="34"/>
      <c r="E2298" s="34"/>
      <c r="F2298" s="34"/>
      <c r="G2298" s="34"/>
      <c r="H2298" s="34"/>
      <c r="I2298" s="34"/>
      <c r="J2298" s="34"/>
      <c r="K2298" s="34"/>
      <c r="L2298" s="34"/>
      <c r="M2298" s="34"/>
      <c r="N2298" s="34"/>
      <c r="O2298" s="34"/>
      <c r="AA2298" s="35"/>
      <c r="AB2298" s="35"/>
      <c r="AC2298" s="34"/>
      <c r="AD2298" s="34"/>
      <c r="AE2298" s="34"/>
    </row>
    <row r="2299" spans="1:31" ht="15" thickBot="1" x14ac:dyDescent="0.4">
      <c r="A2299" s="45"/>
      <c r="B2299" s="45"/>
      <c r="C2299" s="46"/>
      <c r="D2299" s="47"/>
      <c r="E2299" s="47"/>
      <c r="F2299" s="47"/>
      <c r="G2299" s="47"/>
      <c r="H2299" s="47"/>
      <c r="I2299" s="47"/>
      <c r="J2299" s="47"/>
      <c r="K2299" s="47"/>
      <c r="L2299" s="47"/>
      <c r="M2299" s="47"/>
      <c r="N2299" s="47"/>
      <c r="O2299" s="47"/>
      <c r="P2299" s="47"/>
      <c r="Q2299" s="47"/>
      <c r="R2299" s="47"/>
      <c r="S2299" s="47"/>
      <c r="T2299" s="45"/>
      <c r="U2299" s="45"/>
      <c r="V2299" s="45"/>
      <c r="W2299" s="45"/>
      <c r="X2299" s="47"/>
      <c r="Y2299" s="45"/>
      <c r="Z2299" s="45"/>
      <c r="AA2299" s="48"/>
      <c r="AB2299" s="48"/>
      <c r="AC2299" s="47"/>
      <c r="AD2299" s="47"/>
      <c r="AE2299" s="47"/>
    </row>
    <row r="2300" spans="1:31" x14ac:dyDescent="0.35">
      <c r="A2300" s="41"/>
      <c r="B2300" s="41"/>
      <c r="C2300" s="42"/>
      <c r="D2300" s="43"/>
      <c r="E2300" s="43"/>
      <c r="F2300" s="43"/>
      <c r="G2300" s="43"/>
      <c r="H2300" s="43"/>
      <c r="I2300" s="43"/>
      <c r="J2300" s="43"/>
      <c r="K2300" s="43"/>
      <c r="L2300" s="43"/>
      <c r="M2300" s="43"/>
      <c r="N2300" s="43"/>
      <c r="O2300" s="43"/>
      <c r="P2300" s="43"/>
      <c r="Q2300" s="43"/>
      <c r="R2300" s="43"/>
      <c r="S2300" s="43"/>
      <c r="T2300" s="43"/>
      <c r="U2300" s="43"/>
      <c r="V2300" s="41"/>
      <c r="W2300" s="41"/>
      <c r="X2300" s="41"/>
      <c r="Y2300" s="41"/>
      <c r="Z2300" s="41"/>
      <c r="AA2300" s="44"/>
      <c r="AB2300" s="44"/>
      <c r="AC2300" s="43"/>
      <c r="AD2300" s="43"/>
      <c r="AE2300" s="43"/>
    </row>
    <row r="2301" spans="1:31" x14ac:dyDescent="0.35">
      <c r="C2301" s="33"/>
      <c r="D2301" s="34"/>
      <c r="E2301" s="34"/>
      <c r="F2301" s="34"/>
      <c r="G2301" s="34"/>
      <c r="H2301" s="34"/>
      <c r="I2301" s="34"/>
      <c r="J2301" s="34"/>
      <c r="K2301" s="34"/>
      <c r="L2301" s="34"/>
      <c r="M2301" s="34"/>
      <c r="N2301" s="34"/>
      <c r="O2301" s="34"/>
      <c r="AA2301" s="35"/>
      <c r="AB2301" s="35"/>
      <c r="AC2301" s="34"/>
      <c r="AD2301" s="34"/>
      <c r="AE2301" s="34"/>
    </row>
    <row r="2302" spans="1:31" ht="15" thickBot="1" x14ac:dyDescent="0.4">
      <c r="A2302" s="45"/>
      <c r="B2302" s="45"/>
      <c r="C2302" s="46"/>
      <c r="D2302" s="47"/>
      <c r="E2302" s="47"/>
      <c r="F2302" s="47"/>
      <c r="G2302" s="47"/>
      <c r="H2302" s="47"/>
      <c r="I2302" s="47"/>
      <c r="J2302" s="47"/>
      <c r="K2302" s="47"/>
      <c r="L2302" s="47"/>
      <c r="M2302" s="47"/>
      <c r="N2302" s="47"/>
      <c r="O2302" s="47"/>
      <c r="P2302" s="47"/>
      <c r="Q2302" s="47"/>
      <c r="R2302" s="47"/>
      <c r="S2302" s="47"/>
      <c r="T2302" s="45"/>
      <c r="U2302" s="45"/>
      <c r="V2302" s="45"/>
      <c r="W2302" s="45"/>
      <c r="X2302" s="47"/>
      <c r="Y2302" s="45"/>
      <c r="Z2302" s="45"/>
      <c r="AA2302" s="48"/>
      <c r="AB2302" s="48"/>
      <c r="AC2302" s="47"/>
      <c r="AD2302" s="47"/>
      <c r="AE2302" s="47"/>
    </row>
    <row r="2303" spans="1:31" x14ac:dyDescent="0.35">
      <c r="A2303" s="41"/>
      <c r="B2303" s="41"/>
      <c r="C2303" s="42"/>
      <c r="D2303" s="43"/>
      <c r="E2303" s="43"/>
      <c r="F2303" s="43"/>
      <c r="G2303" s="43"/>
      <c r="H2303" s="43"/>
      <c r="I2303" s="43"/>
      <c r="J2303" s="43"/>
      <c r="K2303" s="43"/>
      <c r="L2303" s="43"/>
      <c r="M2303" s="43"/>
      <c r="N2303" s="43"/>
      <c r="O2303" s="43"/>
      <c r="P2303" s="43"/>
      <c r="Q2303" s="43"/>
      <c r="R2303" s="43"/>
      <c r="S2303" s="43"/>
      <c r="T2303" s="43"/>
      <c r="U2303" s="43"/>
      <c r="V2303" s="41"/>
      <c r="W2303" s="41"/>
      <c r="X2303" s="41"/>
      <c r="Y2303" s="41"/>
      <c r="Z2303" s="41"/>
      <c r="AA2303" s="44"/>
      <c r="AB2303" s="44"/>
      <c r="AC2303" s="43"/>
      <c r="AD2303" s="43"/>
      <c r="AE2303" s="43"/>
    </row>
    <row r="2304" spans="1:31" x14ac:dyDescent="0.35">
      <c r="C2304" s="33"/>
      <c r="D2304" s="34"/>
      <c r="E2304" s="34"/>
      <c r="F2304" s="34"/>
      <c r="G2304" s="34"/>
      <c r="H2304" s="34"/>
      <c r="I2304" s="34"/>
      <c r="J2304" s="34"/>
      <c r="K2304" s="34"/>
      <c r="L2304" s="34"/>
      <c r="M2304" s="34"/>
      <c r="N2304" s="34"/>
      <c r="O2304" s="34"/>
      <c r="AA2304" s="35"/>
      <c r="AB2304" s="35"/>
      <c r="AC2304" s="34"/>
      <c r="AD2304" s="34"/>
      <c r="AE2304" s="34"/>
    </row>
    <row r="2305" spans="1:31" ht="15" thickBot="1" x14ac:dyDescent="0.4">
      <c r="A2305" s="45"/>
      <c r="B2305" s="45"/>
      <c r="C2305" s="46"/>
      <c r="D2305" s="47"/>
      <c r="E2305" s="47"/>
      <c r="F2305" s="47"/>
      <c r="G2305" s="47"/>
      <c r="H2305" s="47"/>
      <c r="I2305" s="47"/>
      <c r="J2305" s="47"/>
      <c r="K2305" s="47"/>
      <c r="L2305" s="47"/>
      <c r="M2305" s="47"/>
      <c r="N2305" s="47"/>
      <c r="O2305" s="47"/>
      <c r="P2305" s="47"/>
      <c r="Q2305" s="47"/>
      <c r="R2305" s="47"/>
      <c r="S2305" s="47"/>
      <c r="T2305" s="45"/>
      <c r="U2305" s="45"/>
      <c r="V2305" s="45"/>
      <c r="W2305" s="45"/>
      <c r="X2305" s="47"/>
      <c r="Y2305" s="45"/>
      <c r="Z2305" s="45"/>
      <c r="AA2305" s="48"/>
      <c r="AB2305" s="48"/>
      <c r="AC2305" s="47"/>
      <c r="AD2305" s="47"/>
      <c r="AE2305" s="47"/>
    </row>
    <row r="2306" spans="1:31" x14ac:dyDescent="0.35">
      <c r="A2306" s="41"/>
      <c r="B2306" s="41"/>
      <c r="C2306" s="42"/>
      <c r="D2306" s="43"/>
      <c r="E2306" s="43"/>
      <c r="F2306" s="43"/>
      <c r="G2306" s="43"/>
      <c r="H2306" s="43"/>
      <c r="I2306" s="43"/>
      <c r="J2306" s="43"/>
      <c r="K2306" s="43"/>
      <c r="L2306" s="43"/>
      <c r="M2306" s="43"/>
      <c r="N2306" s="43"/>
      <c r="O2306" s="43"/>
      <c r="P2306" s="43"/>
      <c r="Q2306" s="43"/>
      <c r="R2306" s="43"/>
      <c r="S2306" s="43"/>
      <c r="T2306" s="43"/>
      <c r="U2306" s="43"/>
      <c r="V2306" s="41"/>
      <c r="W2306" s="41"/>
      <c r="X2306" s="41"/>
      <c r="Y2306" s="41"/>
      <c r="Z2306" s="41"/>
      <c r="AA2306" s="44"/>
      <c r="AB2306" s="44"/>
      <c r="AC2306" s="43"/>
      <c r="AD2306" s="43"/>
      <c r="AE2306" s="43"/>
    </row>
    <row r="2307" spans="1:31" x14ac:dyDescent="0.35">
      <c r="C2307" s="33"/>
      <c r="D2307" s="34"/>
      <c r="E2307" s="34"/>
      <c r="F2307" s="34"/>
      <c r="G2307" s="34"/>
      <c r="H2307" s="34"/>
      <c r="I2307" s="34"/>
      <c r="J2307" s="34"/>
      <c r="K2307" s="34"/>
      <c r="L2307" s="34"/>
      <c r="M2307" s="34"/>
      <c r="N2307" s="34"/>
      <c r="O2307" s="34"/>
      <c r="AA2307" s="35"/>
      <c r="AB2307" s="35"/>
      <c r="AC2307" s="34"/>
      <c r="AD2307" s="34"/>
      <c r="AE2307" s="34"/>
    </row>
    <row r="2308" spans="1:31" ht="15" thickBot="1" x14ac:dyDescent="0.4">
      <c r="A2308" s="45"/>
      <c r="B2308" s="45"/>
      <c r="C2308" s="46"/>
      <c r="D2308" s="47"/>
      <c r="E2308" s="47"/>
      <c r="F2308" s="47"/>
      <c r="G2308" s="47"/>
      <c r="H2308" s="47"/>
      <c r="I2308" s="47"/>
      <c r="J2308" s="47"/>
      <c r="K2308" s="47"/>
      <c r="L2308" s="47"/>
      <c r="M2308" s="47"/>
      <c r="N2308" s="47"/>
      <c r="O2308" s="47"/>
      <c r="P2308" s="47"/>
      <c r="Q2308" s="47"/>
      <c r="R2308" s="47"/>
      <c r="S2308" s="47"/>
      <c r="T2308" s="45"/>
      <c r="U2308" s="45"/>
      <c r="V2308" s="45"/>
      <c r="W2308" s="45"/>
      <c r="X2308" s="47"/>
      <c r="Y2308" s="45"/>
      <c r="Z2308" s="45"/>
      <c r="AA2308" s="48"/>
      <c r="AB2308" s="48"/>
      <c r="AC2308" s="47"/>
      <c r="AD2308" s="47"/>
      <c r="AE2308" s="47"/>
    </row>
    <row r="2309" spans="1:31" x14ac:dyDescent="0.35">
      <c r="A2309" s="41"/>
      <c r="B2309" s="41"/>
      <c r="C2309" s="42"/>
      <c r="D2309" s="43"/>
      <c r="E2309" s="43"/>
      <c r="F2309" s="43"/>
      <c r="G2309" s="43"/>
      <c r="H2309" s="43"/>
      <c r="I2309" s="43"/>
      <c r="J2309" s="43"/>
      <c r="K2309" s="43"/>
      <c r="L2309" s="43"/>
      <c r="M2309" s="43"/>
      <c r="N2309" s="43"/>
      <c r="O2309" s="43"/>
      <c r="P2309" s="43"/>
      <c r="Q2309" s="43"/>
      <c r="R2309" s="43"/>
      <c r="S2309" s="43"/>
      <c r="T2309" s="43"/>
      <c r="U2309" s="43"/>
      <c r="V2309" s="41"/>
      <c r="W2309" s="41"/>
      <c r="X2309" s="41"/>
      <c r="Y2309" s="41"/>
      <c r="Z2309" s="41"/>
      <c r="AA2309" s="44"/>
      <c r="AB2309" s="44"/>
      <c r="AC2309" s="43"/>
      <c r="AD2309" s="43"/>
      <c r="AE2309" s="43"/>
    </row>
    <row r="2310" spans="1:31" x14ac:dyDescent="0.35">
      <c r="C2310" s="33"/>
      <c r="D2310" s="34"/>
      <c r="E2310" s="34"/>
      <c r="F2310" s="34"/>
      <c r="G2310" s="34"/>
      <c r="H2310" s="34"/>
      <c r="I2310" s="34"/>
      <c r="J2310" s="34"/>
      <c r="K2310" s="34"/>
      <c r="L2310" s="34"/>
      <c r="M2310" s="34"/>
      <c r="N2310" s="34"/>
      <c r="O2310" s="34"/>
      <c r="AA2310" s="35"/>
      <c r="AB2310" s="35"/>
      <c r="AC2310" s="34"/>
      <c r="AD2310" s="34"/>
      <c r="AE2310" s="34"/>
    </row>
    <row r="2311" spans="1:31" ht="15" thickBot="1" x14ac:dyDescent="0.4">
      <c r="A2311" s="45"/>
      <c r="B2311" s="45"/>
      <c r="C2311" s="46"/>
      <c r="D2311" s="47"/>
      <c r="E2311" s="47"/>
      <c r="F2311" s="47"/>
      <c r="G2311" s="47"/>
      <c r="H2311" s="47"/>
      <c r="I2311" s="47"/>
      <c r="J2311" s="47"/>
      <c r="K2311" s="47"/>
      <c r="L2311" s="47"/>
      <c r="M2311" s="47"/>
      <c r="N2311" s="47"/>
      <c r="O2311" s="47"/>
      <c r="P2311" s="47"/>
      <c r="Q2311" s="47"/>
      <c r="R2311" s="47"/>
      <c r="S2311" s="47"/>
      <c r="T2311" s="45"/>
      <c r="U2311" s="45"/>
      <c r="V2311" s="45"/>
      <c r="W2311" s="45"/>
      <c r="X2311" s="47"/>
      <c r="Y2311" s="45"/>
      <c r="Z2311" s="45"/>
      <c r="AA2311" s="48"/>
      <c r="AB2311" s="48"/>
      <c r="AC2311" s="47"/>
      <c r="AD2311" s="47"/>
      <c r="AE2311" s="47"/>
    </row>
    <row r="2312" spans="1:31" x14ac:dyDescent="0.35">
      <c r="A2312" s="41"/>
      <c r="B2312" s="41"/>
      <c r="C2312" s="42"/>
      <c r="D2312" s="43"/>
      <c r="E2312" s="43"/>
      <c r="F2312" s="43"/>
      <c r="G2312" s="43"/>
      <c r="H2312" s="43"/>
      <c r="I2312" s="43"/>
      <c r="J2312" s="43"/>
      <c r="K2312" s="43"/>
      <c r="L2312" s="43"/>
      <c r="M2312" s="43"/>
      <c r="N2312" s="43"/>
      <c r="O2312" s="43"/>
      <c r="P2312" s="43"/>
      <c r="Q2312" s="43"/>
      <c r="R2312" s="43"/>
      <c r="S2312" s="43"/>
      <c r="T2312" s="43"/>
      <c r="U2312" s="43"/>
      <c r="V2312" s="41"/>
      <c r="W2312" s="41"/>
      <c r="X2312" s="41"/>
      <c r="Y2312" s="41"/>
      <c r="Z2312" s="41"/>
      <c r="AA2312" s="44"/>
      <c r="AB2312" s="44"/>
      <c r="AC2312" s="43"/>
      <c r="AD2312" s="43"/>
      <c r="AE2312" s="43"/>
    </row>
    <row r="2313" spans="1:31" x14ac:dyDescent="0.35">
      <c r="C2313" s="33"/>
      <c r="D2313" s="34"/>
      <c r="E2313" s="34"/>
      <c r="F2313" s="34"/>
      <c r="G2313" s="34"/>
      <c r="H2313" s="34"/>
      <c r="I2313" s="34"/>
      <c r="J2313" s="34"/>
      <c r="K2313" s="34"/>
      <c r="L2313" s="34"/>
      <c r="M2313" s="34"/>
      <c r="N2313" s="34"/>
      <c r="O2313" s="34"/>
      <c r="AA2313" s="35"/>
      <c r="AB2313" s="35"/>
      <c r="AC2313" s="34"/>
      <c r="AD2313" s="34"/>
      <c r="AE2313" s="34"/>
    </row>
    <row r="2314" spans="1:31" ht="15" thickBot="1" x14ac:dyDescent="0.4">
      <c r="A2314" s="45"/>
      <c r="B2314" s="45"/>
      <c r="C2314" s="46"/>
      <c r="D2314" s="47"/>
      <c r="E2314" s="47"/>
      <c r="F2314" s="47"/>
      <c r="G2314" s="47"/>
      <c r="H2314" s="47"/>
      <c r="I2314" s="47"/>
      <c r="J2314" s="47"/>
      <c r="K2314" s="47"/>
      <c r="L2314" s="47"/>
      <c r="M2314" s="47"/>
      <c r="N2314" s="47"/>
      <c r="O2314" s="47"/>
      <c r="P2314" s="47"/>
      <c r="Q2314" s="47"/>
      <c r="R2314" s="47"/>
      <c r="S2314" s="47"/>
      <c r="T2314" s="45"/>
      <c r="U2314" s="45"/>
      <c r="V2314" s="45"/>
      <c r="W2314" s="45"/>
      <c r="X2314" s="47"/>
      <c r="Y2314" s="45"/>
      <c r="Z2314" s="45"/>
      <c r="AA2314" s="48"/>
      <c r="AB2314" s="48"/>
      <c r="AC2314" s="47"/>
      <c r="AD2314" s="47"/>
      <c r="AE2314" s="47"/>
    </row>
    <row r="2315" spans="1:31" x14ac:dyDescent="0.35">
      <c r="A2315" s="41"/>
      <c r="B2315" s="41"/>
      <c r="C2315" s="42"/>
      <c r="D2315" s="43"/>
      <c r="E2315" s="43"/>
      <c r="F2315" s="43"/>
      <c r="G2315" s="43"/>
      <c r="H2315" s="43"/>
      <c r="I2315" s="43"/>
      <c r="J2315" s="43"/>
      <c r="K2315" s="43"/>
      <c r="L2315" s="43"/>
      <c r="M2315" s="43"/>
      <c r="N2315" s="43"/>
      <c r="O2315" s="43"/>
      <c r="P2315" s="43"/>
      <c r="Q2315" s="43"/>
      <c r="R2315" s="43"/>
      <c r="S2315" s="43"/>
      <c r="T2315" s="43"/>
      <c r="U2315" s="43"/>
      <c r="V2315" s="41"/>
      <c r="W2315" s="41"/>
      <c r="X2315" s="41"/>
      <c r="Y2315" s="41"/>
      <c r="Z2315" s="41"/>
      <c r="AA2315" s="44"/>
      <c r="AB2315" s="44"/>
      <c r="AC2315" s="43"/>
      <c r="AD2315" s="43"/>
      <c r="AE2315" s="43"/>
    </row>
    <row r="2316" spans="1:31" x14ac:dyDescent="0.35">
      <c r="C2316" s="33"/>
      <c r="D2316" s="34"/>
      <c r="E2316" s="34"/>
      <c r="F2316" s="34"/>
      <c r="G2316" s="34"/>
      <c r="H2316" s="34"/>
      <c r="I2316" s="34"/>
      <c r="J2316" s="34"/>
      <c r="K2316" s="34"/>
      <c r="L2316" s="34"/>
      <c r="M2316" s="34"/>
      <c r="N2316" s="34"/>
      <c r="O2316" s="34"/>
      <c r="AA2316" s="35"/>
      <c r="AB2316" s="35"/>
      <c r="AC2316" s="34"/>
      <c r="AD2316" s="34"/>
      <c r="AE2316" s="34"/>
    </row>
    <row r="2317" spans="1:31" ht="15" thickBot="1" x14ac:dyDescent="0.4">
      <c r="A2317" s="45"/>
      <c r="B2317" s="45"/>
      <c r="C2317" s="46"/>
      <c r="D2317" s="47"/>
      <c r="E2317" s="47"/>
      <c r="F2317" s="47"/>
      <c r="G2317" s="47"/>
      <c r="H2317" s="47"/>
      <c r="I2317" s="47"/>
      <c r="J2317" s="47"/>
      <c r="K2317" s="47"/>
      <c r="L2317" s="47"/>
      <c r="M2317" s="47"/>
      <c r="N2317" s="47"/>
      <c r="O2317" s="47"/>
      <c r="P2317" s="47"/>
      <c r="Q2317" s="47"/>
      <c r="R2317" s="47"/>
      <c r="S2317" s="47"/>
      <c r="T2317" s="45"/>
      <c r="U2317" s="45"/>
      <c r="V2317" s="45"/>
      <c r="W2317" s="45"/>
      <c r="X2317" s="47"/>
      <c r="Y2317" s="45"/>
      <c r="Z2317" s="45"/>
      <c r="AA2317" s="48"/>
      <c r="AB2317" s="48"/>
      <c r="AC2317" s="47"/>
      <c r="AD2317" s="47"/>
      <c r="AE2317" s="47"/>
    </row>
    <row r="2318" spans="1:31" x14ac:dyDescent="0.35">
      <c r="A2318" s="41"/>
      <c r="B2318" s="41"/>
      <c r="C2318" s="42"/>
      <c r="D2318" s="43"/>
      <c r="E2318" s="43"/>
      <c r="F2318" s="43"/>
      <c r="G2318" s="43"/>
      <c r="H2318" s="43"/>
      <c r="I2318" s="43"/>
      <c r="J2318" s="43"/>
      <c r="K2318" s="43"/>
      <c r="L2318" s="43"/>
      <c r="M2318" s="43"/>
      <c r="N2318" s="43"/>
      <c r="O2318" s="43"/>
      <c r="P2318" s="43"/>
      <c r="Q2318" s="43"/>
      <c r="R2318" s="43"/>
      <c r="S2318" s="43"/>
      <c r="T2318" s="43"/>
      <c r="U2318" s="43"/>
      <c r="V2318" s="41"/>
      <c r="W2318" s="41"/>
      <c r="X2318" s="41"/>
      <c r="Y2318" s="41"/>
      <c r="Z2318" s="41"/>
      <c r="AA2318" s="44"/>
      <c r="AB2318" s="44"/>
      <c r="AC2318" s="43"/>
      <c r="AD2318" s="43"/>
      <c r="AE2318" s="43"/>
    </row>
    <row r="2319" spans="1:31" x14ac:dyDescent="0.35">
      <c r="C2319" s="33"/>
      <c r="D2319" s="34"/>
      <c r="E2319" s="34"/>
      <c r="F2319" s="34"/>
      <c r="G2319" s="34"/>
      <c r="H2319" s="34"/>
      <c r="I2319" s="34"/>
      <c r="J2319" s="34"/>
      <c r="K2319" s="34"/>
      <c r="L2319" s="34"/>
      <c r="M2319" s="34"/>
      <c r="N2319" s="34"/>
      <c r="O2319" s="34"/>
      <c r="AA2319" s="35"/>
      <c r="AB2319" s="35"/>
      <c r="AC2319" s="34"/>
      <c r="AD2319" s="34"/>
      <c r="AE2319" s="34"/>
    </row>
    <row r="2320" spans="1:31" ht="15" thickBot="1" x14ac:dyDescent="0.4">
      <c r="A2320" s="45"/>
      <c r="B2320" s="45"/>
      <c r="C2320" s="46"/>
      <c r="D2320" s="47"/>
      <c r="E2320" s="47"/>
      <c r="F2320" s="47"/>
      <c r="G2320" s="47"/>
      <c r="H2320" s="47"/>
      <c r="I2320" s="47"/>
      <c r="J2320" s="47"/>
      <c r="K2320" s="47"/>
      <c r="L2320" s="47"/>
      <c r="M2320" s="47"/>
      <c r="N2320" s="47"/>
      <c r="O2320" s="47"/>
      <c r="P2320" s="47"/>
      <c r="Q2320" s="47"/>
      <c r="R2320" s="47"/>
      <c r="S2320" s="47"/>
      <c r="T2320" s="45"/>
      <c r="U2320" s="45"/>
      <c r="V2320" s="45"/>
      <c r="W2320" s="45"/>
      <c r="X2320" s="47"/>
      <c r="Y2320" s="45"/>
      <c r="Z2320" s="45"/>
      <c r="AA2320" s="48"/>
      <c r="AB2320" s="48"/>
      <c r="AC2320" s="47"/>
      <c r="AD2320" s="47"/>
      <c r="AE2320" s="47"/>
    </row>
    <row r="2321" spans="1:31" x14ac:dyDescent="0.35">
      <c r="A2321" s="41"/>
      <c r="B2321" s="41"/>
      <c r="C2321" s="42"/>
      <c r="D2321" s="43"/>
      <c r="E2321" s="43"/>
      <c r="F2321" s="43"/>
      <c r="G2321" s="43"/>
      <c r="H2321" s="43"/>
      <c r="I2321" s="43"/>
      <c r="J2321" s="43"/>
      <c r="K2321" s="43"/>
      <c r="L2321" s="43"/>
      <c r="M2321" s="43"/>
      <c r="N2321" s="43"/>
      <c r="O2321" s="43"/>
      <c r="P2321" s="43"/>
      <c r="Q2321" s="43"/>
      <c r="R2321" s="43"/>
      <c r="S2321" s="43"/>
      <c r="T2321" s="43"/>
      <c r="U2321" s="43"/>
      <c r="V2321" s="41"/>
      <c r="W2321" s="41"/>
      <c r="X2321" s="41"/>
      <c r="Y2321" s="41"/>
      <c r="Z2321" s="41"/>
      <c r="AA2321" s="44"/>
      <c r="AB2321" s="44"/>
      <c r="AC2321" s="43"/>
      <c r="AD2321" s="43"/>
      <c r="AE2321" s="43"/>
    </row>
    <row r="2322" spans="1:31" x14ac:dyDescent="0.35">
      <c r="C2322" s="33"/>
      <c r="D2322" s="34"/>
      <c r="E2322" s="34"/>
      <c r="F2322" s="34"/>
      <c r="G2322" s="34"/>
      <c r="H2322" s="34"/>
      <c r="I2322" s="34"/>
      <c r="J2322" s="34"/>
      <c r="K2322" s="34"/>
      <c r="L2322" s="34"/>
      <c r="M2322" s="34"/>
      <c r="N2322" s="34"/>
      <c r="O2322" s="34"/>
      <c r="AA2322" s="35"/>
      <c r="AB2322" s="35"/>
      <c r="AC2322" s="34"/>
      <c r="AD2322" s="34"/>
      <c r="AE2322" s="34"/>
    </row>
    <row r="2323" spans="1:31" ht="15" thickBot="1" x14ac:dyDescent="0.4">
      <c r="A2323" s="45"/>
      <c r="B2323" s="45"/>
      <c r="C2323" s="46"/>
      <c r="D2323" s="47"/>
      <c r="E2323" s="47"/>
      <c r="F2323" s="47"/>
      <c r="G2323" s="47"/>
      <c r="H2323" s="47"/>
      <c r="I2323" s="47"/>
      <c r="J2323" s="47"/>
      <c r="K2323" s="47"/>
      <c r="L2323" s="47"/>
      <c r="M2323" s="47"/>
      <c r="N2323" s="47"/>
      <c r="O2323" s="47"/>
      <c r="P2323" s="47"/>
      <c r="Q2323" s="47"/>
      <c r="R2323" s="47"/>
      <c r="S2323" s="47"/>
      <c r="T2323" s="45"/>
      <c r="U2323" s="45"/>
      <c r="V2323" s="45"/>
      <c r="W2323" s="45"/>
      <c r="X2323" s="47"/>
      <c r="Y2323" s="45"/>
      <c r="Z2323" s="45"/>
      <c r="AA2323" s="48"/>
      <c r="AB2323" s="48"/>
      <c r="AC2323" s="47"/>
      <c r="AD2323" s="47"/>
      <c r="AE2323" s="47"/>
    </row>
    <row r="2324" spans="1:31" x14ac:dyDescent="0.35">
      <c r="A2324" s="41"/>
      <c r="B2324" s="41"/>
      <c r="C2324" s="42"/>
      <c r="D2324" s="43"/>
      <c r="E2324" s="43"/>
      <c r="F2324" s="43"/>
      <c r="G2324" s="43"/>
      <c r="H2324" s="43"/>
      <c r="I2324" s="43"/>
      <c r="J2324" s="43"/>
      <c r="K2324" s="43"/>
      <c r="L2324" s="43"/>
      <c r="M2324" s="43"/>
      <c r="N2324" s="43"/>
      <c r="O2324" s="43"/>
      <c r="P2324" s="43"/>
      <c r="Q2324" s="43"/>
      <c r="R2324" s="43"/>
      <c r="S2324" s="43"/>
      <c r="T2324" s="43"/>
      <c r="U2324" s="43"/>
      <c r="V2324" s="41"/>
      <c r="W2324" s="41"/>
      <c r="X2324" s="41"/>
      <c r="Y2324" s="41"/>
      <c r="Z2324" s="41"/>
      <c r="AA2324" s="44"/>
      <c r="AB2324" s="44"/>
      <c r="AC2324" s="43"/>
      <c r="AD2324" s="43"/>
      <c r="AE2324" s="43"/>
    </row>
    <row r="2325" spans="1:31" x14ac:dyDescent="0.35">
      <c r="C2325" s="33"/>
      <c r="D2325" s="34"/>
      <c r="E2325" s="34"/>
      <c r="F2325" s="34"/>
      <c r="G2325" s="34"/>
      <c r="H2325" s="34"/>
      <c r="I2325" s="34"/>
      <c r="J2325" s="34"/>
      <c r="K2325" s="34"/>
      <c r="L2325" s="34"/>
      <c r="M2325" s="34"/>
      <c r="N2325" s="34"/>
      <c r="O2325" s="34"/>
      <c r="AA2325" s="35"/>
      <c r="AB2325" s="35"/>
      <c r="AC2325" s="34"/>
      <c r="AD2325" s="34"/>
      <c r="AE2325" s="34"/>
    </row>
    <row r="2326" spans="1:31" ht="15" thickBot="1" x14ac:dyDescent="0.4">
      <c r="A2326" s="45"/>
      <c r="B2326" s="45"/>
      <c r="C2326" s="46"/>
      <c r="D2326" s="47"/>
      <c r="E2326" s="47"/>
      <c r="F2326" s="47"/>
      <c r="G2326" s="47"/>
      <c r="H2326" s="47"/>
      <c r="I2326" s="47"/>
      <c r="J2326" s="47"/>
      <c r="K2326" s="47"/>
      <c r="L2326" s="47"/>
      <c r="M2326" s="47"/>
      <c r="N2326" s="47"/>
      <c r="O2326" s="47"/>
      <c r="P2326" s="47"/>
      <c r="Q2326" s="47"/>
      <c r="R2326" s="47"/>
      <c r="S2326" s="47"/>
      <c r="T2326" s="45"/>
      <c r="U2326" s="45"/>
      <c r="V2326" s="45"/>
      <c r="W2326" s="45"/>
      <c r="X2326" s="47"/>
      <c r="Y2326" s="45"/>
      <c r="Z2326" s="45"/>
      <c r="AA2326" s="48"/>
      <c r="AB2326" s="48"/>
      <c r="AC2326" s="47"/>
      <c r="AD2326" s="47"/>
      <c r="AE2326" s="47"/>
    </row>
    <row r="2327" spans="1:31" x14ac:dyDescent="0.35">
      <c r="A2327" s="41"/>
      <c r="B2327" s="41"/>
      <c r="C2327" s="42"/>
      <c r="D2327" s="43"/>
      <c r="E2327" s="43"/>
      <c r="F2327" s="43"/>
      <c r="G2327" s="43"/>
      <c r="H2327" s="43"/>
      <c r="I2327" s="43"/>
      <c r="J2327" s="43"/>
      <c r="K2327" s="43"/>
      <c r="L2327" s="43"/>
      <c r="M2327" s="43"/>
      <c r="N2327" s="43"/>
      <c r="O2327" s="43"/>
      <c r="P2327" s="43"/>
      <c r="Q2327" s="43"/>
      <c r="R2327" s="43"/>
      <c r="S2327" s="43"/>
      <c r="T2327" s="43"/>
      <c r="U2327" s="43"/>
      <c r="V2327" s="41"/>
      <c r="W2327" s="41"/>
      <c r="X2327" s="41"/>
      <c r="Y2327" s="41"/>
      <c r="Z2327" s="41"/>
      <c r="AA2327" s="44"/>
      <c r="AB2327" s="44"/>
      <c r="AC2327" s="43"/>
      <c r="AD2327" s="43"/>
      <c r="AE2327" s="43"/>
    </row>
    <row r="2328" spans="1:31" x14ac:dyDescent="0.35">
      <c r="C2328" s="33"/>
      <c r="D2328" s="34"/>
      <c r="E2328" s="34"/>
      <c r="F2328" s="34"/>
      <c r="G2328" s="34"/>
      <c r="H2328" s="34"/>
      <c r="I2328" s="34"/>
      <c r="J2328" s="34"/>
      <c r="K2328" s="34"/>
      <c r="L2328" s="34"/>
      <c r="M2328" s="34"/>
      <c r="N2328" s="34"/>
      <c r="O2328" s="34"/>
      <c r="AA2328" s="35"/>
      <c r="AB2328" s="35"/>
      <c r="AC2328" s="34"/>
      <c r="AD2328" s="34"/>
      <c r="AE2328" s="34"/>
    </row>
    <row r="2329" spans="1:31" ht="15" thickBot="1" x14ac:dyDescent="0.4">
      <c r="A2329" s="45"/>
      <c r="B2329" s="45"/>
      <c r="C2329" s="46"/>
      <c r="D2329" s="47"/>
      <c r="E2329" s="47"/>
      <c r="F2329" s="47"/>
      <c r="G2329" s="47"/>
      <c r="H2329" s="47"/>
      <c r="I2329" s="47"/>
      <c r="J2329" s="47"/>
      <c r="K2329" s="47"/>
      <c r="L2329" s="47"/>
      <c r="M2329" s="47"/>
      <c r="N2329" s="47"/>
      <c r="O2329" s="47"/>
      <c r="P2329" s="47"/>
      <c r="Q2329" s="47"/>
      <c r="R2329" s="47"/>
      <c r="S2329" s="47"/>
      <c r="T2329" s="45"/>
      <c r="U2329" s="45"/>
      <c r="V2329" s="45"/>
      <c r="W2329" s="45"/>
      <c r="X2329" s="47"/>
      <c r="Y2329" s="45"/>
      <c r="Z2329" s="45"/>
      <c r="AA2329" s="48"/>
      <c r="AB2329" s="48"/>
      <c r="AC2329" s="47"/>
      <c r="AD2329" s="47"/>
      <c r="AE2329" s="47"/>
    </row>
    <row r="2330" spans="1:31" x14ac:dyDescent="0.35">
      <c r="A2330" s="41"/>
      <c r="B2330" s="41"/>
      <c r="C2330" s="42"/>
      <c r="D2330" s="43"/>
      <c r="E2330" s="43"/>
      <c r="F2330" s="43"/>
      <c r="G2330" s="43"/>
      <c r="H2330" s="43"/>
      <c r="I2330" s="43"/>
      <c r="J2330" s="43"/>
      <c r="K2330" s="43"/>
      <c r="L2330" s="43"/>
      <c r="M2330" s="43"/>
      <c r="N2330" s="43"/>
      <c r="O2330" s="43"/>
      <c r="P2330" s="43"/>
      <c r="Q2330" s="43"/>
      <c r="R2330" s="43"/>
      <c r="S2330" s="43"/>
      <c r="T2330" s="43"/>
      <c r="U2330" s="43"/>
      <c r="V2330" s="41"/>
      <c r="W2330" s="41"/>
      <c r="X2330" s="41"/>
      <c r="Y2330" s="41"/>
      <c r="Z2330" s="41"/>
      <c r="AA2330" s="44"/>
      <c r="AB2330" s="44"/>
      <c r="AC2330" s="43"/>
      <c r="AD2330" s="43"/>
      <c r="AE2330" s="43"/>
    </row>
    <row r="2331" spans="1:31" x14ac:dyDescent="0.35">
      <c r="C2331" s="33"/>
      <c r="D2331" s="34"/>
      <c r="E2331" s="34"/>
      <c r="F2331" s="34"/>
      <c r="G2331" s="34"/>
      <c r="H2331" s="34"/>
      <c r="I2331" s="34"/>
      <c r="J2331" s="34"/>
      <c r="K2331" s="34"/>
      <c r="L2331" s="34"/>
      <c r="M2331" s="34"/>
      <c r="N2331" s="34"/>
      <c r="O2331" s="34"/>
      <c r="AA2331" s="35"/>
      <c r="AB2331" s="35"/>
      <c r="AC2331" s="34"/>
      <c r="AD2331" s="34"/>
      <c r="AE2331" s="34"/>
    </row>
    <row r="2332" spans="1:31" ht="15" thickBot="1" x14ac:dyDescent="0.4">
      <c r="A2332" s="45"/>
      <c r="B2332" s="45"/>
      <c r="C2332" s="46"/>
      <c r="D2332" s="47"/>
      <c r="E2332" s="47"/>
      <c r="F2332" s="47"/>
      <c r="G2332" s="47"/>
      <c r="H2332" s="47"/>
      <c r="I2332" s="47"/>
      <c r="J2332" s="47"/>
      <c r="K2332" s="47"/>
      <c r="L2332" s="47"/>
      <c r="M2332" s="47"/>
      <c r="N2332" s="47"/>
      <c r="O2332" s="47"/>
      <c r="P2332" s="47"/>
      <c r="Q2332" s="47"/>
      <c r="R2332" s="47"/>
      <c r="S2332" s="47"/>
      <c r="T2332" s="45"/>
      <c r="U2332" s="45"/>
      <c r="V2332" s="45"/>
      <c r="W2332" s="45"/>
      <c r="X2332" s="47"/>
      <c r="Y2332" s="45"/>
      <c r="Z2332" s="45"/>
      <c r="AA2332" s="48"/>
      <c r="AB2332" s="48"/>
      <c r="AC2332" s="47"/>
      <c r="AD2332" s="47"/>
      <c r="AE2332" s="47"/>
    </row>
    <row r="2333" spans="1:31" x14ac:dyDescent="0.35">
      <c r="A2333" s="41"/>
      <c r="B2333" s="41"/>
      <c r="C2333" s="42"/>
      <c r="D2333" s="43"/>
      <c r="E2333" s="43"/>
      <c r="F2333" s="43"/>
      <c r="G2333" s="43"/>
      <c r="H2333" s="43"/>
      <c r="I2333" s="43"/>
      <c r="J2333" s="43"/>
      <c r="K2333" s="43"/>
      <c r="L2333" s="43"/>
      <c r="M2333" s="43"/>
      <c r="N2333" s="43"/>
      <c r="O2333" s="43"/>
      <c r="P2333" s="43"/>
      <c r="Q2333" s="43"/>
      <c r="R2333" s="43"/>
      <c r="S2333" s="43"/>
      <c r="T2333" s="43"/>
      <c r="U2333" s="43"/>
      <c r="V2333" s="41"/>
      <c r="W2333" s="41"/>
      <c r="X2333" s="41"/>
      <c r="Y2333" s="41"/>
      <c r="Z2333" s="41"/>
      <c r="AA2333" s="44"/>
      <c r="AB2333" s="44"/>
      <c r="AC2333" s="43"/>
      <c r="AD2333" s="43"/>
      <c r="AE2333" s="43"/>
    </row>
    <row r="2334" spans="1:31" x14ac:dyDescent="0.35">
      <c r="C2334" s="33"/>
      <c r="D2334" s="34"/>
      <c r="E2334" s="34"/>
      <c r="F2334" s="34"/>
      <c r="G2334" s="34"/>
      <c r="H2334" s="34"/>
      <c r="I2334" s="34"/>
      <c r="J2334" s="34"/>
      <c r="K2334" s="34"/>
      <c r="L2334" s="34"/>
      <c r="M2334" s="34"/>
      <c r="N2334" s="34"/>
      <c r="O2334" s="34"/>
      <c r="AA2334" s="35"/>
      <c r="AB2334" s="35"/>
      <c r="AC2334" s="34"/>
      <c r="AD2334" s="34"/>
      <c r="AE2334" s="34"/>
    </row>
    <row r="2335" spans="1:31" ht="15" thickBot="1" x14ac:dyDescent="0.4">
      <c r="A2335" s="45"/>
      <c r="B2335" s="45"/>
      <c r="C2335" s="46"/>
      <c r="D2335" s="47"/>
      <c r="E2335" s="47"/>
      <c r="F2335" s="47"/>
      <c r="G2335" s="47"/>
      <c r="H2335" s="47"/>
      <c r="I2335" s="47"/>
      <c r="J2335" s="47"/>
      <c r="K2335" s="47"/>
      <c r="L2335" s="47"/>
      <c r="M2335" s="47"/>
      <c r="N2335" s="47"/>
      <c r="O2335" s="47"/>
      <c r="P2335" s="47"/>
      <c r="Q2335" s="47"/>
      <c r="R2335" s="47"/>
      <c r="S2335" s="47"/>
      <c r="T2335" s="45"/>
      <c r="U2335" s="45"/>
      <c r="V2335" s="45"/>
      <c r="W2335" s="45"/>
      <c r="X2335" s="47"/>
      <c r="Y2335" s="45"/>
      <c r="Z2335" s="45"/>
      <c r="AA2335" s="48"/>
      <c r="AB2335" s="48"/>
      <c r="AC2335" s="47"/>
      <c r="AD2335" s="47"/>
      <c r="AE2335" s="47"/>
    </row>
    <row r="2336" spans="1:31" x14ac:dyDescent="0.35">
      <c r="A2336" s="41"/>
      <c r="B2336" s="41"/>
      <c r="C2336" s="42"/>
      <c r="D2336" s="43"/>
      <c r="E2336" s="43"/>
      <c r="F2336" s="43"/>
      <c r="G2336" s="43"/>
      <c r="H2336" s="43"/>
      <c r="I2336" s="43"/>
      <c r="J2336" s="43"/>
      <c r="K2336" s="43"/>
      <c r="L2336" s="43"/>
      <c r="M2336" s="43"/>
      <c r="N2336" s="43"/>
      <c r="O2336" s="43"/>
      <c r="P2336" s="43"/>
      <c r="Q2336" s="43"/>
      <c r="R2336" s="43"/>
      <c r="S2336" s="43"/>
      <c r="T2336" s="43"/>
      <c r="U2336" s="43"/>
      <c r="V2336" s="41"/>
      <c r="W2336" s="41"/>
      <c r="X2336" s="41"/>
      <c r="Y2336" s="41"/>
      <c r="Z2336" s="41"/>
      <c r="AA2336" s="44"/>
      <c r="AB2336" s="44"/>
      <c r="AC2336" s="43"/>
      <c r="AD2336" s="43"/>
      <c r="AE2336" s="43"/>
    </row>
    <row r="2337" spans="1:31" x14ac:dyDescent="0.35">
      <c r="C2337" s="33"/>
      <c r="D2337" s="34"/>
      <c r="E2337" s="34"/>
      <c r="F2337" s="34"/>
      <c r="G2337" s="34"/>
      <c r="H2337" s="34"/>
      <c r="I2337" s="34"/>
      <c r="J2337" s="34"/>
      <c r="K2337" s="34"/>
      <c r="L2337" s="34"/>
      <c r="M2337" s="34"/>
      <c r="N2337" s="34"/>
      <c r="O2337" s="34"/>
      <c r="AA2337" s="35"/>
      <c r="AB2337" s="35"/>
      <c r="AC2337" s="34"/>
      <c r="AD2337" s="34"/>
      <c r="AE2337" s="34"/>
    </row>
    <row r="2338" spans="1:31" ht="15" thickBot="1" x14ac:dyDescent="0.4">
      <c r="A2338" s="45"/>
      <c r="B2338" s="45"/>
      <c r="C2338" s="46"/>
      <c r="D2338" s="47"/>
      <c r="E2338" s="47"/>
      <c r="F2338" s="47"/>
      <c r="G2338" s="47"/>
      <c r="H2338" s="47"/>
      <c r="I2338" s="47"/>
      <c r="J2338" s="47"/>
      <c r="K2338" s="47"/>
      <c r="L2338" s="47"/>
      <c r="M2338" s="47"/>
      <c r="N2338" s="47"/>
      <c r="O2338" s="47"/>
      <c r="P2338" s="47"/>
      <c r="Q2338" s="47"/>
      <c r="R2338" s="47"/>
      <c r="S2338" s="47"/>
      <c r="T2338" s="45"/>
      <c r="U2338" s="45"/>
      <c r="V2338" s="45"/>
      <c r="W2338" s="45"/>
      <c r="X2338" s="47"/>
      <c r="Y2338" s="45"/>
      <c r="Z2338" s="45"/>
      <c r="AA2338" s="48"/>
      <c r="AB2338" s="48"/>
      <c r="AC2338" s="47"/>
      <c r="AD2338" s="47"/>
      <c r="AE2338" s="47"/>
    </row>
    <row r="2339" spans="1:31" x14ac:dyDescent="0.35">
      <c r="A2339" s="41"/>
      <c r="B2339" s="41"/>
      <c r="C2339" s="42"/>
      <c r="D2339" s="43"/>
      <c r="E2339" s="43"/>
      <c r="F2339" s="43"/>
      <c r="G2339" s="43"/>
      <c r="H2339" s="43"/>
      <c r="I2339" s="43"/>
      <c r="J2339" s="43"/>
      <c r="K2339" s="43"/>
      <c r="L2339" s="43"/>
      <c r="M2339" s="43"/>
      <c r="N2339" s="43"/>
      <c r="O2339" s="43"/>
      <c r="P2339" s="43"/>
      <c r="Q2339" s="43"/>
      <c r="R2339" s="43"/>
      <c r="S2339" s="43"/>
      <c r="T2339" s="43"/>
      <c r="U2339" s="43"/>
      <c r="V2339" s="41"/>
      <c r="W2339" s="41"/>
      <c r="X2339" s="41"/>
      <c r="Y2339" s="41"/>
      <c r="Z2339" s="41"/>
      <c r="AA2339" s="44"/>
      <c r="AB2339" s="44"/>
      <c r="AC2339" s="43"/>
      <c r="AD2339" s="43"/>
      <c r="AE2339" s="43"/>
    </row>
    <row r="2340" spans="1:31" x14ac:dyDescent="0.35">
      <c r="C2340" s="33"/>
      <c r="D2340" s="34"/>
      <c r="E2340" s="34"/>
      <c r="F2340" s="34"/>
      <c r="G2340" s="34"/>
      <c r="H2340" s="34"/>
      <c r="I2340" s="34"/>
      <c r="J2340" s="34"/>
      <c r="K2340" s="34"/>
      <c r="L2340" s="34"/>
      <c r="M2340" s="34"/>
      <c r="N2340" s="34"/>
      <c r="O2340" s="34"/>
      <c r="AA2340" s="35"/>
      <c r="AB2340" s="35"/>
      <c r="AC2340" s="34"/>
      <c r="AD2340" s="34"/>
      <c r="AE2340" s="34"/>
    </row>
    <row r="2341" spans="1:31" ht="15" thickBot="1" x14ac:dyDescent="0.4">
      <c r="A2341" s="45"/>
      <c r="B2341" s="45"/>
      <c r="C2341" s="46"/>
      <c r="D2341" s="47"/>
      <c r="E2341" s="47"/>
      <c r="F2341" s="47"/>
      <c r="G2341" s="47"/>
      <c r="H2341" s="47"/>
      <c r="I2341" s="47"/>
      <c r="J2341" s="47"/>
      <c r="K2341" s="47"/>
      <c r="L2341" s="47"/>
      <c r="M2341" s="47"/>
      <c r="N2341" s="47"/>
      <c r="O2341" s="47"/>
      <c r="P2341" s="47"/>
      <c r="Q2341" s="47"/>
      <c r="R2341" s="47"/>
      <c r="S2341" s="47"/>
      <c r="T2341" s="45"/>
      <c r="U2341" s="45"/>
      <c r="V2341" s="45"/>
      <c r="W2341" s="45"/>
      <c r="X2341" s="47"/>
      <c r="Y2341" s="45"/>
      <c r="Z2341" s="45"/>
      <c r="AA2341" s="48"/>
      <c r="AB2341" s="48"/>
      <c r="AC2341" s="47"/>
      <c r="AD2341" s="47"/>
      <c r="AE2341" s="47"/>
    </row>
    <row r="2342" spans="1:31" x14ac:dyDescent="0.35">
      <c r="A2342" s="41"/>
      <c r="B2342" s="41"/>
      <c r="C2342" s="42"/>
      <c r="D2342" s="43"/>
      <c r="E2342" s="43"/>
      <c r="F2342" s="43"/>
      <c r="G2342" s="43"/>
      <c r="H2342" s="43"/>
      <c r="I2342" s="43"/>
      <c r="J2342" s="43"/>
      <c r="K2342" s="43"/>
      <c r="L2342" s="43"/>
      <c r="M2342" s="43"/>
      <c r="N2342" s="43"/>
      <c r="O2342" s="43"/>
      <c r="P2342" s="43"/>
      <c r="Q2342" s="43"/>
      <c r="R2342" s="43"/>
      <c r="S2342" s="43"/>
      <c r="T2342" s="43"/>
      <c r="U2342" s="43"/>
      <c r="V2342" s="41"/>
      <c r="W2342" s="41"/>
      <c r="X2342" s="41"/>
      <c r="Y2342" s="41"/>
      <c r="Z2342" s="41"/>
      <c r="AA2342" s="44"/>
      <c r="AB2342" s="44"/>
      <c r="AC2342" s="43"/>
      <c r="AD2342" s="43"/>
      <c r="AE2342" s="43"/>
    </row>
    <row r="2343" spans="1:31" x14ac:dyDescent="0.35">
      <c r="C2343" s="33"/>
      <c r="D2343" s="34"/>
      <c r="E2343" s="34"/>
      <c r="F2343" s="34"/>
      <c r="G2343" s="34"/>
      <c r="H2343" s="34"/>
      <c r="I2343" s="34"/>
      <c r="J2343" s="34"/>
      <c r="K2343" s="34"/>
      <c r="L2343" s="34"/>
      <c r="M2343" s="34"/>
      <c r="N2343" s="34"/>
      <c r="O2343" s="34"/>
      <c r="AA2343" s="35"/>
      <c r="AB2343" s="35"/>
      <c r="AC2343" s="34"/>
      <c r="AD2343" s="34"/>
      <c r="AE2343" s="34"/>
    </row>
    <row r="2344" spans="1:31" ht="15" thickBot="1" x14ac:dyDescent="0.4">
      <c r="A2344" s="45"/>
      <c r="B2344" s="45"/>
      <c r="C2344" s="46"/>
      <c r="D2344" s="47"/>
      <c r="E2344" s="47"/>
      <c r="F2344" s="47"/>
      <c r="G2344" s="47"/>
      <c r="H2344" s="47"/>
      <c r="I2344" s="47"/>
      <c r="J2344" s="47"/>
      <c r="K2344" s="47"/>
      <c r="L2344" s="47"/>
      <c r="M2344" s="47"/>
      <c r="N2344" s="47"/>
      <c r="O2344" s="47"/>
      <c r="P2344" s="47"/>
      <c r="Q2344" s="47"/>
      <c r="R2344" s="47"/>
      <c r="S2344" s="47"/>
      <c r="T2344" s="45"/>
      <c r="U2344" s="45"/>
      <c r="V2344" s="45"/>
      <c r="W2344" s="45"/>
      <c r="X2344" s="47"/>
      <c r="Y2344" s="45"/>
      <c r="Z2344" s="45"/>
      <c r="AA2344" s="48"/>
      <c r="AB2344" s="48"/>
      <c r="AC2344" s="47"/>
      <c r="AD2344" s="47"/>
      <c r="AE2344" s="47"/>
    </row>
    <row r="2345" spans="1:31" x14ac:dyDescent="0.35">
      <c r="A2345" s="41"/>
      <c r="B2345" s="41"/>
      <c r="C2345" s="42"/>
      <c r="D2345" s="43"/>
      <c r="E2345" s="43"/>
      <c r="F2345" s="43"/>
      <c r="G2345" s="43"/>
      <c r="H2345" s="43"/>
      <c r="I2345" s="43"/>
      <c r="J2345" s="43"/>
      <c r="K2345" s="43"/>
      <c r="L2345" s="43"/>
      <c r="M2345" s="43"/>
      <c r="N2345" s="43"/>
      <c r="O2345" s="43"/>
      <c r="P2345" s="43"/>
      <c r="Q2345" s="43"/>
      <c r="R2345" s="43"/>
      <c r="S2345" s="43"/>
      <c r="T2345" s="43"/>
      <c r="U2345" s="43"/>
      <c r="V2345" s="41"/>
      <c r="W2345" s="41"/>
      <c r="X2345" s="41"/>
      <c r="Y2345" s="41"/>
      <c r="Z2345" s="41"/>
      <c r="AA2345" s="44"/>
      <c r="AB2345" s="44"/>
      <c r="AC2345" s="43"/>
      <c r="AD2345" s="43"/>
      <c r="AE2345" s="43"/>
    </row>
    <row r="2346" spans="1:31" x14ac:dyDescent="0.35">
      <c r="C2346" s="33"/>
      <c r="D2346" s="34"/>
      <c r="E2346" s="34"/>
      <c r="F2346" s="34"/>
      <c r="G2346" s="34"/>
      <c r="H2346" s="34"/>
      <c r="I2346" s="34"/>
      <c r="J2346" s="34"/>
      <c r="K2346" s="34"/>
      <c r="L2346" s="34"/>
      <c r="M2346" s="34"/>
      <c r="N2346" s="34"/>
      <c r="O2346" s="34"/>
      <c r="AA2346" s="35"/>
      <c r="AB2346" s="35"/>
      <c r="AC2346" s="34"/>
      <c r="AD2346" s="34"/>
      <c r="AE2346" s="34"/>
    </row>
    <row r="2347" spans="1:31" ht="15" thickBot="1" x14ac:dyDescent="0.4">
      <c r="A2347" s="45"/>
      <c r="B2347" s="45"/>
      <c r="C2347" s="46"/>
      <c r="D2347" s="47"/>
      <c r="E2347" s="47"/>
      <c r="F2347" s="47"/>
      <c r="G2347" s="47"/>
      <c r="H2347" s="47"/>
      <c r="I2347" s="47"/>
      <c r="J2347" s="47"/>
      <c r="K2347" s="47"/>
      <c r="L2347" s="47"/>
      <c r="M2347" s="47"/>
      <c r="N2347" s="47"/>
      <c r="O2347" s="47"/>
      <c r="P2347" s="47"/>
      <c r="Q2347" s="47"/>
      <c r="R2347" s="47"/>
      <c r="S2347" s="47"/>
      <c r="T2347" s="45"/>
      <c r="U2347" s="45"/>
      <c r="V2347" s="45"/>
      <c r="W2347" s="45"/>
      <c r="X2347" s="47"/>
      <c r="Y2347" s="45"/>
      <c r="Z2347" s="45"/>
      <c r="AA2347" s="48"/>
      <c r="AB2347" s="48"/>
      <c r="AC2347" s="47"/>
      <c r="AD2347" s="47"/>
      <c r="AE2347" s="47"/>
    </row>
    <row r="2348" spans="1:31" x14ac:dyDescent="0.35">
      <c r="A2348" s="41"/>
      <c r="B2348" s="41"/>
      <c r="C2348" s="42"/>
      <c r="D2348" s="43"/>
      <c r="E2348" s="43"/>
      <c r="F2348" s="43"/>
      <c r="G2348" s="43"/>
      <c r="H2348" s="43"/>
      <c r="I2348" s="43"/>
      <c r="J2348" s="43"/>
      <c r="K2348" s="43"/>
      <c r="L2348" s="43"/>
      <c r="M2348" s="43"/>
      <c r="N2348" s="43"/>
      <c r="O2348" s="43"/>
      <c r="P2348" s="43"/>
      <c r="Q2348" s="43"/>
      <c r="R2348" s="43"/>
      <c r="S2348" s="43"/>
      <c r="T2348" s="43"/>
      <c r="U2348" s="43"/>
      <c r="V2348" s="41"/>
      <c r="W2348" s="41"/>
      <c r="X2348" s="41"/>
      <c r="Y2348" s="41"/>
      <c r="Z2348" s="41"/>
      <c r="AA2348" s="44"/>
      <c r="AB2348" s="44"/>
      <c r="AC2348" s="43"/>
      <c r="AD2348" s="43"/>
      <c r="AE2348" s="43"/>
    </row>
    <row r="2349" spans="1:31" x14ac:dyDescent="0.35">
      <c r="C2349" s="33"/>
      <c r="D2349" s="34"/>
      <c r="E2349" s="34"/>
      <c r="F2349" s="34"/>
      <c r="G2349" s="34"/>
      <c r="H2349" s="34"/>
      <c r="I2349" s="34"/>
      <c r="J2349" s="34"/>
      <c r="K2349" s="34"/>
      <c r="L2349" s="34"/>
      <c r="M2349" s="34"/>
      <c r="N2349" s="34"/>
      <c r="O2349" s="34"/>
      <c r="AA2349" s="35"/>
      <c r="AB2349" s="35"/>
      <c r="AC2349" s="34"/>
      <c r="AD2349" s="34"/>
      <c r="AE2349" s="34"/>
    </row>
    <row r="2350" spans="1:31" ht="15" thickBot="1" x14ac:dyDescent="0.4">
      <c r="A2350" s="45"/>
      <c r="B2350" s="45"/>
      <c r="C2350" s="46"/>
      <c r="D2350" s="47"/>
      <c r="E2350" s="47"/>
      <c r="F2350" s="47"/>
      <c r="G2350" s="47"/>
      <c r="H2350" s="47"/>
      <c r="I2350" s="47"/>
      <c r="J2350" s="47"/>
      <c r="K2350" s="47"/>
      <c r="L2350" s="47"/>
      <c r="M2350" s="47"/>
      <c r="N2350" s="47"/>
      <c r="O2350" s="47"/>
      <c r="P2350" s="47"/>
      <c r="Q2350" s="47"/>
      <c r="R2350" s="47"/>
      <c r="S2350" s="47"/>
      <c r="T2350" s="45"/>
      <c r="U2350" s="45"/>
      <c r="V2350" s="45"/>
      <c r="W2350" s="45"/>
      <c r="X2350" s="47"/>
      <c r="Y2350" s="45"/>
      <c r="Z2350" s="45"/>
      <c r="AA2350" s="48"/>
      <c r="AB2350" s="48"/>
      <c r="AC2350" s="47"/>
      <c r="AD2350" s="47"/>
      <c r="AE2350" s="47"/>
    </row>
    <row r="2351" spans="1:31" x14ac:dyDescent="0.35">
      <c r="A2351" s="41"/>
      <c r="B2351" s="41"/>
      <c r="C2351" s="42"/>
      <c r="D2351" s="43"/>
      <c r="E2351" s="43"/>
      <c r="F2351" s="43"/>
      <c r="G2351" s="43"/>
      <c r="H2351" s="43"/>
      <c r="I2351" s="43"/>
      <c r="J2351" s="43"/>
      <c r="K2351" s="43"/>
      <c r="L2351" s="43"/>
      <c r="M2351" s="43"/>
      <c r="N2351" s="43"/>
      <c r="O2351" s="43"/>
      <c r="P2351" s="43"/>
      <c r="Q2351" s="43"/>
      <c r="R2351" s="43"/>
      <c r="S2351" s="43"/>
      <c r="T2351" s="43"/>
      <c r="U2351" s="43"/>
      <c r="V2351" s="41"/>
      <c r="W2351" s="41"/>
      <c r="X2351" s="41"/>
      <c r="Y2351" s="41"/>
      <c r="Z2351" s="41"/>
      <c r="AA2351" s="44"/>
      <c r="AB2351" s="44"/>
      <c r="AC2351" s="43"/>
      <c r="AD2351" s="43"/>
      <c r="AE2351" s="43"/>
    </row>
    <row r="2352" spans="1:31" x14ac:dyDescent="0.35">
      <c r="C2352" s="33"/>
      <c r="D2352" s="34"/>
      <c r="E2352" s="34"/>
      <c r="F2352" s="34"/>
      <c r="G2352" s="34"/>
      <c r="H2352" s="34"/>
      <c r="I2352" s="34"/>
      <c r="J2352" s="34"/>
      <c r="K2352" s="34"/>
      <c r="L2352" s="34"/>
      <c r="M2352" s="34"/>
      <c r="N2352" s="34"/>
      <c r="O2352" s="34"/>
      <c r="AA2352" s="35"/>
      <c r="AB2352" s="35"/>
      <c r="AC2352" s="34"/>
      <c r="AD2352" s="34"/>
      <c r="AE2352" s="34"/>
    </row>
    <row r="2353" spans="1:31" ht="15" thickBot="1" x14ac:dyDescent="0.4">
      <c r="A2353" s="45"/>
      <c r="B2353" s="45"/>
      <c r="C2353" s="46"/>
      <c r="D2353" s="47"/>
      <c r="E2353" s="47"/>
      <c r="F2353" s="47"/>
      <c r="G2353" s="47"/>
      <c r="H2353" s="47"/>
      <c r="I2353" s="47"/>
      <c r="J2353" s="47"/>
      <c r="K2353" s="47"/>
      <c r="L2353" s="47"/>
      <c r="M2353" s="47"/>
      <c r="N2353" s="47"/>
      <c r="O2353" s="47"/>
      <c r="P2353" s="47"/>
      <c r="Q2353" s="47"/>
      <c r="R2353" s="47"/>
      <c r="S2353" s="47"/>
      <c r="T2353" s="45"/>
      <c r="U2353" s="45"/>
      <c r="V2353" s="45"/>
      <c r="W2353" s="45"/>
      <c r="X2353" s="47"/>
      <c r="Y2353" s="45"/>
      <c r="Z2353" s="45"/>
      <c r="AA2353" s="48"/>
      <c r="AB2353" s="48"/>
      <c r="AC2353" s="47"/>
      <c r="AD2353" s="47"/>
      <c r="AE2353" s="47"/>
    </row>
    <row r="2354" spans="1:31" x14ac:dyDescent="0.35">
      <c r="A2354" s="41"/>
      <c r="B2354" s="41"/>
      <c r="C2354" s="42"/>
      <c r="D2354" s="43"/>
      <c r="E2354" s="43"/>
      <c r="F2354" s="43"/>
      <c r="G2354" s="43"/>
      <c r="H2354" s="43"/>
      <c r="I2354" s="43"/>
      <c r="J2354" s="43"/>
      <c r="K2354" s="43"/>
      <c r="L2354" s="43"/>
      <c r="M2354" s="43"/>
      <c r="N2354" s="43"/>
      <c r="O2354" s="43"/>
      <c r="P2354" s="43"/>
      <c r="Q2354" s="43"/>
      <c r="R2354" s="43"/>
      <c r="S2354" s="43"/>
      <c r="T2354" s="43"/>
      <c r="U2354" s="43"/>
      <c r="V2354" s="41"/>
      <c r="W2354" s="41"/>
      <c r="X2354" s="41"/>
      <c r="Y2354" s="41"/>
      <c r="Z2354" s="41"/>
      <c r="AA2354" s="44"/>
      <c r="AB2354" s="44"/>
      <c r="AC2354" s="43"/>
      <c r="AD2354" s="43"/>
      <c r="AE2354" s="43"/>
    </row>
    <row r="2355" spans="1:31" x14ac:dyDescent="0.35">
      <c r="C2355" s="33"/>
      <c r="D2355" s="34"/>
      <c r="E2355" s="34"/>
      <c r="F2355" s="34"/>
      <c r="G2355" s="34"/>
      <c r="H2355" s="34"/>
      <c r="I2355" s="34"/>
      <c r="J2355" s="34"/>
      <c r="K2355" s="34"/>
      <c r="L2355" s="34"/>
      <c r="M2355" s="34"/>
      <c r="N2355" s="34"/>
      <c r="O2355" s="34"/>
      <c r="AA2355" s="35"/>
      <c r="AB2355" s="35"/>
      <c r="AC2355" s="34"/>
      <c r="AD2355" s="34"/>
      <c r="AE2355" s="34"/>
    </row>
    <row r="2356" spans="1:31" ht="15" thickBot="1" x14ac:dyDescent="0.4">
      <c r="A2356" s="45"/>
      <c r="B2356" s="45"/>
      <c r="C2356" s="46"/>
      <c r="D2356" s="47"/>
      <c r="E2356" s="47"/>
      <c r="F2356" s="47"/>
      <c r="G2356" s="47"/>
      <c r="H2356" s="47"/>
      <c r="I2356" s="47"/>
      <c r="J2356" s="47"/>
      <c r="K2356" s="47"/>
      <c r="L2356" s="47"/>
      <c r="M2356" s="47"/>
      <c r="N2356" s="47"/>
      <c r="O2356" s="47"/>
      <c r="P2356" s="47"/>
      <c r="Q2356" s="47"/>
      <c r="R2356" s="47"/>
      <c r="S2356" s="47"/>
      <c r="T2356" s="45"/>
      <c r="U2356" s="45"/>
      <c r="V2356" s="45"/>
      <c r="W2356" s="45"/>
      <c r="X2356" s="47"/>
      <c r="Y2356" s="45"/>
      <c r="Z2356" s="45"/>
      <c r="AA2356" s="48"/>
      <c r="AB2356" s="48"/>
      <c r="AC2356" s="47"/>
      <c r="AD2356" s="47"/>
      <c r="AE2356" s="47"/>
    </row>
    <row r="2357" spans="1:31" x14ac:dyDescent="0.35">
      <c r="A2357" s="41"/>
      <c r="B2357" s="41"/>
      <c r="C2357" s="42"/>
      <c r="D2357" s="43"/>
      <c r="E2357" s="43"/>
      <c r="F2357" s="43"/>
      <c r="G2357" s="43"/>
      <c r="H2357" s="43"/>
      <c r="I2357" s="43"/>
      <c r="J2357" s="43"/>
      <c r="K2357" s="43"/>
      <c r="L2357" s="43"/>
      <c r="M2357" s="43"/>
      <c r="N2357" s="43"/>
      <c r="O2357" s="43"/>
      <c r="P2357" s="43"/>
      <c r="Q2357" s="43"/>
      <c r="R2357" s="43"/>
      <c r="S2357" s="43"/>
      <c r="T2357" s="43"/>
      <c r="U2357" s="43"/>
      <c r="V2357" s="41"/>
      <c r="W2357" s="41"/>
      <c r="X2357" s="41"/>
      <c r="Y2357" s="41"/>
      <c r="Z2357" s="41"/>
      <c r="AA2357" s="44"/>
      <c r="AB2357" s="44"/>
      <c r="AC2357" s="43"/>
      <c r="AD2357" s="43"/>
      <c r="AE2357" s="43"/>
    </row>
    <row r="2358" spans="1:31" x14ac:dyDescent="0.35">
      <c r="C2358" s="33"/>
      <c r="D2358" s="34"/>
      <c r="E2358" s="34"/>
      <c r="F2358" s="34"/>
      <c r="G2358" s="34"/>
      <c r="H2358" s="34"/>
      <c r="I2358" s="34"/>
      <c r="J2358" s="34"/>
      <c r="K2358" s="34"/>
      <c r="L2358" s="34"/>
      <c r="M2358" s="34"/>
      <c r="N2358" s="34"/>
      <c r="O2358" s="34"/>
      <c r="AA2358" s="35"/>
      <c r="AB2358" s="35"/>
      <c r="AC2358" s="34"/>
      <c r="AD2358" s="34"/>
      <c r="AE2358" s="34"/>
    </row>
    <row r="2359" spans="1:31" ht="15" thickBot="1" x14ac:dyDescent="0.4">
      <c r="A2359" s="45"/>
      <c r="B2359" s="45"/>
      <c r="C2359" s="46"/>
      <c r="D2359" s="47"/>
      <c r="E2359" s="47"/>
      <c r="F2359" s="47"/>
      <c r="G2359" s="47"/>
      <c r="H2359" s="47"/>
      <c r="I2359" s="47"/>
      <c r="J2359" s="47"/>
      <c r="K2359" s="47"/>
      <c r="L2359" s="47"/>
      <c r="M2359" s="47"/>
      <c r="N2359" s="47"/>
      <c r="O2359" s="47"/>
      <c r="P2359" s="47"/>
      <c r="Q2359" s="47"/>
      <c r="R2359" s="47"/>
      <c r="S2359" s="47"/>
      <c r="T2359" s="45"/>
      <c r="U2359" s="45"/>
      <c r="V2359" s="45"/>
      <c r="W2359" s="45"/>
      <c r="X2359" s="47"/>
      <c r="Y2359" s="45"/>
      <c r="Z2359" s="45"/>
      <c r="AA2359" s="48"/>
      <c r="AB2359" s="48"/>
      <c r="AC2359" s="47"/>
      <c r="AD2359" s="47"/>
      <c r="AE2359" s="47"/>
    </row>
    <row r="2360" spans="1:31" x14ac:dyDescent="0.35">
      <c r="A2360" s="41"/>
      <c r="B2360" s="41"/>
      <c r="C2360" s="42"/>
      <c r="D2360" s="43"/>
      <c r="E2360" s="43"/>
      <c r="F2360" s="43"/>
      <c r="G2360" s="43"/>
      <c r="H2360" s="43"/>
      <c r="I2360" s="43"/>
      <c r="J2360" s="43"/>
      <c r="K2360" s="43"/>
      <c r="L2360" s="43"/>
      <c r="M2360" s="43"/>
      <c r="N2360" s="43"/>
      <c r="O2360" s="43"/>
      <c r="P2360" s="43"/>
      <c r="Q2360" s="43"/>
      <c r="R2360" s="43"/>
      <c r="S2360" s="43"/>
      <c r="T2360" s="43"/>
      <c r="U2360" s="43"/>
      <c r="V2360" s="41"/>
      <c r="W2360" s="41"/>
      <c r="X2360" s="41"/>
      <c r="Y2360" s="41"/>
      <c r="Z2360" s="41"/>
      <c r="AA2360" s="44"/>
      <c r="AB2360" s="44"/>
      <c r="AC2360" s="43"/>
      <c r="AD2360" s="43"/>
      <c r="AE2360" s="43"/>
    </row>
    <row r="2361" spans="1:31" x14ac:dyDescent="0.35">
      <c r="C2361" s="33"/>
      <c r="D2361" s="34"/>
      <c r="E2361" s="34"/>
      <c r="F2361" s="34"/>
      <c r="G2361" s="34"/>
      <c r="H2361" s="34"/>
      <c r="I2361" s="34"/>
      <c r="J2361" s="34"/>
      <c r="K2361" s="34"/>
      <c r="L2361" s="34"/>
      <c r="M2361" s="34"/>
      <c r="N2361" s="34"/>
      <c r="O2361" s="34"/>
      <c r="AA2361" s="35"/>
      <c r="AB2361" s="35"/>
      <c r="AC2361" s="34"/>
      <c r="AD2361" s="34"/>
      <c r="AE2361" s="34"/>
    </row>
    <row r="2362" spans="1:31" ht="15" thickBot="1" x14ac:dyDescent="0.4">
      <c r="A2362" s="45"/>
      <c r="B2362" s="45"/>
      <c r="C2362" s="46"/>
      <c r="D2362" s="47"/>
      <c r="E2362" s="47"/>
      <c r="F2362" s="47"/>
      <c r="G2362" s="47"/>
      <c r="H2362" s="47"/>
      <c r="I2362" s="47"/>
      <c r="J2362" s="47"/>
      <c r="K2362" s="47"/>
      <c r="L2362" s="47"/>
      <c r="M2362" s="47"/>
      <c r="N2362" s="47"/>
      <c r="O2362" s="47"/>
      <c r="P2362" s="47"/>
      <c r="Q2362" s="47"/>
      <c r="R2362" s="47"/>
      <c r="S2362" s="47"/>
      <c r="T2362" s="45"/>
      <c r="U2362" s="45"/>
      <c r="V2362" s="45"/>
      <c r="W2362" s="45"/>
      <c r="X2362" s="47"/>
      <c r="Y2362" s="45"/>
      <c r="Z2362" s="45"/>
      <c r="AA2362" s="48"/>
      <c r="AB2362" s="48"/>
      <c r="AC2362" s="47"/>
      <c r="AD2362" s="47"/>
      <c r="AE2362" s="47"/>
    </row>
    <row r="2363" spans="1:31" x14ac:dyDescent="0.35">
      <c r="A2363" s="41"/>
      <c r="B2363" s="41"/>
      <c r="C2363" s="42"/>
      <c r="D2363" s="43"/>
      <c r="E2363" s="43"/>
      <c r="F2363" s="43"/>
      <c r="G2363" s="43"/>
      <c r="H2363" s="43"/>
      <c r="I2363" s="43"/>
      <c r="J2363" s="43"/>
      <c r="K2363" s="43"/>
      <c r="L2363" s="43"/>
      <c r="M2363" s="43"/>
      <c r="N2363" s="43"/>
      <c r="O2363" s="43"/>
      <c r="P2363" s="43"/>
      <c r="Q2363" s="43"/>
      <c r="R2363" s="43"/>
      <c r="S2363" s="43"/>
      <c r="T2363" s="43"/>
      <c r="U2363" s="43"/>
      <c r="V2363" s="41"/>
      <c r="W2363" s="41"/>
      <c r="X2363" s="41"/>
      <c r="Y2363" s="41"/>
      <c r="Z2363" s="41"/>
      <c r="AA2363" s="44"/>
      <c r="AB2363" s="44"/>
      <c r="AC2363" s="43"/>
      <c r="AD2363" s="43"/>
      <c r="AE2363" s="43"/>
    </row>
    <row r="2364" spans="1:31" x14ac:dyDescent="0.35">
      <c r="C2364" s="33"/>
      <c r="D2364" s="34"/>
      <c r="E2364" s="34"/>
      <c r="F2364" s="34"/>
      <c r="G2364" s="34"/>
      <c r="H2364" s="34"/>
      <c r="I2364" s="34"/>
      <c r="J2364" s="34"/>
      <c r="K2364" s="34"/>
      <c r="L2364" s="34"/>
      <c r="M2364" s="34"/>
      <c r="N2364" s="34"/>
      <c r="O2364" s="34"/>
      <c r="AA2364" s="35"/>
      <c r="AB2364" s="35"/>
      <c r="AC2364" s="34"/>
      <c r="AD2364" s="34"/>
      <c r="AE2364" s="34"/>
    </row>
    <row r="2365" spans="1:31" ht="15" thickBot="1" x14ac:dyDescent="0.4">
      <c r="A2365" s="45"/>
      <c r="B2365" s="45"/>
      <c r="C2365" s="46"/>
      <c r="D2365" s="47"/>
      <c r="E2365" s="47"/>
      <c r="F2365" s="47"/>
      <c r="G2365" s="47"/>
      <c r="H2365" s="47"/>
      <c r="I2365" s="47"/>
      <c r="J2365" s="47"/>
      <c r="K2365" s="47"/>
      <c r="L2365" s="47"/>
      <c r="M2365" s="47"/>
      <c r="N2365" s="47"/>
      <c r="O2365" s="47"/>
      <c r="P2365" s="47"/>
      <c r="Q2365" s="47"/>
      <c r="R2365" s="47"/>
      <c r="S2365" s="47"/>
      <c r="T2365" s="45"/>
      <c r="U2365" s="45"/>
      <c r="V2365" s="45"/>
      <c r="W2365" s="45"/>
      <c r="X2365" s="47"/>
      <c r="Y2365" s="45"/>
      <c r="Z2365" s="45"/>
      <c r="AA2365" s="48"/>
      <c r="AB2365" s="48"/>
      <c r="AC2365" s="47"/>
      <c r="AD2365" s="47"/>
      <c r="AE2365" s="47"/>
    </row>
    <row r="2366" spans="1:31" x14ac:dyDescent="0.35">
      <c r="A2366" s="41"/>
      <c r="B2366" s="41"/>
      <c r="C2366" s="42"/>
      <c r="D2366" s="43"/>
      <c r="E2366" s="43"/>
      <c r="F2366" s="43"/>
      <c r="G2366" s="43"/>
      <c r="H2366" s="43"/>
      <c r="I2366" s="43"/>
      <c r="J2366" s="43"/>
      <c r="K2366" s="43"/>
      <c r="L2366" s="43"/>
      <c r="M2366" s="43"/>
      <c r="N2366" s="43"/>
      <c r="O2366" s="43"/>
      <c r="P2366" s="43"/>
      <c r="Q2366" s="43"/>
      <c r="R2366" s="43"/>
      <c r="S2366" s="43"/>
      <c r="T2366" s="43"/>
      <c r="U2366" s="43"/>
      <c r="V2366" s="41"/>
      <c r="W2366" s="41"/>
      <c r="X2366" s="41"/>
      <c r="Y2366" s="41"/>
      <c r="Z2366" s="41"/>
      <c r="AA2366" s="44"/>
      <c r="AB2366" s="44"/>
      <c r="AC2366" s="43"/>
      <c r="AD2366" s="43"/>
      <c r="AE2366" s="43"/>
    </row>
    <row r="2367" spans="1:31" x14ac:dyDescent="0.35">
      <c r="C2367" s="33"/>
      <c r="D2367" s="34"/>
      <c r="E2367" s="34"/>
      <c r="F2367" s="34"/>
      <c r="G2367" s="34"/>
      <c r="H2367" s="34"/>
      <c r="I2367" s="34"/>
      <c r="J2367" s="34"/>
      <c r="K2367" s="34"/>
      <c r="L2367" s="34"/>
      <c r="M2367" s="34"/>
      <c r="N2367" s="34"/>
      <c r="O2367" s="34"/>
      <c r="AA2367" s="35"/>
      <c r="AB2367" s="35"/>
      <c r="AC2367" s="34"/>
      <c r="AD2367" s="34"/>
      <c r="AE2367" s="34"/>
    </row>
    <row r="2368" spans="1:31" ht="15" thickBot="1" x14ac:dyDescent="0.4">
      <c r="A2368" s="45"/>
      <c r="B2368" s="45"/>
      <c r="C2368" s="46"/>
      <c r="D2368" s="47"/>
      <c r="E2368" s="47"/>
      <c r="F2368" s="47"/>
      <c r="G2368" s="47"/>
      <c r="H2368" s="47"/>
      <c r="I2368" s="47"/>
      <c r="J2368" s="47"/>
      <c r="K2368" s="47"/>
      <c r="L2368" s="47"/>
      <c r="M2368" s="47"/>
      <c r="N2368" s="47"/>
      <c r="O2368" s="47"/>
      <c r="P2368" s="47"/>
      <c r="Q2368" s="47"/>
      <c r="R2368" s="47"/>
      <c r="S2368" s="47"/>
      <c r="T2368" s="45"/>
      <c r="U2368" s="45"/>
      <c r="V2368" s="45"/>
      <c r="W2368" s="45"/>
      <c r="X2368" s="47"/>
      <c r="Y2368" s="45"/>
      <c r="Z2368" s="45"/>
      <c r="AA2368" s="48"/>
      <c r="AB2368" s="48"/>
      <c r="AC2368" s="47"/>
      <c r="AD2368" s="47"/>
      <c r="AE2368" s="47"/>
    </row>
    <row r="2369" spans="1:31" x14ac:dyDescent="0.35">
      <c r="A2369" s="41"/>
      <c r="B2369" s="41"/>
      <c r="C2369" s="42"/>
      <c r="D2369" s="43"/>
      <c r="E2369" s="43"/>
      <c r="F2369" s="43"/>
      <c r="G2369" s="43"/>
      <c r="H2369" s="43"/>
      <c r="I2369" s="43"/>
      <c r="J2369" s="43"/>
      <c r="K2369" s="43"/>
      <c r="L2369" s="43"/>
      <c r="M2369" s="43"/>
      <c r="N2369" s="43"/>
      <c r="O2369" s="43"/>
      <c r="P2369" s="43"/>
      <c r="Q2369" s="43"/>
      <c r="R2369" s="43"/>
      <c r="S2369" s="43"/>
      <c r="T2369" s="43"/>
      <c r="U2369" s="43"/>
      <c r="V2369" s="41"/>
      <c r="W2369" s="41"/>
      <c r="X2369" s="41"/>
      <c r="Y2369" s="41"/>
      <c r="Z2369" s="41"/>
      <c r="AA2369" s="44"/>
      <c r="AB2369" s="44"/>
      <c r="AC2369" s="43"/>
      <c r="AD2369" s="43"/>
      <c r="AE2369" s="43"/>
    </row>
    <row r="2370" spans="1:31" x14ac:dyDescent="0.35">
      <c r="C2370" s="33"/>
      <c r="D2370" s="34"/>
      <c r="E2370" s="34"/>
      <c r="F2370" s="34"/>
      <c r="G2370" s="34"/>
      <c r="H2370" s="34"/>
      <c r="I2370" s="34"/>
      <c r="J2370" s="34"/>
      <c r="K2370" s="34"/>
      <c r="L2370" s="34"/>
      <c r="M2370" s="34"/>
      <c r="N2370" s="34"/>
      <c r="O2370" s="34"/>
      <c r="AA2370" s="35"/>
      <c r="AB2370" s="35"/>
      <c r="AC2370" s="34"/>
      <c r="AD2370" s="34"/>
      <c r="AE2370" s="34"/>
    </row>
    <row r="2371" spans="1:31" ht="15" thickBot="1" x14ac:dyDescent="0.4">
      <c r="A2371" s="45"/>
      <c r="B2371" s="45"/>
      <c r="C2371" s="46"/>
      <c r="D2371" s="47"/>
      <c r="E2371" s="47"/>
      <c r="F2371" s="47"/>
      <c r="G2371" s="47"/>
      <c r="H2371" s="47"/>
      <c r="I2371" s="47"/>
      <c r="J2371" s="47"/>
      <c r="K2371" s="47"/>
      <c r="L2371" s="47"/>
      <c r="M2371" s="47"/>
      <c r="N2371" s="47"/>
      <c r="O2371" s="47"/>
      <c r="P2371" s="47"/>
      <c r="Q2371" s="47"/>
      <c r="R2371" s="47"/>
      <c r="S2371" s="47"/>
      <c r="T2371" s="45"/>
      <c r="U2371" s="45"/>
      <c r="V2371" s="45"/>
      <c r="W2371" s="45"/>
      <c r="X2371" s="47"/>
      <c r="Y2371" s="45"/>
      <c r="Z2371" s="45"/>
      <c r="AA2371" s="48"/>
      <c r="AB2371" s="48"/>
      <c r="AC2371" s="47"/>
      <c r="AD2371" s="47"/>
      <c r="AE2371" s="47"/>
    </row>
    <row r="2372" spans="1:31" x14ac:dyDescent="0.35">
      <c r="A2372" s="41"/>
      <c r="B2372" s="41"/>
      <c r="C2372" s="42"/>
      <c r="D2372" s="43"/>
      <c r="E2372" s="43"/>
      <c r="F2372" s="43"/>
      <c r="G2372" s="43"/>
      <c r="H2372" s="43"/>
      <c r="I2372" s="43"/>
      <c r="J2372" s="43"/>
      <c r="K2372" s="43"/>
      <c r="L2372" s="43"/>
      <c r="M2372" s="43"/>
      <c r="N2372" s="43"/>
      <c r="O2372" s="43"/>
      <c r="P2372" s="43"/>
      <c r="Q2372" s="43"/>
      <c r="R2372" s="43"/>
      <c r="S2372" s="43"/>
      <c r="T2372" s="43"/>
      <c r="U2372" s="43"/>
      <c r="V2372" s="41"/>
      <c r="W2372" s="41"/>
      <c r="X2372" s="41"/>
      <c r="Y2372" s="41"/>
      <c r="Z2372" s="41"/>
      <c r="AA2372" s="44"/>
      <c r="AB2372" s="44"/>
      <c r="AC2372" s="43"/>
      <c r="AD2372" s="43"/>
      <c r="AE2372" s="43"/>
    </row>
    <row r="2373" spans="1:31" x14ac:dyDescent="0.35">
      <c r="C2373" s="33"/>
      <c r="D2373" s="34"/>
      <c r="E2373" s="34"/>
      <c r="F2373" s="34"/>
      <c r="G2373" s="34"/>
      <c r="H2373" s="34"/>
      <c r="I2373" s="34"/>
      <c r="J2373" s="34"/>
      <c r="K2373" s="34"/>
      <c r="L2373" s="34"/>
      <c r="M2373" s="34"/>
      <c r="N2373" s="34"/>
      <c r="O2373" s="34"/>
      <c r="AA2373" s="35"/>
      <c r="AB2373" s="35"/>
      <c r="AC2373" s="34"/>
      <c r="AD2373" s="34"/>
      <c r="AE2373" s="34"/>
    </row>
    <row r="2374" spans="1:31" ht="15" thickBot="1" x14ac:dyDescent="0.4">
      <c r="A2374" s="45"/>
      <c r="B2374" s="45"/>
      <c r="C2374" s="46"/>
      <c r="D2374" s="47"/>
      <c r="E2374" s="47"/>
      <c r="F2374" s="47"/>
      <c r="G2374" s="47"/>
      <c r="H2374" s="47"/>
      <c r="I2374" s="47"/>
      <c r="J2374" s="47"/>
      <c r="K2374" s="47"/>
      <c r="L2374" s="47"/>
      <c r="M2374" s="47"/>
      <c r="N2374" s="47"/>
      <c r="O2374" s="47"/>
      <c r="P2374" s="47"/>
      <c r="Q2374" s="47"/>
      <c r="R2374" s="47"/>
      <c r="S2374" s="47"/>
      <c r="T2374" s="45"/>
      <c r="U2374" s="45"/>
      <c r="V2374" s="45"/>
      <c r="W2374" s="45"/>
      <c r="X2374" s="47"/>
      <c r="Y2374" s="45"/>
      <c r="Z2374" s="45"/>
      <c r="AA2374" s="48"/>
      <c r="AB2374" s="48"/>
      <c r="AC2374" s="47"/>
      <c r="AD2374" s="47"/>
      <c r="AE2374" s="47"/>
    </row>
    <row r="2375" spans="1:31" x14ac:dyDescent="0.35">
      <c r="A2375" s="41"/>
      <c r="B2375" s="41"/>
      <c r="C2375" s="42"/>
      <c r="D2375" s="43"/>
      <c r="E2375" s="43"/>
      <c r="F2375" s="43"/>
      <c r="G2375" s="43"/>
      <c r="H2375" s="43"/>
      <c r="I2375" s="43"/>
      <c r="J2375" s="43"/>
      <c r="K2375" s="43"/>
      <c r="L2375" s="43"/>
      <c r="M2375" s="43"/>
      <c r="N2375" s="43"/>
      <c r="O2375" s="43"/>
      <c r="P2375" s="43"/>
      <c r="Q2375" s="43"/>
      <c r="R2375" s="43"/>
      <c r="S2375" s="43"/>
      <c r="T2375" s="43"/>
      <c r="U2375" s="43"/>
      <c r="V2375" s="41"/>
      <c r="W2375" s="41"/>
      <c r="X2375" s="41"/>
      <c r="Y2375" s="41"/>
      <c r="Z2375" s="41"/>
      <c r="AA2375" s="44"/>
      <c r="AB2375" s="44"/>
      <c r="AC2375" s="43"/>
      <c r="AD2375" s="43"/>
      <c r="AE2375" s="43"/>
    </row>
    <row r="2376" spans="1:31" x14ac:dyDescent="0.35">
      <c r="C2376" s="33"/>
      <c r="D2376" s="34"/>
      <c r="E2376" s="34"/>
      <c r="F2376" s="34"/>
      <c r="G2376" s="34"/>
      <c r="H2376" s="34"/>
      <c r="I2376" s="34"/>
      <c r="J2376" s="34"/>
      <c r="K2376" s="34"/>
      <c r="L2376" s="34"/>
      <c r="M2376" s="34"/>
      <c r="N2376" s="34"/>
      <c r="O2376" s="34"/>
      <c r="AA2376" s="35"/>
      <c r="AB2376" s="35"/>
      <c r="AC2376" s="34"/>
      <c r="AD2376" s="34"/>
      <c r="AE2376" s="34"/>
    </row>
    <row r="2377" spans="1:31" ht="15" thickBot="1" x14ac:dyDescent="0.4">
      <c r="A2377" s="45"/>
      <c r="B2377" s="45"/>
      <c r="C2377" s="46"/>
      <c r="D2377" s="47"/>
      <c r="E2377" s="47"/>
      <c r="F2377" s="47"/>
      <c r="G2377" s="47"/>
      <c r="H2377" s="47"/>
      <c r="I2377" s="47"/>
      <c r="J2377" s="47"/>
      <c r="K2377" s="47"/>
      <c r="L2377" s="47"/>
      <c r="M2377" s="47"/>
      <c r="N2377" s="47"/>
      <c r="O2377" s="47"/>
      <c r="P2377" s="47"/>
      <c r="Q2377" s="47"/>
      <c r="R2377" s="47"/>
      <c r="S2377" s="47"/>
      <c r="T2377" s="45"/>
      <c r="U2377" s="45"/>
      <c r="V2377" s="45"/>
      <c r="W2377" s="45"/>
      <c r="X2377" s="47"/>
      <c r="Y2377" s="45"/>
      <c r="Z2377" s="45"/>
      <c r="AA2377" s="48"/>
      <c r="AB2377" s="48"/>
      <c r="AC2377" s="47"/>
      <c r="AD2377" s="47"/>
      <c r="AE2377" s="47"/>
    </row>
    <row r="2378" spans="1:31" x14ac:dyDescent="0.35">
      <c r="A2378" s="41"/>
      <c r="B2378" s="41"/>
      <c r="C2378" s="42"/>
      <c r="D2378" s="43"/>
      <c r="E2378" s="43"/>
      <c r="F2378" s="43"/>
      <c r="G2378" s="43"/>
      <c r="H2378" s="43"/>
      <c r="I2378" s="43"/>
      <c r="J2378" s="43"/>
      <c r="K2378" s="43"/>
      <c r="L2378" s="43"/>
      <c r="M2378" s="43"/>
      <c r="N2378" s="43"/>
      <c r="O2378" s="43"/>
      <c r="P2378" s="43"/>
      <c r="Q2378" s="43"/>
      <c r="R2378" s="43"/>
      <c r="S2378" s="43"/>
      <c r="T2378" s="43"/>
      <c r="U2378" s="43"/>
      <c r="V2378" s="41"/>
      <c r="W2378" s="41"/>
      <c r="X2378" s="41"/>
      <c r="Y2378" s="41"/>
      <c r="Z2378" s="41"/>
      <c r="AA2378" s="44"/>
      <c r="AB2378" s="44"/>
      <c r="AC2378" s="43"/>
      <c r="AD2378" s="43"/>
      <c r="AE2378" s="43"/>
    </row>
    <row r="2379" spans="1:31" x14ac:dyDescent="0.35">
      <c r="C2379" s="33"/>
      <c r="D2379" s="34"/>
      <c r="E2379" s="34"/>
      <c r="F2379" s="34"/>
      <c r="G2379" s="34"/>
      <c r="H2379" s="34"/>
      <c r="I2379" s="34"/>
      <c r="J2379" s="34"/>
      <c r="K2379" s="34"/>
      <c r="L2379" s="34"/>
      <c r="M2379" s="34"/>
      <c r="N2379" s="34"/>
      <c r="O2379" s="34"/>
      <c r="AA2379" s="35"/>
      <c r="AB2379" s="35"/>
      <c r="AC2379" s="34"/>
      <c r="AD2379" s="34"/>
      <c r="AE2379" s="34"/>
    </row>
    <row r="2380" spans="1:31" ht="15" thickBot="1" x14ac:dyDescent="0.4">
      <c r="A2380" s="45"/>
      <c r="B2380" s="45"/>
      <c r="C2380" s="46"/>
      <c r="D2380" s="47"/>
      <c r="E2380" s="47"/>
      <c r="F2380" s="47"/>
      <c r="G2380" s="47"/>
      <c r="H2380" s="47"/>
      <c r="I2380" s="47"/>
      <c r="J2380" s="47"/>
      <c r="K2380" s="47"/>
      <c r="L2380" s="47"/>
      <c r="M2380" s="47"/>
      <c r="N2380" s="47"/>
      <c r="O2380" s="47"/>
      <c r="P2380" s="47"/>
      <c r="Q2380" s="47"/>
      <c r="R2380" s="47"/>
      <c r="S2380" s="47"/>
      <c r="T2380" s="45"/>
      <c r="U2380" s="45"/>
      <c r="V2380" s="45"/>
      <c r="W2380" s="45"/>
      <c r="X2380" s="47"/>
      <c r="Y2380" s="45"/>
      <c r="Z2380" s="45"/>
      <c r="AA2380" s="48"/>
      <c r="AB2380" s="48"/>
      <c r="AC2380" s="47"/>
      <c r="AD2380" s="47"/>
      <c r="AE2380" s="47"/>
    </row>
    <row r="2381" spans="1:31" x14ac:dyDescent="0.35">
      <c r="A2381" s="41"/>
      <c r="B2381" s="41"/>
      <c r="C2381" s="42"/>
      <c r="D2381" s="43"/>
      <c r="E2381" s="43"/>
      <c r="F2381" s="43"/>
      <c r="G2381" s="43"/>
      <c r="H2381" s="43"/>
      <c r="I2381" s="43"/>
      <c r="J2381" s="43"/>
      <c r="K2381" s="43"/>
      <c r="L2381" s="43"/>
      <c r="M2381" s="43"/>
      <c r="N2381" s="43"/>
      <c r="O2381" s="43"/>
      <c r="P2381" s="43"/>
      <c r="Q2381" s="43"/>
      <c r="R2381" s="43"/>
      <c r="S2381" s="43"/>
      <c r="T2381" s="43"/>
      <c r="U2381" s="43"/>
      <c r="V2381" s="41"/>
      <c r="W2381" s="41"/>
      <c r="X2381" s="41"/>
      <c r="Y2381" s="41"/>
      <c r="Z2381" s="41"/>
      <c r="AA2381" s="44"/>
      <c r="AB2381" s="44"/>
      <c r="AC2381" s="43"/>
      <c r="AD2381" s="43"/>
      <c r="AE2381" s="43"/>
    </row>
    <row r="2382" spans="1:31" x14ac:dyDescent="0.35">
      <c r="C2382" s="33"/>
      <c r="D2382" s="34"/>
      <c r="E2382" s="34"/>
      <c r="F2382" s="34"/>
      <c r="G2382" s="34"/>
      <c r="H2382" s="34"/>
      <c r="I2382" s="34"/>
      <c r="J2382" s="34"/>
      <c r="K2382" s="34"/>
      <c r="L2382" s="34"/>
      <c r="M2382" s="34"/>
      <c r="N2382" s="34"/>
      <c r="O2382" s="34"/>
      <c r="AA2382" s="35"/>
      <c r="AB2382" s="35"/>
      <c r="AC2382" s="34"/>
      <c r="AD2382" s="34"/>
      <c r="AE2382" s="34"/>
    </row>
    <row r="2383" spans="1:31" ht="15" thickBot="1" x14ac:dyDescent="0.4">
      <c r="A2383" s="45"/>
      <c r="B2383" s="45"/>
      <c r="C2383" s="46"/>
      <c r="D2383" s="47"/>
      <c r="E2383" s="47"/>
      <c r="F2383" s="47"/>
      <c r="G2383" s="47"/>
      <c r="H2383" s="47"/>
      <c r="I2383" s="47"/>
      <c r="J2383" s="47"/>
      <c r="K2383" s="47"/>
      <c r="L2383" s="47"/>
      <c r="M2383" s="47"/>
      <c r="N2383" s="47"/>
      <c r="O2383" s="47"/>
      <c r="P2383" s="47"/>
      <c r="Q2383" s="47"/>
      <c r="R2383" s="47"/>
      <c r="S2383" s="47"/>
      <c r="T2383" s="45"/>
      <c r="U2383" s="45"/>
      <c r="V2383" s="45"/>
      <c r="W2383" s="45"/>
      <c r="X2383" s="47"/>
      <c r="Y2383" s="45"/>
      <c r="Z2383" s="45"/>
      <c r="AA2383" s="48"/>
      <c r="AB2383" s="48"/>
      <c r="AC2383" s="47"/>
      <c r="AD2383" s="47"/>
      <c r="AE2383" s="47"/>
    </row>
    <row r="2384" spans="1:31" x14ac:dyDescent="0.35">
      <c r="A2384" s="41"/>
      <c r="B2384" s="41"/>
      <c r="C2384" s="42"/>
      <c r="D2384" s="43"/>
      <c r="E2384" s="43"/>
      <c r="F2384" s="43"/>
      <c r="G2384" s="43"/>
      <c r="H2384" s="43"/>
      <c r="I2384" s="43"/>
      <c r="J2384" s="43"/>
      <c r="K2384" s="43"/>
      <c r="L2384" s="43"/>
      <c r="M2384" s="43"/>
      <c r="N2384" s="43"/>
      <c r="O2384" s="43"/>
      <c r="P2384" s="43"/>
      <c r="Q2384" s="43"/>
      <c r="R2384" s="43"/>
      <c r="S2384" s="43"/>
      <c r="T2384" s="43"/>
      <c r="U2384" s="43"/>
      <c r="V2384" s="41"/>
      <c r="W2384" s="41"/>
      <c r="X2384" s="41"/>
      <c r="Y2384" s="41"/>
      <c r="Z2384" s="41"/>
      <c r="AA2384" s="44"/>
      <c r="AB2384" s="44"/>
      <c r="AC2384" s="43"/>
      <c r="AD2384" s="43"/>
      <c r="AE2384" s="43"/>
    </row>
    <row r="2385" spans="1:31" x14ac:dyDescent="0.35">
      <c r="C2385" s="33"/>
      <c r="D2385" s="34"/>
      <c r="E2385" s="34"/>
      <c r="F2385" s="34"/>
      <c r="G2385" s="34"/>
      <c r="H2385" s="34"/>
      <c r="I2385" s="34"/>
      <c r="J2385" s="34"/>
      <c r="K2385" s="34"/>
      <c r="L2385" s="34"/>
      <c r="M2385" s="34"/>
      <c r="N2385" s="34"/>
      <c r="O2385" s="34"/>
      <c r="AA2385" s="35"/>
      <c r="AB2385" s="35"/>
      <c r="AC2385" s="34"/>
      <c r="AD2385" s="34"/>
      <c r="AE2385" s="34"/>
    </row>
    <row r="2386" spans="1:31" ht="15" thickBot="1" x14ac:dyDescent="0.4">
      <c r="A2386" s="45"/>
      <c r="B2386" s="45"/>
      <c r="C2386" s="46"/>
      <c r="D2386" s="47"/>
      <c r="E2386" s="47"/>
      <c r="F2386" s="47"/>
      <c r="G2386" s="47"/>
      <c r="H2386" s="47"/>
      <c r="I2386" s="47"/>
      <c r="J2386" s="47"/>
      <c r="K2386" s="47"/>
      <c r="L2386" s="47"/>
      <c r="M2386" s="47"/>
      <c r="N2386" s="47"/>
      <c r="O2386" s="47"/>
      <c r="P2386" s="47"/>
      <c r="Q2386" s="47"/>
      <c r="R2386" s="47"/>
      <c r="S2386" s="47"/>
      <c r="T2386" s="45"/>
      <c r="U2386" s="45"/>
      <c r="V2386" s="45"/>
      <c r="W2386" s="45"/>
      <c r="X2386" s="47"/>
      <c r="Y2386" s="45"/>
      <c r="Z2386" s="45"/>
      <c r="AA2386" s="48"/>
      <c r="AB2386" s="48"/>
      <c r="AC2386" s="47"/>
      <c r="AD2386" s="47"/>
      <c r="AE2386" s="47"/>
    </row>
    <row r="2387" spans="1:31" x14ac:dyDescent="0.35">
      <c r="A2387" s="41"/>
      <c r="B2387" s="41"/>
      <c r="C2387" s="42"/>
      <c r="D2387" s="43"/>
      <c r="E2387" s="43"/>
      <c r="F2387" s="43"/>
      <c r="G2387" s="43"/>
      <c r="H2387" s="43"/>
      <c r="I2387" s="43"/>
      <c r="J2387" s="43"/>
      <c r="K2387" s="43"/>
      <c r="L2387" s="43"/>
      <c r="M2387" s="43"/>
      <c r="N2387" s="43"/>
      <c r="O2387" s="43"/>
      <c r="P2387" s="43"/>
      <c r="Q2387" s="43"/>
      <c r="R2387" s="43"/>
      <c r="S2387" s="43"/>
      <c r="T2387" s="43"/>
      <c r="U2387" s="43"/>
      <c r="V2387" s="41"/>
      <c r="W2387" s="41"/>
      <c r="X2387" s="41"/>
      <c r="Y2387" s="41"/>
      <c r="Z2387" s="41"/>
      <c r="AA2387" s="44"/>
      <c r="AB2387" s="44"/>
      <c r="AC2387" s="43"/>
      <c r="AD2387" s="43"/>
      <c r="AE2387" s="43"/>
    </row>
    <row r="2388" spans="1:31" x14ac:dyDescent="0.35">
      <c r="C2388" s="33"/>
      <c r="D2388" s="34"/>
      <c r="E2388" s="34"/>
      <c r="F2388" s="34"/>
      <c r="G2388" s="34"/>
      <c r="H2388" s="34"/>
      <c r="I2388" s="34"/>
      <c r="J2388" s="34"/>
      <c r="K2388" s="34"/>
      <c r="L2388" s="34"/>
      <c r="M2388" s="34"/>
      <c r="N2388" s="34"/>
      <c r="O2388" s="34"/>
      <c r="AA2388" s="35"/>
      <c r="AB2388" s="35"/>
      <c r="AC2388" s="34"/>
      <c r="AD2388" s="34"/>
      <c r="AE2388" s="34"/>
    </row>
    <row r="2389" spans="1:31" ht="15" thickBot="1" x14ac:dyDescent="0.4">
      <c r="A2389" s="45"/>
      <c r="B2389" s="45"/>
      <c r="C2389" s="46"/>
      <c r="D2389" s="47"/>
      <c r="E2389" s="47"/>
      <c r="F2389" s="47"/>
      <c r="G2389" s="47"/>
      <c r="H2389" s="47"/>
      <c r="I2389" s="47"/>
      <c r="J2389" s="47"/>
      <c r="K2389" s="47"/>
      <c r="L2389" s="47"/>
      <c r="M2389" s="47"/>
      <c r="N2389" s="47"/>
      <c r="O2389" s="47"/>
      <c r="P2389" s="47"/>
      <c r="Q2389" s="47"/>
      <c r="R2389" s="47"/>
      <c r="S2389" s="47"/>
      <c r="T2389" s="45"/>
      <c r="U2389" s="45"/>
      <c r="V2389" s="45"/>
      <c r="W2389" s="45"/>
      <c r="X2389" s="47"/>
      <c r="Y2389" s="45"/>
      <c r="Z2389" s="45"/>
      <c r="AA2389" s="48"/>
      <c r="AB2389" s="48"/>
      <c r="AC2389" s="47"/>
      <c r="AD2389" s="47"/>
      <c r="AE2389" s="47"/>
    </row>
    <row r="2390" spans="1:31" x14ac:dyDescent="0.35">
      <c r="A2390" s="41"/>
      <c r="B2390" s="41"/>
      <c r="C2390" s="42"/>
      <c r="D2390" s="43"/>
      <c r="E2390" s="43"/>
      <c r="F2390" s="43"/>
      <c r="G2390" s="43"/>
      <c r="H2390" s="43"/>
      <c r="I2390" s="43"/>
      <c r="J2390" s="43"/>
      <c r="K2390" s="43"/>
      <c r="L2390" s="43"/>
      <c r="M2390" s="43"/>
      <c r="N2390" s="43"/>
      <c r="O2390" s="43"/>
      <c r="P2390" s="43"/>
      <c r="Q2390" s="43"/>
      <c r="R2390" s="43"/>
      <c r="S2390" s="43"/>
      <c r="T2390" s="43"/>
      <c r="U2390" s="43"/>
      <c r="V2390" s="41"/>
      <c r="W2390" s="41"/>
      <c r="X2390" s="41"/>
      <c r="Y2390" s="41"/>
      <c r="Z2390" s="41"/>
      <c r="AA2390" s="44"/>
      <c r="AB2390" s="44"/>
      <c r="AC2390" s="43"/>
      <c r="AD2390" s="43"/>
      <c r="AE2390" s="43"/>
    </row>
    <row r="2391" spans="1:31" x14ac:dyDescent="0.35">
      <c r="C2391" s="33"/>
      <c r="D2391" s="34"/>
      <c r="E2391" s="34"/>
      <c r="F2391" s="34"/>
      <c r="G2391" s="34"/>
      <c r="H2391" s="34"/>
      <c r="I2391" s="34"/>
      <c r="J2391" s="34"/>
      <c r="K2391" s="34"/>
      <c r="L2391" s="34"/>
      <c r="M2391" s="34"/>
      <c r="N2391" s="34"/>
      <c r="O2391" s="34"/>
      <c r="AA2391" s="35"/>
      <c r="AB2391" s="35"/>
      <c r="AC2391" s="34"/>
      <c r="AD2391" s="34"/>
      <c r="AE2391" s="34"/>
    </row>
    <row r="2392" spans="1:31" ht="15" thickBot="1" x14ac:dyDescent="0.4">
      <c r="A2392" s="45"/>
      <c r="B2392" s="45"/>
      <c r="C2392" s="46"/>
      <c r="D2392" s="47"/>
      <c r="E2392" s="47"/>
      <c r="F2392" s="47"/>
      <c r="G2392" s="47"/>
      <c r="H2392" s="47"/>
      <c r="I2392" s="47"/>
      <c r="J2392" s="47"/>
      <c r="K2392" s="47"/>
      <c r="L2392" s="47"/>
      <c r="M2392" s="47"/>
      <c r="N2392" s="47"/>
      <c r="O2392" s="47"/>
      <c r="P2392" s="47"/>
      <c r="Q2392" s="47"/>
      <c r="R2392" s="47"/>
      <c r="S2392" s="47"/>
      <c r="T2392" s="45"/>
      <c r="U2392" s="45"/>
      <c r="V2392" s="45"/>
      <c r="W2392" s="45"/>
      <c r="X2392" s="47"/>
      <c r="Y2392" s="45"/>
      <c r="Z2392" s="45"/>
      <c r="AA2392" s="48"/>
      <c r="AB2392" s="48"/>
      <c r="AC2392" s="47"/>
      <c r="AD2392" s="47"/>
      <c r="AE2392" s="47"/>
    </row>
    <row r="2393" spans="1:31" x14ac:dyDescent="0.35">
      <c r="A2393" s="41"/>
      <c r="B2393" s="41"/>
      <c r="C2393" s="42"/>
      <c r="D2393" s="43"/>
      <c r="E2393" s="43"/>
      <c r="F2393" s="43"/>
      <c r="G2393" s="43"/>
      <c r="H2393" s="43"/>
      <c r="I2393" s="43"/>
      <c r="J2393" s="43"/>
      <c r="K2393" s="43"/>
      <c r="L2393" s="43"/>
      <c r="M2393" s="43"/>
      <c r="N2393" s="43"/>
      <c r="O2393" s="43"/>
      <c r="P2393" s="43"/>
      <c r="Q2393" s="43"/>
      <c r="R2393" s="43"/>
      <c r="S2393" s="43"/>
      <c r="T2393" s="43"/>
      <c r="U2393" s="43"/>
      <c r="V2393" s="41"/>
      <c r="W2393" s="41"/>
      <c r="X2393" s="41"/>
      <c r="Y2393" s="41"/>
      <c r="Z2393" s="41"/>
      <c r="AA2393" s="44"/>
      <c r="AB2393" s="44"/>
      <c r="AC2393" s="43"/>
      <c r="AD2393" s="43"/>
      <c r="AE2393" s="43"/>
    </row>
    <row r="2394" spans="1:31" x14ac:dyDescent="0.35">
      <c r="C2394" s="33"/>
      <c r="D2394" s="34"/>
      <c r="E2394" s="34"/>
      <c r="F2394" s="34"/>
      <c r="G2394" s="34"/>
      <c r="H2394" s="34"/>
      <c r="I2394" s="34"/>
      <c r="J2394" s="34"/>
      <c r="K2394" s="34"/>
      <c r="L2394" s="34"/>
      <c r="M2394" s="34"/>
      <c r="N2394" s="34"/>
      <c r="O2394" s="34"/>
      <c r="AA2394" s="35"/>
      <c r="AB2394" s="35"/>
      <c r="AC2394" s="34"/>
      <c r="AD2394" s="34"/>
      <c r="AE2394" s="34"/>
    </row>
    <row r="2395" spans="1:31" ht="15" thickBot="1" x14ac:dyDescent="0.4">
      <c r="A2395" s="45"/>
      <c r="B2395" s="45"/>
      <c r="C2395" s="46"/>
      <c r="D2395" s="47"/>
      <c r="E2395" s="47"/>
      <c r="F2395" s="47"/>
      <c r="G2395" s="47"/>
      <c r="H2395" s="47"/>
      <c r="I2395" s="47"/>
      <c r="J2395" s="47"/>
      <c r="K2395" s="47"/>
      <c r="L2395" s="47"/>
      <c r="M2395" s="47"/>
      <c r="N2395" s="47"/>
      <c r="O2395" s="47"/>
      <c r="P2395" s="47"/>
      <c r="Q2395" s="47"/>
      <c r="R2395" s="47"/>
      <c r="S2395" s="47"/>
      <c r="T2395" s="45"/>
      <c r="U2395" s="45"/>
      <c r="V2395" s="45"/>
      <c r="W2395" s="45"/>
      <c r="X2395" s="47"/>
      <c r="Y2395" s="45"/>
      <c r="Z2395" s="45"/>
      <c r="AA2395" s="48"/>
      <c r="AB2395" s="48"/>
      <c r="AC2395" s="47"/>
      <c r="AD2395" s="47"/>
      <c r="AE2395" s="47"/>
    </row>
    <row r="2396" spans="1:31" x14ac:dyDescent="0.35">
      <c r="A2396" s="41"/>
      <c r="B2396" s="41"/>
      <c r="C2396" s="42"/>
      <c r="D2396" s="43"/>
      <c r="E2396" s="43"/>
      <c r="F2396" s="43"/>
      <c r="G2396" s="43"/>
      <c r="H2396" s="43"/>
      <c r="I2396" s="43"/>
      <c r="J2396" s="43"/>
      <c r="K2396" s="43"/>
      <c r="L2396" s="43"/>
      <c r="M2396" s="43"/>
      <c r="N2396" s="43"/>
      <c r="O2396" s="43"/>
      <c r="P2396" s="43"/>
      <c r="Q2396" s="43"/>
      <c r="R2396" s="43"/>
      <c r="S2396" s="43"/>
      <c r="T2396" s="43"/>
      <c r="U2396" s="43"/>
      <c r="V2396" s="41"/>
      <c r="W2396" s="41"/>
      <c r="X2396" s="41"/>
      <c r="Y2396" s="41"/>
      <c r="Z2396" s="41"/>
      <c r="AA2396" s="44"/>
      <c r="AB2396" s="44"/>
      <c r="AC2396" s="43"/>
      <c r="AD2396" s="43"/>
      <c r="AE2396" s="43"/>
    </row>
    <row r="2397" spans="1:31" x14ac:dyDescent="0.35">
      <c r="C2397" s="33"/>
      <c r="D2397" s="34"/>
      <c r="E2397" s="34"/>
      <c r="F2397" s="34"/>
      <c r="G2397" s="34"/>
      <c r="H2397" s="34"/>
      <c r="I2397" s="34"/>
      <c r="J2397" s="34"/>
      <c r="K2397" s="34"/>
      <c r="L2397" s="34"/>
      <c r="M2397" s="34"/>
      <c r="N2397" s="34"/>
      <c r="O2397" s="34"/>
      <c r="AA2397" s="35"/>
      <c r="AB2397" s="35"/>
      <c r="AC2397" s="34"/>
      <c r="AD2397" s="34"/>
      <c r="AE2397" s="34"/>
    </row>
    <row r="2398" spans="1:31" ht="15" thickBot="1" x14ac:dyDescent="0.4">
      <c r="A2398" s="45"/>
      <c r="B2398" s="45"/>
      <c r="C2398" s="46"/>
      <c r="D2398" s="47"/>
      <c r="E2398" s="47"/>
      <c r="F2398" s="47"/>
      <c r="G2398" s="47"/>
      <c r="H2398" s="47"/>
      <c r="I2398" s="47"/>
      <c r="J2398" s="47"/>
      <c r="K2398" s="47"/>
      <c r="L2398" s="47"/>
      <c r="M2398" s="47"/>
      <c r="N2398" s="47"/>
      <c r="O2398" s="47"/>
      <c r="P2398" s="47"/>
      <c r="Q2398" s="47"/>
      <c r="R2398" s="47"/>
      <c r="S2398" s="47"/>
      <c r="T2398" s="45"/>
      <c r="U2398" s="45"/>
      <c r="V2398" s="45"/>
      <c r="W2398" s="45"/>
      <c r="X2398" s="47"/>
      <c r="Y2398" s="45"/>
      <c r="Z2398" s="45"/>
      <c r="AA2398" s="48"/>
      <c r="AB2398" s="48"/>
      <c r="AC2398" s="47"/>
      <c r="AD2398" s="47"/>
      <c r="AE2398" s="47"/>
    </row>
    <row r="2399" spans="1:31" x14ac:dyDescent="0.35">
      <c r="A2399" s="41"/>
      <c r="B2399" s="41"/>
      <c r="C2399" s="42"/>
      <c r="D2399" s="43"/>
      <c r="E2399" s="43"/>
      <c r="F2399" s="43"/>
      <c r="G2399" s="43"/>
      <c r="H2399" s="43"/>
      <c r="I2399" s="43"/>
      <c r="J2399" s="43"/>
      <c r="K2399" s="43"/>
      <c r="L2399" s="43"/>
      <c r="M2399" s="43"/>
      <c r="N2399" s="43"/>
      <c r="O2399" s="43"/>
      <c r="P2399" s="43"/>
      <c r="Q2399" s="43"/>
      <c r="R2399" s="43"/>
      <c r="S2399" s="43"/>
      <c r="T2399" s="43"/>
      <c r="U2399" s="43"/>
      <c r="V2399" s="41"/>
      <c r="W2399" s="41"/>
      <c r="X2399" s="41"/>
      <c r="Y2399" s="41"/>
      <c r="Z2399" s="41"/>
      <c r="AA2399" s="44"/>
      <c r="AB2399" s="44"/>
      <c r="AC2399" s="43"/>
      <c r="AD2399" s="43"/>
      <c r="AE2399" s="43"/>
    </row>
    <row r="2400" spans="1:31" x14ac:dyDescent="0.35">
      <c r="C2400" s="33"/>
      <c r="D2400" s="34"/>
      <c r="E2400" s="34"/>
      <c r="F2400" s="34"/>
      <c r="G2400" s="34"/>
      <c r="H2400" s="34"/>
      <c r="I2400" s="34"/>
      <c r="J2400" s="34"/>
      <c r="K2400" s="34"/>
      <c r="L2400" s="34"/>
      <c r="M2400" s="34"/>
      <c r="N2400" s="34"/>
      <c r="O2400" s="34"/>
      <c r="AA2400" s="35"/>
      <c r="AB2400" s="35"/>
      <c r="AC2400" s="34"/>
      <c r="AD2400" s="34"/>
      <c r="AE2400" s="34"/>
    </row>
    <row r="2401" spans="1:31" ht="15" thickBot="1" x14ac:dyDescent="0.4">
      <c r="A2401" s="45"/>
      <c r="B2401" s="45"/>
      <c r="C2401" s="46"/>
      <c r="D2401" s="47"/>
      <c r="E2401" s="47"/>
      <c r="F2401" s="47"/>
      <c r="G2401" s="47"/>
      <c r="H2401" s="47"/>
      <c r="I2401" s="47"/>
      <c r="J2401" s="47"/>
      <c r="K2401" s="47"/>
      <c r="L2401" s="47"/>
      <c r="M2401" s="47"/>
      <c r="N2401" s="47"/>
      <c r="O2401" s="47"/>
      <c r="P2401" s="47"/>
      <c r="Q2401" s="47"/>
      <c r="R2401" s="47"/>
      <c r="S2401" s="47"/>
      <c r="T2401" s="45"/>
      <c r="U2401" s="45"/>
      <c r="V2401" s="45"/>
      <c r="W2401" s="45"/>
      <c r="X2401" s="47"/>
      <c r="Y2401" s="45"/>
      <c r="Z2401" s="45"/>
      <c r="AA2401" s="48"/>
      <c r="AB2401" s="48"/>
      <c r="AC2401" s="47"/>
      <c r="AD2401" s="47"/>
      <c r="AE2401" s="47"/>
    </row>
    <row r="2402" spans="1:31" x14ac:dyDescent="0.35">
      <c r="A2402" s="41"/>
      <c r="B2402" s="41"/>
      <c r="C2402" s="42"/>
      <c r="D2402" s="43"/>
      <c r="E2402" s="43"/>
      <c r="F2402" s="43"/>
      <c r="G2402" s="43"/>
      <c r="H2402" s="43"/>
      <c r="I2402" s="43"/>
      <c r="J2402" s="43"/>
      <c r="K2402" s="43"/>
      <c r="L2402" s="43"/>
      <c r="M2402" s="43"/>
      <c r="N2402" s="43"/>
      <c r="O2402" s="43"/>
      <c r="P2402" s="43"/>
      <c r="Q2402" s="43"/>
      <c r="R2402" s="43"/>
      <c r="S2402" s="43"/>
      <c r="T2402" s="43"/>
      <c r="U2402" s="43"/>
      <c r="V2402" s="41"/>
      <c r="W2402" s="41"/>
      <c r="X2402" s="41"/>
      <c r="Y2402" s="41"/>
      <c r="Z2402" s="41"/>
      <c r="AA2402" s="44"/>
      <c r="AB2402" s="44"/>
      <c r="AC2402" s="43"/>
      <c r="AD2402" s="43"/>
      <c r="AE2402" s="43"/>
    </row>
    <row r="2403" spans="1:31" x14ac:dyDescent="0.35">
      <c r="C2403" s="33"/>
      <c r="D2403" s="34"/>
      <c r="E2403" s="34"/>
      <c r="F2403" s="34"/>
      <c r="G2403" s="34"/>
      <c r="H2403" s="34"/>
      <c r="I2403" s="34"/>
      <c r="J2403" s="34"/>
      <c r="K2403" s="34"/>
      <c r="L2403" s="34"/>
      <c r="M2403" s="34"/>
      <c r="N2403" s="34"/>
      <c r="O2403" s="34"/>
      <c r="AA2403" s="35"/>
      <c r="AB2403" s="35"/>
      <c r="AC2403" s="34"/>
      <c r="AD2403" s="34"/>
      <c r="AE2403" s="34"/>
    </row>
    <row r="2404" spans="1:31" ht="15" thickBot="1" x14ac:dyDescent="0.4">
      <c r="A2404" s="45"/>
      <c r="B2404" s="45"/>
      <c r="C2404" s="46"/>
      <c r="D2404" s="47"/>
      <c r="E2404" s="47"/>
      <c r="F2404" s="47"/>
      <c r="G2404" s="47"/>
      <c r="H2404" s="47"/>
      <c r="I2404" s="47"/>
      <c r="J2404" s="47"/>
      <c r="K2404" s="47"/>
      <c r="L2404" s="47"/>
      <c r="M2404" s="47"/>
      <c r="N2404" s="47"/>
      <c r="O2404" s="47"/>
      <c r="P2404" s="47"/>
      <c r="Q2404" s="47"/>
      <c r="R2404" s="47"/>
      <c r="S2404" s="47"/>
      <c r="T2404" s="45"/>
      <c r="U2404" s="45"/>
      <c r="V2404" s="45"/>
      <c r="W2404" s="45"/>
      <c r="X2404" s="47"/>
      <c r="Y2404" s="45"/>
      <c r="Z2404" s="45"/>
      <c r="AA2404" s="48"/>
      <c r="AB2404" s="48"/>
      <c r="AC2404" s="47"/>
      <c r="AD2404" s="47"/>
      <c r="AE2404" s="47"/>
    </row>
    <row r="2405" spans="1:31" x14ac:dyDescent="0.35">
      <c r="A2405" s="41"/>
      <c r="B2405" s="41"/>
      <c r="C2405" s="42"/>
      <c r="D2405" s="43"/>
      <c r="E2405" s="43"/>
      <c r="F2405" s="43"/>
      <c r="G2405" s="43"/>
      <c r="H2405" s="43"/>
      <c r="I2405" s="43"/>
      <c r="J2405" s="43"/>
      <c r="K2405" s="43"/>
      <c r="L2405" s="43"/>
      <c r="M2405" s="43"/>
      <c r="N2405" s="43"/>
      <c r="O2405" s="43"/>
      <c r="P2405" s="43"/>
      <c r="Q2405" s="43"/>
      <c r="R2405" s="43"/>
      <c r="S2405" s="43"/>
      <c r="T2405" s="43"/>
      <c r="U2405" s="43"/>
      <c r="V2405" s="41"/>
      <c r="W2405" s="41"/>
      <c r="X2405" s="41"/>
      <c r="Y2405" s="41"/>
      <c r="Z2405" s="41"/>
      <c r="AA2405" s="44"/>
      <c r="AB2405" s="44"/>
      <c r="AC2405" s="43"/>
      <c r="AD2405" s="43"/>
      <c r="AE2405" s="43"/>
    </row>
    <row r="2406" spans="1:31" x14ac:dyDescent="0.35">
      <c r="C2406" s="33"/>
      <c r="D2406" s="34"/>
      <c r="E2406" s="34"/>
      <c r="F2406" s="34"/>
      <c r="G2406" s="34"/>
      <c r="H2406" s="34"/>
      <c r="I2406" s="34"/>
      <c r="J2406" s="34"/>
      <c r="K2406" s="34"/>
      <c r="L2406" s="34"/>
      <c r="M2406" s="34"/>
      <c r="N2406" s="34"/>
      <c r="O2406" s="34"/>
      <c r="AA2406" s="35"/>
      <c r="AB2406" s="35"/>
      <c r="AC2406" s="34"/>
      <c r="AD2406" s="34"/>
      <c r="AE2406" s="34"/>
    </row>
    <row r="2407" spans="1:31" ht="15" thickBot="1" x14ac:dyDescent="0.4">
      <c r="A2407" s="45"/>
      <c r="B2407" s="45"/>
      <c r="C2407" s="46"/>
      <c r="D2407" s="47"/>
      <c r="E2407" s="47"/>
      <c r="F2407" s="47"/>
      <c r="G2407" s="47"/>
      <c r="H2407" s="47"/>
      <c r="I2407" s="47"/>
      <c r="J2407" s="47"/>
      <c r="K2407" s="47"/>
      <c r="L2407" s="47"/>
      <c r="M2407" s="47"/>
      <c r="N2407" s="47"/>
      <c r="O2407" s="47"/>
      <c r="P2407" s="47"/>
      <c r="Q2407" s="47"/>
      <c r="R2407" s="47"/>
      <c r="S2407" s="47"/>
      <c r="T2407" s="45"/>
      <c r="U2407" s="45"/>
      <c r="V2407" s="45"/>
      <c r="W2407" s="45"/>
      <c r="X2407" s="47"/>
      <c r="Y2407" s="45"/>
      <c r="Z2407" s="45"/>
      <c r="AA2407" s="48"/>
      <c r="AB2407" s="48"/>
      <c r="AC2407" s="47"/>
      <c r="AD2407" s="47"/>
      <c r="AE2407" s="47"/>
    </row>
    <row r="2408" spans="1:31" x14ac:dyDescent="0.35">
      <c r="A2408" s="41"/>
      <c r="B2408" s="41"/>
      <c r="C2408" s="42"/>
      <c r="D2408" s="43"/>
      <c r="E2408" s="43"/>
      <c r="F2408" s="43"/>
      <c r="G2408" s="43"/>
      <c r="H2408" s="43"/>
      <c r="I2408" s="43"/>
      <c r="J2408" s="43"/>
      <c r="K2408" s="43"/>
      <c r="L2408" s="43"/>
      <c r="M2408" s="43"/>
      <c r="N2408" s="43"/>
      <c r="O2408" s="43"/>
      <c r="P2408" s="43"/>
      <c r="Q2408" s="43"/>
      <c r="R2408" s="43"/>
      <c r="S2408" s="43"/>
      <c r="T2408" s="43"/>
      <c r="U2408" s="43"/>
      <c r="V2408" s="41"/>
      <c r="W2408" s="41"/>
      <c r="X2408" s="41"/>
      <c r="Y2408" s="41"/>
      <c r="Z2408" s="41"/>
      <c r="AA2408" s="44"/>
      <c r="AB2408" s="44"/>
      <c r="AC2408" s="43"/>
      <c r="AD2408" s="43"/>
      <c r="AE2408" s="43"/>
    </row>
    <row r="2409" spans="1:31" x14ac:dyDescent="0.35">
      <c r="C2409" s="33"/>
      <c r="D2409" s="34"/>
      <c r="E2409" s="34"/>
      <c r="F2409" s="34"/>
      <c r="G2409" s="34"/>
      <c r="H2409" s="34"/>
      <c r="I2409" s="34"/>
      <c r="J2409" s="34"/>
      <c r="K2409" s="34"/>
      <c r="L2409" s="34"/>
      <c r="M2409" s="34"/>
      <c r="N2409" s="34"/>
      <c r="O2409" s="34"/>
      <c r="AA2409" s="35"/>
      <c r="AB2409" s="35"/>
      <c r="AC2409" s="34"/>
      <c r="AD2409" s="34"/>
      <c r="AE2409" s="34"/>
    </row>
    <row r="2410" spans="1:31" ht="15" thickBot="1" x14ac:dyDescent="0.4">
      <c r="A2410" s="45"/>
      <c r="B2410" s="45"/>
      <c r="C2410" s="46"/>
      <c r="D2410" s="47"/>
      <c r="E2410" s="47"/>
      <c r="F2410" s="47"/>
      <c r="G2410" s="47"/>
      <c r="H2410" s="47"/>
      <c r="I2410" s="47"/>
      <c r="J2410" s="47"/>
      <c r="K2410" s="47"/>
      <c r="L2410" s="47"/>
      <c r="M2410" s="47"/>
      <c r="N2410" s="47"/>
      <c r="O2410" s="47"/>
      <c r="P2410" s="47"/>
      <c r="Q2410" s="47"/>
      <c r="R2410" s="47"/>
      <c r="S2410" s="47"/>
      <c r="T2410" s="45"/>
      <c r="U2410" s="45"/>
      <c r="V2410" s="45"/>
      <c r="W2410" s="45"/>
      <c r="X2410" s="47"/>
      <c r="Y2410" s="45"/>
      <c r="Z2410" s="45"/>
      <c r="AA2410" s="48"/>
      <c r="AB2410" s="48"/>
      <c r="AC2410" s="47"/>
      <c r="AD2410" s="47"/>
      <c r="AE2410" s="47"/>
    </row>
    <row r="2411" spans="1:31" x14ac:dyDescent="0.35">
      <c r="A2411" s="41"/>
      <c r="B2411" s="41"/>
      <c r="C2411" s="42"/>
      <c r="D2411" s="43"/>
      <c r="E2411" s="43"/>
      <c r="F2411" s="43"/>
      <c r="G2411" s="43"/>
      <c r="H2411" s="43"/>
      <c r="I2411" s="43"/>
      <c r="J2411" s="43"/>
      <c r="K2411" s="43"/>
      <c r="L2411" s="43"/>
      <c r="M2411" s="43"/>
      <c r="N2411" s="43"/>
      <c r="O2411" s="43"/>
      <c r="P2411" s="43"/>
      <c r="Q2411" s="43"/>
      <c r="R2411" s="43"/>
      <c r="S2411" s="43"/>
      <c r="T2411" s="43"/>
      <c r="U2411" s="43"/>
      <c r="V2411" s="41"/>
      <c r="W2411" s="41"/>
      <c r="X2411" s="41"/>
      <c r="Y2411" s="41"/>
      <c r="Z2411" s="41"/>
      <c r="AA2411" s="44"/>
      <c r="AB2411" s="44"/>
      <c r="AC2411" s="43"/>
      <c r="AD2411" s="43"/>
      <c r="AE2411" s="43"/>
    </row>
    <row r="2412" spans="1:31" x14ac:dyDescent="0.35">
      <c r="C2412" s="33"/>
      <c r="D2412" s="34"/>
      <c r="E2412" s="34"/>
      <c r="F2412" s="34"/>
      <c r="G2412" s="34"/>
      <c r="H2412" s="34"/>
      <c r="I2412" s="34"/>
      <c r="J2412" s="34"/>
      <c r="K2412" s="34"/>
      <c r="L2412" s="34"/>
      <c r="M2412" s="34"/>
      <c r="N2412" s="34"/>
      <c r="O2412" s="34"/>
      <c r="AA2412" s="35"/>
      <c r="AB2412" s="35"/>
      <c r="AC2412" s="34"/>
      <c r="AD2412" s="34"/>
      <c r="AE2412" s="34"/>
    </row>
    <row r="2413" spans="1:31" ht="15" thickBot="1" x14ac:dyDescent="0.4">
      <c r="A2413" s="45"/>
      <c r="B2413" s="45"/>
      <c r="C2413" s="46"/>
      <c r="D2413" s="47"/>
      <c r="E2413" s="47"/>
      <c r="F2413" s="47"/>
      <c r="G2413" s="47"/>
      <c r="H2413" s="47"/>
      <c r="I2413" s="47"/>
      <c r="J2413" s="47"/>
      <c r="K2413" s="47"/>
      <c r="L2413" s="47"/>
      <c r="M2413" s="47"/>
      <c r="N2413" s="47"/>
      <c r="O2413" s="47"/>
      <c r="P2413" s="47"/>
      <c r="Q2413" s="47"/>
      <c r="R2413" s="47"/>
      <c r="S2413" s="47"/>
      <c r="T2413" s="45"/>
      <c r="U2413" s="45"/>
      <c r="V2413" s="45"/>
      <c r="W2413" s="45"/>
      <c r="X2413" s="47"/>
      <c r="Y2413" s="45"/>
      <c r="Z2413" s="45"/>
      <c r="AA2413" s="48"/>
      <c r="AB2413" s="48"/>
      <c r="AC2413" s="47"/>
      <c r="AD2413" s="47"/>
      <c r="AE2413" s="47"/>
    </row>
    <row r="2414" spans="1:31" x14ac:dyDescent="0.35">
      <c r="A2414" s="41"/>
      <c r="B2414" s="41"/>
      <c r="C2414" s="42"/>
      <c r="D2414" s="43"/>
      <c r="E2414" s="43"/>
      <c r="F2414" s="43"/>
      <c r="G2414" s="43"/>
      <c r="H2414" s="43"/>
      <c r="I2414" s="43"/>
      <c r="J2414" s="43"/>
      <c r="K2414" s="43"/>
      <c r="L2414" s="43"/>
      <c r="M2414" s="43"/>
      <c r="N2414" s="43"/>
      <c r="O2414" s="43"/>
      <c r="P2414" s="43"/>
      <c r="Q2414" s="43"/>
      <c r="R2414" s="43"/>
      <c r="S2414" s="43"/>
      <c r="T2414" s="43"/>
      <c r="U2414" s="43"/>
      <c r="V2414" s="41"/>
      <c r="W2414" s="41"/>
      <c r="X2414" s="41"/>
      <c r="Y2414" s="41"/>
      <c r="Z2414" s="41"/>
      <c r="AA2414" s="44"/>
      <c r="AB2414" s="44"/>
      <c r="AC2414" s="43"/>
      <c r="AD2414" s="43"/>
      <c r="AE2414" s="43"/>
    </row>
    <row r="2415" spans="1:31" x14ac:dyDescent="0.35">
      <c r="C2415" s="33"/>
      <c r="D2415" s="34"/>
      <c r="E2415" s="34"/>
      <c r="F2415" s="34"/>
      <c r="G2415" s="34"/>
      <c r="H2415" s="34"/>
      <c r="I2415" s="34"/>
      <c r="J2415" s="34"/>
      <c r="K2415" s="34"/>
      <c r="L2415" s="34"/>
      <c r="M2415" s="34"/>
      <c r="N2415" s="34"/>
      <c r="O2415" s="34"/>
      <c r="AA2415" s="35"/>
      <c r="AB2415" s="35"/>
      <c r="AC2415" s="34"/>
      <c r="AD2415" s="34"/>
      <c r="AE2415" s="34"/>
    </row>
    <row r="2416" spans="1:31" ht="15" thickBot="1" x14ac:dyDescent="0.4">
      <c r="A2416" s="45"/>
      <c r="B2416" s="45"/>
      <c r="C2416" s="46"/>
      <c r="D2416" s="47"/>
      <c r="E2416" s="47"/>
      <c r="F2416" s="47"/>
      <c r="G2416" s="47"/>
      <c r="H2416" s="47"/>
      <c r="I2416" s="47"/>
      <c r="J2416" s="47"/>
      <c r="K2416" s="47"/>
      <c r="L2416" s="47"/>
      <c r="M2416" s="47"/>
      <c r="N2416" s="47"/>
      <c r="O2416" s="47"/>
      <c r="P2416" s="47"/>
      <c r="Q2416" s="47"/>
      <c r="R2416" s="47"/>
      <c r="S2416" s="47"/>
      <c r="T2416" s="45"/>
      <c r="U2416" s="45"/>
      <c r="V2416" s="45"/>
      <c r="W2416" s="45"/>
      <c r="X2416" s="47"/>
      <c r="Y2416" s="45"/>
      <c r="Z2416" s="45"/>
      <c r="AA2416" s="48"/>
      <c r="AB2416" s="48"/>
      <c r="AC2416" s="47"/>
      <c r="AD2416" s="47"/>
      <c r="AE2416" s="47"/>
    </row>
    <row r="2417" spans="1:31" x14ac:dyDescent="0.35">
      <c r="A2417" s="41"/>
      <c r="B2417" s="41"/>
      <c r="C2417" s="42"/>
      <c r="D2417" s="43"/>
      <c r="E2417" s="43"/>
      <c r="F2417" s="43"/>
      <c r="G2417" s="43"/>
      <c r="H2417" s="43"/>
      <c r="I2417" s="43"/>
      <c r="J2417" s="43"/>
      <c r="K2417" s="43"/>
      <c r="L2417" s="43"/>
      <c r="M2417" s="43"/>
      <c r="N2417" s="43"/>
      <c r="O2417" s="43"/>
      <c r="P2417" s="43"/>
      <c r="Q2417" s="43"/>
      <c r="R2417" s="43"/>
      <c r="S2417" s="43"/>
      <c r="T2417" s="43"/>
      <c r="U2417" s="43"/>
      <c r="V2417" s="41"/>
      <c r="W2417" s="41"/>
      <c r="X2417" s="41"/>
      <c r="Y2417" s="41"/>
      <c r="Z2417" s="41"/>
      <c r="AA2417" s="44"/>
      <c r="AB2417" s="44"/>
      <c r="AC2417" s="43"/>
      <c r="AD2417" s="43"/>
      <c r="AE2417" s="43"/>
    </row>
    <row r="2418" spans="1:31" x14ac:dyDescent="0.35">
      <c r="C2418" s="33"/>
      <c r="D2418" s="34"/>
      <c r="E2418" s="34"/>
      <c r="F2418" s="34"/>
      <c r="G2418" s="34"/>
      <c r="H2418" s="34"/>
      <c r="I2418" s="34"/>
      <c r="J2418" s="34"/>
      <c r="K2418" s="34"/>
      <c r="L2418" s="34"/>
      <c r="M2418" s="34"/>
      <c r="N2418" s="34"/>
      <c r="O2418" s="34"/>
      <c r="AA2418" s="35"/>
      <c r="AB2418" s="35"/>
      <c r="AC2418" s="34"/>
      <c r="AD2418" s="34"/>
      <c r="AE2418" s="34"/>
    </row>
    <row r="2419" spans="1:31" ht="15" thickBot="1" x14ac:dyDescent="0.4">
      <c r="A2419" s="45"/>
      <c r="B2419" s="45"/>
      <c r="C2419" s="46"/>
      <c r="D2419" s="47"/>
      <c r="E2419" s="47"/>
      <c r="F2419" s="47"/>
      <c r="G2419" s="47"/>
      <c r="H2419" s="47"/>
      <c r="I2419" s="47"/>
      <c r="J2419" s="47"/>
      <c r="K2419" s="47"/>
      <c r="L2419" s="47"/>
      <c r="M2419" s="47"/>
      <c r="N2419" s="47"/>
      <c r="O2419" s="47"/>
      <c r="P2419" s="47"/>
      <c r="Q2419" s="47"/>
      <c r="R2419" s="47"/>
      <c r="S2419" s="47"/>
      <c r="T2419" s="45"/>
      <c r="U2419" s="45"/>
      <c r="V2419" s="45"/>
      <c r="W2419" s="45"/>
      <c r="X2419" s="47"/>
      <c r="Y2419" s="45"/>
      <c r="Z2419" s="45"/>
      <c r="AA2419" s="48"/>
      <c r="AB2419" s="48"/>
      <c r="AC2419" s="47"/>
      <c r="AD2419" s="47"/>
      <c r="AE2419" s="47"/>
    </row>
    <row r="2420" spans="1:31" x14ac:dyDescent="0.35">
      <c r="A2420" s="41"/>
      <c r="B2420" s="41"/>
      <c r="C2420" s="42"/>
      <c r="D2420" s="43"/>
      <c r="E2420" s="43"/>
      <c r="F2420" s="43"/>
      <c r="G2420" s="43"/>
      <c r="H2420" s="43"/>
      <c r="I2420" s="43"/>
      <c r="J2420" s="43"/>
      <c r="K2420" s="43"/>
      <c r="L2420" s="43"/>
      <c r="M2420" s="43"/>
      <c r="N2420" s="43"/>
      <c r="O2420" s="43"/>
      <c r="P2420" s="43"/>
      <c r="Q2420" s="43"/>
      <c r="R2420" s="43"/>
      <c r="S2420" s="43"/>
      <c r="T2420" s="43"/>
      <c r="U2420" s="43"/>
      <c r="V2420" s="41"/>
      <c r="W2420" s="41"/>
      <c r="X2420" s="41"/>
      <c r="Y2420" s="41"/>
      <c r="Z2420" s="41"/>
      <c r="AA2420" s="44"/>
      <c r="AB2420" s="44"/>
      <c r="AC2420" s="43"/>
      <c r="AD2420" s="43"/>
      <c r="AE2420" s="43"/>
    </row>
    <row r="2421" spans="1:31" x14ac:dyDescent="0.35">
      <c r="C2421" s="33"/>
      <c r="D2421" s="34"/>
      <c r="E2421" s="34"/>
      <c r="F2421" s="34"/>
      <c r="G2421" s="34"/>
      <c r="H2421" s="34"/>
      <c r="I2421" s="34"/>
      <c r="J2421" s="34"/>
      <c r="K2421" s="34"/>
      <c r="L2421" s="34"/>
      <c r="M2421" s="34"/>
      <c r="N2421" s="34"/>
      <c r="O2421" s="34"/>
      <c r="AA2421" s="35"/>
      <c r="AB2421" s="35"/>
      <c r="AC2421" s="34"/>
      <c r="AD2421" s="34"/>
      <c r="AE2421" s="34"/>
    </row>
    <row r="2422" spans="1:31" ht="15" thickBot="1" x14ac:dyDescent="0.4">
      <c r="A2422" s="45"/>
      <c r="B2422" s="45"/>
      <c r="C2422" s="46"/>
      <c r="D2422" s="47"/>
      <c r="E2422" s="47"/>
      <c r="F2422" s="47"/>
      <c r="G2422" s="47"/>
      <c r="H2422" s="47"/>
      <c r="I2422" s="47"/>
      <c r="J2422" s="47"/>
      <c r="K2422" s="47"/>
      <c r="L2422" s="47"/>
      <c r="M2422" s="47"/>
      <c r="N2422" s="47"/>
      <c r="O2422" s="47"/>
      <c r="P2422" s="47"/>
      <c r="Q2422" s="47"/>
      <c r="R2422" s="47"/>
      <c r="S2422" s="47"/>
      <c r="T2422" s="45"/>
      <c r="U2422" s="45"/>
      <c r="V2422" s="45"/>
      <c r="W2422" s="45"/>
      <c r="X2422" s="47"/>
      <c r="Y2422" s="45"/>
      <c r="Z2422" s="45"/>
      <c r="AA2422" s="48"/>
      <c r="AB2422" s="48"/>
      <c r="AC2422" s="47"/>
      <c r="AD2422" s="47"/>
      <c r="AE2422" s="47"/>
    </row>
    <row r="2423" spans="1:31" x14ac:dyDescent="0.35">
      <c r="A2423" s="41"/>
      <c r="B2423" s="41"/>
      <c r="C2423" s="42"/>
      <c r="D2423" s="43"/>
      <c r="E2423" s="43"/>
      <c r="F2423" s="43"/>
      <c r="G2423" s="43"/>
      <c r="H2423" s="43"/>
      <c r="I2423" s="43"/>
      <c r="J2423" s="43"/>
      <c r="K2423" s="43"/>
      <c r="L2423" s="43"/>
      <c r="M2423" s="43"/>
      <c r="N2423" s="43"/>
      <c r="O2423" s="43"/>
      <c r="P2423" s="43"/>
      <c r="Q2423" s="43"/>
      <c r="R2423" s="43"/>
      <c r="S2423" s="43"/>
      <c r="T2423" s="43"/>
      <c r="U2423" s="43"/>
      <c r="V2423" s="41"/>
      <c r="W2423" s="41"/>
      <c r="X2423" s="41"/>
      <c r="Y2423" s="41"/>
      <c r="Z2423" s="41"/>
      <c r="AA2423" s="44"/>
      <c r="AB2423" s="44"/>
      <c r="AC2423" s="43"/>
      <c r="AD2423" s="43"/>
      <c r="AE2423" s="43"/>
    </row>
    <row r="2424" spans="1:31" x14ac:dyDescent="0.35">
      <c r="C2424" s="33"/>
      <c r="D2424" s="34"/>
      <c r="E2424" s="34"/>
      <c r="F2424" s="34"/>
      <c r="G2424" s="34"/>
      <c r="H2424" s="34"/>
      <c r="I2424" s="34"/>
      <c r="J2424" s="34"/>
      <c r="K2424" s="34"/>
      <c r="L2424" s="34"/>
      <c r="M2424" s="34"/>
      <c r="N2424" s="34"/>
      <c r="O2424" s="34"/>
      <c r="AA2424" s="35"/>
      <c r="AB2424" s="35"/>
      <c r="AC2424" s="34"/>
      <c r="AD2424" s="34"/>
      <c r="AE2424" s="34"/>
    </row>
    <row r="2425" spans="1:31" ht="15" thickBot="1" x14ac:dyDescent="0.4">
      <c r="A2425" s="45"/>
      <c r="B2425" s="45"/>
      <c r="C2425" s="46"/>
      <c r="D2425" s="47"/>
      <c r="E2425" s="47"/>
      <c r="F2425" s="47"/>
      <c r="G2425" s="47"/>
      <c r="H2425" s="47"/>
      <c r="I2425" s="47"/>
      <c r="J2425" s="47"/>
      <c r="K2425" s="47"/>
      <c r="L2425" s="47"/>
      <c r="M2425" s="47"/>
      <c r="N2425" s="47"/>
      <c r="O2425" s="47"/>
      <c r="P2425" s="47"/>
      <c r="Q2425" s="47"/>
      <c r="R2425" s="47"/>
      <c r="S2425" s="47"/>
      <c r="T2425" s="45"/>
      <c r="U2425" s="45"/>
      <c r="V2425" s="45"/>
      <c r="W2425" s="45"/>
      <c r="X2425" s="47"/>
      <c r="Y2425" s="45"/>
      <c r="Z2425" s="45"/>
      <c r="AA2425" s="48"/>
      <c r="AB2425" s="48"/>
      <c r="AC2425" s="47"/>
      <c r="AD2425" s="47"/>
      <c r="AE2425" s="47"/>
    </row>
    <row r="2426" spans="1:31" x14ac:dyDescent="0.35">
      <c r="A2426" s="41"/>
      <c r="B2426" s="41"/>
      <c r="C2426" s="42"/>
      <c r="D2426" s="43"/>
      <c r="E2426" s="43"/>
      <c r="F2426" s="43"/>
      <c r="G2426" s="43"/>
      <c r="H2426" s="43"/>
      <c r="I2426" s="43"/>
      <c r="J2426" s="43"/>
      <c r="K2426" s="43"/>
      <c r="L2426" s="43"/>
      <c r="M2426" s="43"/>
      <c r="N2426" s="43"/>
      <c r="O2426" s="43"/>
      <c r="P2426" s="43"/>
      <c r="Q2426" s="43"/>
      <c r="R2426" s="43"/>
      <c r="S2426" s="43"/>
      <c r="T2426" s="43"/>
      <c r="U2426" s="43"/>
      <c r="V2426" s="41"/>
      <c r="W2426" s="41"/>
      <c r="X2426" s="41"/>
      <c r="Y2426" s="41"/>
      <c r="Z2426" s="41"/>
      <c r="AA2426" s="44"/>
      <c r="AB2426" s="44"/>
      <c r="AC2426" s="43"/>
      <c r="AD2426" s="43"/>
      <c r="AE2426" s="43"/>
    </row>
    <row r="2427" spans="1:31" x14ac:dyDescent="0.35">
      <c r="C2427" s="33"/>
      <c r="D2427" s="34"/>
      <c r="E2427" s="34"/>
      <c r="F2427" s="34"/>
      <c r="G2427" s="34"/>
      <c r="H2427" s="34"/>
      <c r="I2427" s="34"/>
      <c r="J2427" s="34"/>
      <c r="K2427" s="34"/>
      <c r="L2427" s="34"/>
      <c r="M2427" s="34"/>
      <c r="N2427" s="34"/>
      <c r="O2427" s="34"/>
      <c r="AA2427" s="35"/>
      <c r="AB2427" s="35"/>
      <c r="AC2427" s="34"/>
      <c r="AD2427" s="34"/>
      <c r="AE2427" s="34"/>
    </row>
    <row r="2428" spans="1:31" ht="15" thickBot="1" x14ac:dyDescent="0.4">
      <c r="A2428" s="45"/>
      <c r="B2428" s="45"/>
      <c r="C2428" s="46"/>
      <c r="D2428" s="47"/>
      <c r="E2428" s="47"/>
      <c r="F2428" s="47"/>
      <c r="G2428" s="47"/>
      <c r="H2428" s="47"/>
      <c r="I2428" s="47"/>
      <c r="J2428" s="47"/>
      <c r="K2428" s="47"/>
      <c r="L2428" s="47"/>
      <c r="M2428" s="47"/>
      <c r="N2428" s="47"/>
      <c r="O2428" s="47"/>
      <c r="P2428" s="47"/>
      <c r="Q2428" s="47"/>
      <c r="R2428" s="47"/>
      <c r="S2428" s="47"/>
      <c r="T2428" s="45"/>
      <c r="U2428" s="45"/>
      <c r="V2428" s="45"/>
      <c r="W2428" s="45"/>
      <c r="X2428" s="47"/>
      <c r="Y2428" s="45"/>
      <c r="Z2428" s="45"/>
      <c r="AA2428" s="48"/>
      <c r="AB2428" s="48"/>
      <c r="AC2428" s="47"/>
      <c r="AD2428" s="47"/>
      <c r="AE2428" s="47"/>
    </row>
    <row r="2429" spans="1:31" x14ac:dyDescent="0.35">
      <c r="A2429" s="41"/>
      <c r="B2429" s="41"/>
      <c r="C2429" s="42"/>
      <c r="D2429" s="43"/>
      <c r="E2429" s="43"/>
      <c r="F2429" s="43"/>
      <c r="G2429" s="43"/>
      <c r="H2429" s="43"/>
      <c r="I2429" s="43"/>
      <c r="J2429" s="43"/>
      <c r="K2429" s="43"/>
      <c r="L2429" s="43"/>
      <c r="M2429" s="43"/>
      <c r="N2429" s="43"/>
      <c r="O2429" s="43"/>
      <c r="P2429" s="43"/>
      <c r="Q2429" s="43"/>
      <c r="R2429" s="43"/>
      <c r="S2429" s="43"/>
      <c r="T2429" s="43"/>
      <c r="U2429" s="43"/>
      <c r="V2429" s="41"/>
      <c r="W2429" s="41"/>
      <c r="X2429" s="41"/>
      <c r="Y2429" s="41"/>
      <c r="Z2429" s="41"/>
      <c r="AA2429" s="44"/>
      <c r="AB2429" s="44"/>
      <c r="AC2429" s="43"/>
      <c r="AD2429" s="43"/>
      <c r="AE2429" s="43"/>
    </row>
    <row r="2430" spans="1:31" x14ac:dyDescent="0.35">
      <c r="C2430" s="33"/>
      <c r="D2430" s="34"/>
      <c r="E2430" s="34"/>
      <c r="F2430" s="34"/>
      <c r="G2430" s="34"/>
      <c r="H2430" s="34"/>
      <c r="I2430" s="34"/>
      <c r="J2430" s="34"/>
      <c r="K2430" s="34"/>
      <c r="L2430" s="34"/>
      <c r="M2430" s="34"/>
      <c r="N2430" s="34"/>
      <c r="O2430" s="34"/>
      <c r="AA2430" s="35"/>
      <c r="AB2430" s="35"/>
      <c r="AC2430" s="34"/>
      <c r="AD2430" s="34"/>
      <c r="AE2430" s="34"/>
    </row>
    <row r="2431" spans="1:31" ht="15" thickBot="1" x14ac:dyDescent="0.4">
      <c r="A2431" s="45"/>
      <c r="B2431" s="45"/>
      <c r="C2431" s="46"/>
      <c r="D2431" s="47"/>
      <c r="E2431" s="47"/>
      <c r="F2431" s="47"/>
      <c r="G2431" s="47"/>
      <c r="H2431" s="47"/>
      <c r="I2431" s="47"/>
      <c r="J2431" s="47"/>
      <c r="K2431" s="47"/>
      <c r="L2431" s="47"/>
      <c r="M2431" s="47"/>
      <c r="N2431" s="47"/>
      <c r="O2431" s="47"/>
      <c r="P2431" s="47"/>
      <c r="Q2431" s="47"/>
      <c r="R2431" s="47"/>
      <c r="S2431" s="47"/>
      <c r="T2431" s="45"/>
      <c r="U2431" s="45"/>
      <c r="V2431" s="45"/>
      <c r="W2431" s="45"/>
      <c r="X2431" s="47"/>
      <c r="Y2431" s="45"/>
      <c r="Z2431" s="45"/>
      <c r="AA2431" s="48"/>
      <c r="AB2431" s="48"/>
      <c r="AC2431" s="47"/>
      <c r="AD2431" s="47"/>
      <c r="AE2431" s="47"/>
    </row>
    <row r="2432" spans="1:31" x14ac:dyDescent="0.35">
      <c r="A2432" s="41"/>
      <c r="B2432" s="41"/>
      <c r="C2432" s="42"/>
      <c r="D2432" s="43"/>
      <c r="E2432" s="43"/>
      <c r="F2432" s="43"/>
      <c r="G2432" s="43"/>
      <c r="H2432" s="43"/>
      <c r="I2432" s="43"/>
      <c r="J2432" s="43"/>
      <c r="K2432" s="43"/>
      <c r="L2432" s="43"/>
      <c r="M2432" s="43"/>
      <c r="N2432" s="43"/>
      <c r="O2432" s="43"/>
      <c r="P2432" s="43"/>
      <c r="Q2432" s="43"/>
      <c r="R2432" s="43"/>
      <c r="S2432" s="43"/>
      <c r="T2432" s="43"/>
      <c r="U2432" s="43"/>
      <c r="V2432" s="41"/>
      <c r="W2432" s="41"/>
      <c r="X2432" s="41"/>
      <c r="Y2432" s="41"/>
      <c r="Z2432" s="41"/>
      <c r="AA2432" s="44"/>
      <c r="AB2432" s="44"/>
      <c r="AC2432" s="43"/>
      <c r="AD2432" s="43"/>
      <c r="AE2432" s="43"/>
    </row>
    <row r="2433" spans="1:31" x14ac:dyDescent="0.35">
      <c r="C2433" s="33"/>
      <c r="D2433" s="34"/>
      <c r="E2433" s="34"/>
      <c r="F2433" s="34"/>
      <c r="G2433" s="34"/>
      <c r="H2433" s="34"/>
      <c r="I2433" s="34"/>
      <c r="J2433" s="34"/>
      <c r="K2433" s="34"/>
      <c r="L2433" s="34"/>
      <c r="M2433" s="34"/>
      <c r="N2433" s="34"/>
      <c r="O2433" s="34"/>
      <c r="AA2433" s="35"/>
      <c r="AB2433" s="35"/>
      <c r="AC2433" s="34"/>
      <c r="AD2433" s="34"/>
      <c r="AE2433" s="34"/>
    </row>
    <row r="2434" spans="1:31" ht="15" thickBot="1" x14ac:dyDescent="0.4">
      <c r="A2434" s="45"/>
      <c r="B2434" s="45"/>
      <c r="C2434" s="46"/>
      <c r="D2434" s="47"/>
      <c r="E2434" s="47"/>
      <c r="F2434" s="47"/>
      <c r="G2434" s="47"/>
      <c r="H2434" s="47"/>
      <c r="I2434" s="47"/>
      <c r="J2434" s="47"/>
      <c r="K2434" s="47"/>
      <c r="L2434" s="47"/>
      <c r="M2434" s="47"/>
      <c r="N2434" s="47"/>
      <c r="O2434" s="47"/>
      <c r="P2434" s="47"/>
      <c r="Q2434" s="47"/>
      <c r="R2434" s="47"/>
      <c r="S2434" s="47"/>
      <c r="T2434" s="45"/>
      <c r="U2434" s="45"/>
      <c r="V2434" s="45"/>
      <c r="W2434" s="45"/>
      <c r="X2434" s="47"/>
      <c r="Y2434" s="45"/>
      <c r="Z2434" s="45"/>
      <c r="AA2434" s="48"/>
      <c r="AB2434" s="48"/>
      <c r="AC2434" s="47"/>
      <c r="AD2434" s="47"/>
      <c r="AE2434" s="47"/>
    </row>
    <row r="2435" spans="1:31" x14ac:dyDescent="0.35">
      <c r="A2435" s="41"/>
      <c r="B2435" s="41"/>
      <c r="C2435" s="42"/>
      <c r="D2435" s="43"/>
      <c r="E2435" s="43"/>
      <c r="F2435" s="43"/>
      <c r="G2435" s="43"/>
      <c r="H2435" s="43"/>
      <c r="I2435" s="43"/>
      <c r="J2435" s="43"/>
      <c r="K2435" s="43"/>
      <c r="L2435" s="43"/>
      <c r="M2435" s="43"/>
      <c r="N2435" s="43"/>
      <c r="O2435" s="43"/>
      <c r="P2435" s="43"/>
      <c r="Q2435" s="43"/>
      <c r="R2435" s="43"/>
      <c r="S2435" s="43"/>
      <c r="T2435" s="43"/>
      <c r="U2435" s="43"/>
      <c r="V2435" s="41"/>
      <c r="W2435" s="41"/>
      <c r="X2435" s="41"/>
      <c r="Y2435" s="41"/>
      <c r="Z2435" s="41"/>
      <c r="AA2435" s="44"/>
      <c r="AB2435" s="44"/>
      <c r="AC2435" s="43"/>
      <c r="AD2435" s="43"/>
      <c r="AE2435" s="43"/>
    </row>
    <row r="2436" spans="1:31" x14ac:dyDescent="0.35">
      <c r="C2436" s="33"/>
      <c r="D2436" s="34"/>
      <c r="E2436" s="34"/>
      <c r="F2436" s="34"/>
      <c r="G2436" s="34"/>
      <c r="H2436" s="34"/>
      <c r="I2436" s="34"/>
      <c r="J2436" s="34"/>
      <c r="K2436" s="34"/>
      <c r="L2436" s="34"/>
      <c r="M2436" s="34"/>
      <c r="N2436" s="34"/>
      <c r="O2436" s="34"/>
      <c r="AA2436" s="35"/>
      <c r="AB2436" s="35"/>
      <c r="AC2436" s="34"/>
      <c r="AD2436" s="34"/>
      <c r="AE2436" s="34"/>
    </row>
    <row r="2437" spans="1:31" ht="15" thickBot="1" x14ac:dyDescent="0.4">
      <c r="A2437" s="45"/>
      <c r="B2437" s="45"/>
      <c r="C2437" s="46"/>
      <c r="D2437" s="47"/>
      <c r="E2437" s="47"/>
      <c r="F2437" s="47"/>
      <c r="G2437" s="47"/>
      <c r="H2437" s="47"/>
      <c r="I2437" s="47"/>
      <c r="J2437" s="47"/>
      <c r="K2437" s="47"/>
      <c r="L2437" s="47"/>
      <c r="M2437" s="47"/>
      <c r="N2437" s="47"/>
      <c r="O2437" s="47"/>
      <c r="P2437" s="47"/>
      <c r="Q2437" s="47"/>
      <c r="R2437" s="47"/>
      <c r="S2437" s="47"/>
      <c r="T2437" s="45"/>
      <c r="U2437" s="45"/>
      <c r="V2437" s="45"/>
      <c r="W2437" s="45"/>
      <c r="X2437" s="47"/>
      <c r="Y2437" s="45"/>
      <c r="Z2437" s="45"/>
      <c r="AA2437" s="48"/>
      <c r="AB2437" s="48"/>
      <c r="AC2437" s="47"/>
      <c r="AD2437" s="47"/>
      <c r="AE2437" s="47"/>
    </row>
    <row r="2438" spans="1:31" x14ac:dyDescent="0.35">
      <c r="A2438" s="41"/>
      <c r="B2438" s="41"/>
      <c r="C2438" s="42"/>
      <c r="D2438" s="43"/>
      <c r="E2438" s="43"/>
      <c r="F2438" s="43"/>
      <c r="G2438" s="43"/>
      <c r="H2438" s="43"/>
      <c r="I2438" s="43"/>
      <c r="J2438" s="43"/>
      <c r="K2438" s="43"/>
      <c r="L2438" s="43"/>
      <c r="M2438" s="43"/>
      <c r="N2438" s="43"/>
      <c r="O2438" s="43"/>
      <c r="P2438" s="43"/>
      <c r="Q2438" s="43"/>
      <c r="R2438" s="43"/>
      <c r="S2438" s="43"/>
      <c r="T2438" s="43"/>
      <c r="U2438" s="43"/>
      <c r="V2438" s="41"/>
      <c r="W2438" s="41"/>
      <c r="X2438" s="41"/>
      <c r="Y2438" s="41"/>
      <c r="Z2438" s="41"/>
      <c r="AA2438" s="44"/>
      <c r="AB2438" s="44"/>
      <c r="AC2438" s="43"/>
      <c r="AD2438" s="43"/>
      <c r="AE2438" s="43"/>
    </row>
    <row r="2439" spans="1:31" x14ac:dyDescent="0.35">
      <c r="C2439" s="33"/>
      <c r="D2439" s="34"/>
      <c r="E2439" s="34"/>
      <c r="F2439" s="34"/>
      <c r="G2439" s="34"/>
      <c r="H2439" s="34"/>
      <c r="I2439" s="34"/>
      <c r="J2439" s="34"/>
      <c r="K2439" s="34"/>
      <c r="L2439" s="34"/>
      <c r="M2439" s="34"/>
      <c r="N2439" s="34"/>
      <c r="O2439" s="34"/>
      <c r="AA2439" s="35"/>
      <c r="AB2439" s="35"/>
      <c r="AC2439" s="34"/>
      <c r="AD2439" s="34"/>
      <c r="AE2439" s="34"/>
    </row>
    <row r="2440" spans="1:31" ht="15" thickBot="1" x14ac:dyDescent="0.4">
      <c r="A2440" s="45"/>
      <c r="B2440" s="45"/>
      <c r="C2440" s="46"/>
      <c r="D2440" s="47"/>
      <c r="E2440" s="47"/>
      <c r="F2440" s="47"/>
      <c r="G2440" s="47"/>
      <c r="H2440" s="47"/>
      <c r="I2440" s="47"/>
      <c r="J2440" s="47"/>
      <c r="K2440" s="47"/>
      <c r="L2440" s="47"/>
      <c r="M2440" s="47"/>
      <c r="N2440" s="47"/>
      <c r="O2440" s="47"/>
      <c r="P2440" s="47"/>
      <c r="Q2440" s="47"/>
      <c r="R2440" s="47"/>
      <c r="S2440" s="47"/>
      <c r="T2440" s="45"/>
      <c r="U2440" s="45"/>
      <c r="V2440" s="45"/>
      <c r="W2440" s="45"/>
      <c r="X2440" s="47"/>
      <c r="Y2440" s="45"/>
      <c r="Z2440" s="45"/>
      <c r="AA2440" s="48"/>
      <c r="AB2440" s="48"/>
      <c r="AC2440" s="47"/>
      <c r="AD2440" s="47"/>
      <c r="AE2440" s="47"/>
    </row>
    <row r="2441" spans="1:31" x14ac:dyDescent="0.35">
      <c r="A2441" s="41"/>
      <c r="B2441" s="41"/>
      <c r="C2441" s="42"/>
      <c r="D2441" s="43"/>
      <c r="E2441" s="43"/>
      <c r="F2441" s="43"/>
      <c r="G2441" s="43"/>
      <c r="H2441" s="43"/>
      <c r="I2441" s="43"/>
      <c r="J2441" s="43"/>
      <c r="K2441" s="43"/>
      <c r="L2441" s="43"/>
      <c r="M2441" s="43"/>
      <c r="N2441" s="43"/>
      <c r="O2441" s="43"/>
      <c r="P2441" s="43"/>
      <c r="Q2441" s="43"/>
      <c r="R2441" s="43"/>
      <c r="S2441" s="43"/>
      <c r="T2441" s="43"/>
      <c r="U2441" s="43"/>
      <c r="V2441" s="41"/>
      <c r="W2441" s="41"/>
      <c r="X2441" s="41"/>
      <c r="Y2441" s="41"/>
      <c r="Z2441" s="41"/>
      <c r="AA2441" s="44"/>
      <c r="AB2441" s="44"/>
      <c r="AC2441" s="43"/>
      <c r="AD2441" s="43"/>
      <c r="AE2441" s="43"/>
    </row>
    <row r="2442" spans="1:31" x14ac:dyDescent="0.35">
      <c r="C2442" s="33"/>
      <c r="D2442" s="34"/>
      <c r="E2442" s="34"/>
      <c r="F2442" s="34"/>
      <c r="G2442" s="34"/>
      <c r="H2442" s="34"/>
      <c r="I2442" s="34"/>
      <c r="J2442" s="34"/>
      <c r="K2442" s="34"/>
      <c r="L2442" s="34"/>
      <c r="M2442" s="34"/>
      <c r="N2442" s="34"/>
      <c r="O2442" s="34"/>
      <c r="AA2442" s="35"/>
      <c r="AB2442" s="35"/>
      <c r="AC2442" s="34"/>
      <c r="AD2442" s="34"/>
      <c r="AE2442" s="34"/>
    </row>
    <row r="2443" spans="1:31" ht="15" thickBot="1" x14ac:dyDescent="0.4">
      <c r="A2443" s="45"/>
      <c r="B2443" s="45"/>
      <c r="C2443" s="46"/>
      <c r="D2443" s="47"/>
      <c r="E2443" s="47"/>
      <c r="F2443" s="47"/>
      <c r="G2443" s="47"/>
      <c r="H2443" s="47"/>
      <c r="I2443" s="47"/>
      <c r="J2443" s="47"/>
      <c r="K2443" s="47"/>
      <c r="L2443" s="47"/>
      <c r="M2443" s="47"/>
      <c r="N2443" s="47"/>
      <c r="O2443" s="47"/>
      <c r="P2443" s="47"/>
      <c r="Q2443" s="47"/>
      <c r="R2443" s="47"/>
      <c r="S2443" s="47"/>
      <c r="T2443" s="45"/>
      <c r="U2443" s="45"/>
      <c r="V2443" s="45"/>
      <c r="W2443" s="45"/>
      <c r="X2443" s="47"/>
      <c r="Y2443" s="45"/>
      <c r="Z2443" s="45"/>
      <c r="AA2443" s="48"/>
      <c r="AB2443" s="48"/>
      <c r="AC2443" s="47"/>
      <c r="AD2443" s="47"/>
      <c r="AE2443" s="47"/>
    </row>
    <row r="2444" spans="1:31" x14ac:dyDescent="0.35">
      <c r="A2444" s="41"/>
      <c r="B2444" s="41"/>
      <c r="C2444" s="42"/>
      <c r="D2444" s="43"/>
      <c r="E2444" s="43"/>
      <c r="F2444" s="43"/>
      <c r="G2444" s="43"/>
      <c r="H2444" s="43"/>
      <c r="I2444" s="43"/>
      <c r="J2444" s="43"/>
      <c r="K2444" s="43"/>
      <c r="L2444" s="43"/>
      <c r="M2444" s="43"/>
      <c r="N2444" s="43"/>
      <c r="O2444" s="43"/>
      <c r="P2444" s="43"/>
      <c r="Q2444" s="43"/>
      <c r="R2444" s="43"/>
      <c r="S2444" s="43"/>
      <c r="T2444" s="43"/>
      <c r="U2444" s="43"/>
      <c r="V2444" s="41"/>
      <c r="W2444" s="41"/>
      <c r="X2444" s="41"/>
      <c r="Y2444" s="41"/>
      <c r="Z2444" s="41"/>
      <c r="AA2444" s="44"/>
      <c r="AB2444" s="44"/>
      <c r="AC2444" s="43"/>
      <c r="AD2444" s="43"/>
      <c r="AE2444" s="43"/>
    </row>
    <row r="2445" spans="1:31" x14ac:dyDescent="0.35">
      <c r="C2445" s="33"/>
      <c r="D2445" s="34"/>
      <c r="E2445" s="34"/>
      <c r="F2445" s="34"/>
      <c r="G2445" s="34"/>
      <c r="H2445" s="34"/>
      <c r="I2445" s="34"/>
      <c r="J2445" s="34"/>
      <c r="K2445" s="34"/>
      <c r="L2445" s="34"/>
      <c r="M2445" s="34"/>
      <c r="N2445" s="34"/>
      <c r="O2445" s="34"/>
      <c r="AA2445" s="35"/>
      <c r="AB2445" s="35"/>
      <c r="AC2445" s="34"/>
      <c r="AD2445" s="34"/>
      <c r="AE2445" s="34"/>
    </row>
    <row r="2446" spans="1:31" ht="15" thickBot="1" x14ac:dyDescent="0.4">
      <c r="A2446" s="45"/>
      <c r="B2446" s="45"/>
      <c r="C2446" s="46"/>
      <c r="D2446" s="47"/>
      <c r="E2446" s="47"/>
      <c r="F2446" s="47"/>
      <c r="G2446" s="47"/>
      <c r="H2446" s="47"/>
      <c r="I2446" s="47"/>
      <c r="J2446" s="47"/>
      <c r="K2446" s="47"/>
      <c r="L2446" s="47"/>
      <c r="M2446" s="47"/>
      <c r="N2446" s="47"/>
      <c r="O2446" s="47"/>
      <c r="P2446" s="47"/>
      <c r="Q2446" s="47"/>
      <c r="R2446" s="47"/>
      <c r="S2446" s="47"/>
      <c r="T2446" s="45"/>
      <c r="U2446" s="45"/>
      <c r="V2446" s="45"/>
      <c r="W2446" s="45"/>
      <c r="X2446" s="47"/>
      <c r="Y2446" s="45"/>
      <c r="Z2446" s="45"/>
      <c r="AA2446" s="48"/>
      <c r="AB2446" s="48"/>
      <c r="AC2446" s="47"/>
      <c r="AD2446" s="47"/>
      <c r="AE2446" s="47"/>
    </row>
    <row r="2447" spans="1:31" x14ac:dyDescent="0.35">
      <c r="A2447" s="41"/>
      <c r="B2447" s="41"/>
      <c r="C2447" s="42"/>
      <c r="D2447" s="43"/>
      <c r="E2447" s="43"/>
      <c r="F2447" s="43"/>
      <c r="G2447" s="43"/>
      <c r="H2447" s="43"/>
      <c r="I2447" s="43"/>
      <c r="J2447" s="43"/>
      <c r="K2447" s="43"/>
      <c r="L2447" s="43"/>
      <c r="M2447" s="43"/>
      <c r="N2447" s="43"/>
      <c r="O2447" s="43"/>
      <c r="P2447" s="43"/>
      <c r="Q2447" s="43"/>
      <c r="R2447" s="43"/>
      <c r="S2447" s="43"/>
      <c r="T2447" s="43"/>
      <c r="U2447" s="43"/>
      <c r="V2447" s="41"/>
      <c r="W2447" s="41"/>
      <c r="X2447" s="41"/>
      <c r="Y2447" s="41"/>
      <c r="Z2447" s="41"/>
      <c r="AA2447" s="44"/>
      <c r="AB2447" s="44"/>
      <c r="AC2447" s="43"/>
      <c r="AD2447" s="43"/>
      <c r="AE2447" s="43"/>
    </row>
    <row r="2448" spans="1:31" x14ac:dyDescent="0.35">
      <c r="C2448" s="33"/>
      <c r="D2448" s="34"/>
      <c r="E2448" s="34"/>
      <c r="F2448" s="34"/>
      <c r="G2448" s="34"/>
      <c r="H2448" s="34"/>
      <c r="I2448" s="34"/>
      <c r="J2448" s="34"/>
      <c r="K2448" s="34"/>
      <c r="L2448" s="34"/>
      <c r="M2448" s="34"/>
      <c r="N2448" s="34"/>
      <c r="O2448" s="34"/>
      <c r="AA2448" s="35"/>
      <c r="AB2448" s="35"/>
      <c r="AC2448" s="34"/>
      <c r="AD2448" s="34"/>
      <c r="AE2448" s="34"/>
    </row>
    <row r="2449" spans="1:31" ht="15" thickBot="1" x14ac:dyDescent="0.4">
      <c r="A2449" s="45"/>
      <c r="B2449" s="45"/>
      <c r="C2449" s="46"/>
      <c r="D2449" s="47"/>
      <c r="E2449" s="47"/>
      <c r="F2449" s="47"/>
      <c r="G2449" s="47"/>
      <c r="H2449" s="47"/>
      <c r="I2449" s="47"/>
      <c r="J2449" s="47"/>
      <c r="K2449" s="47"/>
      <c r="L2449" s="47"/>
      <c r="M2449" s="47"/>
      <c r="N2449" s="47"/>
      <c r="O2449" s="47"/>
      <c r="P2449" s="47"/>
      <c r="Q2449" s="47"/>
      <c r="R2449" s="47"/>
      <c r="S2449" s="47"/>
      <c r="T2449" s="45"/>
      <c r="U2449" s="45"/>
      <c r="V2449" s="45"/>
      <c r="W2449" s="45"/>
      <c r="X2449" s="47"/>
      <c r="Y2449" s="45"/>
      <c r="Z2449" s="45"/>
      <c r="AA2449" s="48"/>
      <c r="AB2449" s="48"/>
      <c r="AC2449" s="47"/>
      <c r="AD2449" s="47"/>
      <c r="AE2449" s="47"/>
    </row>
    <row r="2450" spans="1:31" x14ac:dyDescent="0.35">
      <c r="A2450" s="41"/>
      <c r="B2450" s="41"/>
      <c r="C2450" s="42"/>
      <c r="D2450" s="43"/>
      <c r="E2450" s="43"/>
      <c r="F2450" s="43"/>
      <c r="G2450" s="43"/>
      <c r="H2450" s="43"/>
      <c r="I2450" s="43"/>
      <c r="J2450" s="43"/>
      <c r="K2450" s="43"/>
      <c r="L2450" s="43"/>
      <c r="M2450" s="43"/>
      <c r="N2450" s="43"/>
      <c r="O2450" s="43"/>
      <c r="P2450" s="43"/>
      <c r="Q2450" s="43"/>
      <c r="R2450" s="43"/>
      <c r="S2450" s="43"/>
      <c r="T2450" s="43"/>
      <c r="U2450" s="43"/>
      <c r="V2450" s="41"/>
      <c r="W2450" s="41"/>
      <c r="X2450" s="41"/>
      <c r="Y2450" s="41"/>
      <c r="Z2450" s="41"/>
      <c r="AA2450" s="44"/>
      <c r="AB2450" s="44"/>
      <c r="AC2450" s="43"/>
      <c r="AD2450" s="43"/>
      <c r="AE2450" s="43"/>
    </row>
    <row r="2451" spans="1:31" x14ac:dyDescent="0.35">
      <c r="C2451" s="33"/>
      <c r="D2451" s="34"/>
      <c r="E2451" s="34"/>
      <c r="F2451" s="34"/>
      <c r="G2451" s="34"/>
      <c r="H2451" s="34"/>
      <c r="I2451" s="34"/>
      <c r="J2451" s="34"/>
      <c r="K2451" s="34"/>
      <c r="L2451" s="34"/>
      <c r="M2451" s="34"/>
      <c r="N2451" s="34"/>
      <c r="O2451" s="34"/>
      <c r="AA2451" s="35"/>
      <c r="AB2451" s="35"/>
      <c r="AC2451" s="34"/>
      <c r="AD2451" s="34"/>
      <c r="AE2451" s="34"/>
    </row>
    <row r="2452" spans="1:31" ht="15" thickBot="1" x14ac:dyDescent="0.4">
      <c r="A2452" s="45"/>
      <c r="B2452" s="45"/>
      <c r="C2452" s="46"/>
      <c r="D2452" s="47"/>
      <c r="E2452" s="47"/>
      <c r="F2452" s="47"/>
      <c r="G2452" s="47"/>
      <c r="H2452" s="47"/>
      <c r="I2452" s="47"/>
      <c r="J2452" s="47"/>
      <c r="K2452" s="47"/>
      <c r="L2452" s="47"/>
      <c r="M2452" s="47"/>
      <c r="N2452" s="47"/>
      <c r="O2452" s="47"/>
      <c r="P2452" s="47"/>
      <c r="Q2452" s="47"/>
      <c r="R2452" s="47"/>
      <c r="S2452" s="47"/>
      <c r="T2452" s="45"/>
      <c r="U2452" s="45"/>
      <c r="V2452" s="45"/>
      <c r="W2452" s="45"/>
      <c r="X2452" s="47"/>
      <c r="Y2452" s="45"/>
      <c r="Z2452" s="45"/>
      <c r="AA2452" s="48"/>
      <c r="AB2452" s="48"/>
      <c r="AC2452" s="47"/>
      <c r="AD2452" s="47"/>
      <c r="AE2452" s="47"/>
    </row>
    <row r="2453" spans="1:31" x14ac:dyDescent="0.35">
      <c r="A2453" s="41"/>
      <c r="B2453" s="41"/>
      <c r="C2453" s="42"/>
      <c r="D2453" s="43"/>
      <c r="E2453" s="43"/>
      <c r="F2453" s="43"/>
      <c r="G2453" s="43"/>
      <c r="H2453" s="43"/>
      <c r="I2453" s="43"/>
      <c r="J2453" s="43"/>
      <c r="K2453" s="43"/>
      <c r="L2453" s="43"/>
      <c r="M2453" s="43"/>
      <c r="N2453" s="43"/>
      <c r="O2453" s="43"/>
      <c r="P2453" s="43"/>
      <c r="Q2453" s="43"/>
      <c r="R2453" s="43"/>
      <c r="S2453" s="43"/>
      <c r="T2453" s="43"/>
      <c r="U2453" s="43"/>
      <c r="V2453" s="41"/>
      <c r="W2453" s="41"/>
      <c r="X2453" s="41"/>
      <c r="Y2453" s="41"/>
      <c r="Z2453" s="41"/>
      <c r="AA2453" s="44"/>
      <c r="AB2453" s="44"/>
      <c r="AC2453" s="43"/>
      <c r="AD2453" s="43"/>
      <c r="AE2453" s="43"/>
    </row>
    <row r="2454" spans="1:31" x14ac:dyDescent="0.35">
      <c r="C2454" s="33"/>
      <c r="D2454" s="34"/>
      <c r="E2454" s="34"/>
      <c r="F2454" s="34"/>
      <c r="G2454" s="34"/>
      <c r="H2454" s="34"/>
      <c r="I2454" s="34"/>
      <c r="J2454" s="34"/>
      <c r="K2454" s="34"/>
      <c r="L2454" s="34"/>
      <c r="M2454" s="34"/>
      <c r="N2454" s="34"/>
      <c r="O2454" s="34"/>
      <c r="AA2454" s="35"/>
      <c r="AB2454" s="35"/>
      <c r="AC2454" s="34"/>
      <c r="AD2454" s="34"/>
      <c r="AE2454" s="34"/>
    </row>
    <row r="2455" spans="1:31" ht="15" thickBot="1" x14ac:dyDescent="0.4">
      <c r="A2455" s="45"/>
      <c r="B2455" s="45"/>
      <c r="C2455" s="46"/>
      <c r="D2455" s="47"/>
      <c r="E2455" s="47"/>
      <c r="F2455" s="47"/>
      <c r="G2455" s="47"/>
      <c r="H2455" s="47"/>
      <c r="I2455" s="47"/>
      <c r="J2455" s="47"/>
      <c r="K2455" s="47"/>
      <c r="L2455" s="47"/>
      <c r="M2455" s="47"/>
      <c r="N2455" s="47"/>
      <c r="O2455" s="47"/>
      <c r="P2455" s="47"/>
      <c r="Q2455" s="47"/>
      <c r="R2455" s="47"/>
      <c r="S2455" s="47"/>
      <c r="T2455" s="45"/>
      <c r="U2455" s="45"/>
      <c r="V2455" s="45"/>
      <c r="W2455" s="45"/>
      <c r="X2455" s="47"/>
      <c r="Y2455" s="45"/>
      <c r="Z2455" s="45"/>
      <c r="AA2455" s="48"/>
      <c r="AB2455" s="48"/>
      <c r="AC2455" s="47"/>
      <c r="AD2455" s="47"/>
      <c r="AE2455" s="47"/>
    </row>
    <row r="2456" spans="1:31" x14ac:dyDescent="0.35">
      <c r="A2456" s="41"/>
      <c r="B2456" s="41"/>
      <c r="C2456" s="42"/>
      <c r="D2456" s="43"/>
      <c r="E2456" s="43"/>
      <c r="F2456" s="43"/>
      <c r="G2456" s="43"/>
      <c r="H2456" s="43"/>
      <c r="I2456" s="43"/>
      <c r="J2456" s="43"/>
      <c r="K2456" s="43"/>
      <c r="L2456" s="43"/>
      <c r="M2456" s="43"/>
      <c r="N2456" s="43"/>
      <c r="O2456" s="43"/>
      <c r="P2456" s="43"/>
      <c r="Q2456" s="43"/>
      <c r="R2456" s="43"/>
      <c r="S2456" s="43"/>
      <c r="T2456" s="43"/>
      <c r="U2456" s="43"/>
      <c r="V2456" s="41"/>
      <c r="W2456" s="41"/>
      <c r="X2456" s="41"/>
      <c r="Y2456" s="41"/>
      <c r="Z2456" s="41"/>
      <c r="AA2456" s="44"/>
      <c r="AB2456" s="44"/>
      <c r="AC2456" s="43"/>
      <c r="AD2456" s="43"/>
      <c r="AE2456" s="43"/>
    </row>
    <row r="2457" spans="1:31" x14ac:dyDescent="0.35">
      <c r="C2457" s="33"/>
      <c r="D2457" s="34"/>
      <c r="E2457" s="34"/>
      <c r="F2457" s="34"/>
      <c r="G2457" s="34"/>
      <c r="H2457" s="34"/>
      <c r="I2457" s="34"/>
      <c r="J2457" s="34"/>
      <c r="K2457" s="34"/>
      <c r="L2457" s="34"/>
      <c r="M2457" s="34"/>
      <c r="N2457" s="34"/>
      <c r="O2457" s="34"/>
      <c r="AA2457" s="35"/>
      <c r="AB2457" s="35"/>
      <c r="AC2457" s="34"/>
      <c r="AD2457" s="34"/>
      <c r="AE2457" s="34"/>
    </row>
    <row r="2458" spans="1:31" ht="15" thickBot="1" x14ac:dyDescent="0.4">
      <c r="A2458" s="45"/>
      <c r="B2458" s="45"/>
      <c r="C2458" s="46"/>
      <c r="D2458" s="47"/>
      <c r="E2458" s="47"/>
      <c r="F2458" s="47"/>
      <c r="G2458" s="47"/>
      <c r="H2458" s="47"/>
      <c r="I2458" s="47"/>
      <c r="J2458" s="47"/>
      <c r="K2458" s="47"/>
      <c r="L2458" s="47"/>
      <c r="M2458" s="47"/>
      <c r="N2458" s="47"/>
      <c r="O2458" s="47"/>
      <c r="P2458" s="47"/>
      <c r="Q2458" s="47"/>
      <c r="R2458" s="47"/>
      <c r="S2458" s="47"/>
      <c r="T2458" s="45"/>
      <c r="U2458" s="45"/>
      <c r="V2458" s="45"/>
      <c r="W2458" s="45"/>
      <c r="X2458" s="47"/>
      <c r="Y2458" s="45"/>
      <c r="Z2458" s="45"/>
      <c r="AA2458" s="48"/>
      <c r="AB2458" s="48"/>
      <c r="AC2458" s="47"/>
      <c r="AD2458" s="47"/>
      <c r="AE2458" s="47"/>
    </row>
    <row r="2459" spans="1:31" x14ac:dyDescent="0.35">
      <c r="A2459" s="41"/>
      <c r="B2459" s="41"/>
      <c r="C2459" s="42"/>
      <c r="D2459" s="43"/>
      <c r="E2459" s="43"/>
      <c r="F2459" s="43"/>
      <c r="G2459" s="43"/>
      <c r="H2459" s="43"/>
      <c r="I2459" s="43"/>
      <c r="J2459" s="43"/>
      <c r="K2459" s="43"/>
      <c r="L2459" s="43"/>
      <c r="M2459" s="43"/>
      <c r="N2459" s="43"/>
      <c r="O2459" s="43"/>
      <c r="P2459" s="43"/>
      <c r="Q2459" s="43"/>
      <c r="R2459" s="43"/>
      <c r="S2459" s="43"/>
      <c r="T2459" s="43"/>
      <c r="U2459" s="43"/>
      <c r="V2459" s="41"/>
      <c r="W2459" s="41"/>
      <c r="X2459" s="41"/>
      <c r="Y2459" s="41"/>
      <c r="Z2459" s="41"/>
      <c r="AA2459" s="44"/>
      <c r="AB2459" s="44"/>
      <c r="AC2459" s="43"/>
      <c r="AD2459" s="43"/>
      <c r="AE2459" s="43"/>
    </row>
    <row r="2460" spans="1:31" x14ac:dyDescent="0.35">
      <c r="C2460" s="33"/>
      <c r="D2460" s="34"/>
      <c r="E2460" s="34"/>
      <c r="F2460" s="34"/>
      <c r="G2460" s="34"/>
      <c r="H2460" s="34"/>
      <c r="I2460" s="34"/>
      <c r="J2460" s="34"/>
      <c r="K2460" s="34"/>
      <c r="L2460" s="34"/>
      <c r="M2460" s="34"/>
      <c r="N2460" s="34"/>
      <c r="O2460" s="34"/>
      <c r="AA2460" s="35"/>
      <c r="AB2460" s="35"/>
      <c r="AC2460" s="34"/>
      <c r="AD2460" s="34"/>
      <c r="AE2460" s="34"/>
    </row>
    <row r="2461" spans="1:31" ht="15" thickBot="1" x14ac:dyDescent="0.4">
      <c r="A2461" s="45"/>
      <c r="B2461" s="45"/>
      <c r="C2461" s="46"/>
      <c r="D2461" s="47"/>
      <c r="E2461" s="47"/>
      <c r="F2461" s="47"/>
      <c r="G2461" s="47"/>
      <c r="H2461" s="47"/>
      <c r="I2461" s="47"/>
      <c r="J2461" s="47"/>
      <c r="K2461" s="47"/>
      <c r="L2461" s="47"/>
      <c r="M2461" s="47"/>
      <c r="N2461" s="47"/>
      <c r="O2461" s="47"/>
      <c r="P2461" s="47"/>
      <c r="Q2461" s="47"/>
      <c r="R2461" s="47"/>
      <c r="S2461" s="47"/>
      <c r="T2461" s="45"/>
      <c r="U2461" s="45"/>
      <c r="V2461" s="45"/>
      <c r="W2461" s="45"/>
      <c r="X2461" s="47"/>
      <c r="Y2461" s="45"/>
      <c r="Z2461" s="45"/>
      <c r="AA2461" s="48"/>
      <c r="AB2461" s="48"/>
      <c r="AC2461" s="47"/>
      <c r="AD2461" s="47"/>
      <c r="AE2461" s="47"/>
    </row>
    <row r="2462" spans="1:31" x14ac:dyDescent="0.35">
      <c r="A2462" s="41"/>
      <c r="B2462" s="41"/>
      <c r="C2462" s="42"/>
      <c r="D2462" s="43"/>
      <c r="E2462" s="43"/>
      <c r="F2462" s="43"/>
      <c r="G2462" s="43"/>
      <c r="H2462" s="43"/>
      <c r="I2462" s="43"/>
      <c r="J2462" s="43"/>
      <c r="K2462" s="43"/>
      <c r="L2462" s="43"/>
      <c r="M2462" s="43"/>
      <c r="N2462" s="43"/>
      <c r="O2462" s="43"/>
      <c r="P2462" s="43"/>
      <c r="Q2462" s="43"/>
      <c r="R2462" s="43"/>
      <c r="S2462" s="43"/>
      <c r="T2462" s="43"/>
      <c r="U2462" s="43"/>
      <c r="V2462" s="41"/>
      <c r="W2462" s="41"/>
      <c r="X2462" s="41"/>
      <c r="Y2462" s="41"/>
      <c r="Z2462" s="41"/>
      <c r="AA2462" s="44"/>
      <c r="AB2462" s="44"/>
      <c r="AC2462" s="43"/>
      <c r="AD2462" s="43"/>
      <c r="AE2462" s="43"/>
    </row>
    <row r="2463" spans="1:31" x14ac:dyDescent="0.35">
      <c r="C2463" s="33"/>
      <c r="D2463" s="34"/>
      <c r="E2463" s="34"/>
      <c r="F2463" s="34"/>
      <c r="G2463" s="34"/>
      <c r="H2463" s="34"/>
      <c r="I2463" s="34"/>
      <c r="J2463" s="34"/>
      <c r="K2463" s="34"/>
      <c r="L2463" s="34"/>
      <c r="M2463" s="34"/>
      <c r="N2463" s="34"/>
      <c r="O2463" s="34"/>
      <c r="AA2463" s="35"/>
      <c r="AB2463" s="35"/>
      <c r="AC2463" s="34"/>
      <c r="AD2463" s="34"/>
      <c r="AE2463" s="34"/>
    </row>
    <row r="2464" spans="1:31" ht="15" thickBot="1" x14ac:dyDescent="0.4">
      <c r="A2464" s="45"/>
      <c r="B2464" s="45"/>
      <c r="C2464" s="46"/>
      <c r="D2464" s="47"/>
      <c r="E2464" s="47"/>
      <c r="F2464" s="47"/>
      <c r="G2464" s="47"/>
      <c r="H2464" s="47"/>
      <c r="I2464" s="47"/>
      <c r="J2464" s="47"/>
      <c r="K2464" s="47"/>
      <c r="L2464" s="47"/>
      <c r="M2464" s="47"/>
      <c r="N2464" s="47"/>
      <c r="O2464" s="47"/>
      <c r="P2464" s="47"/>
      <c r="Q2464" s="47"/>
      <c r="R2464" s="47"/>
      <c r="S2464" s="47"/>
      <c r="T2464" s="45"/>
      <c r="U2464" s="45"/>
      <c r="V2464" s="45"/>
      <c r="W2464" s="45"/>
      <c r="X2464" s="47"/>
      <c r="Y2464" s="45"/>
      <c r="Z2464" s="45"/>
      <c r="AA2464" s="48"/>
      <c r="AB2464" s="48"/>
      <c r="AC2464" s="47"/>
      <c r="AD2464" s="47"/>
      <c r="AE2464" s="47"/>
    </row>
    <row r="2465" spans="1:31" x14ac:dyDescent="0.35">
      <c r="A2465" s="41"/>
      <c r="B2465" s="41"/>
      <c r="C2465" s="42"/>
      <c r="D2465" s="43"/>
      <c r="E2465" s="43"/>
      <c r="F2465" s="43"/>
      <c r="G2465" s="43"/>
      <c r="H2465" s="43"/>
      <c r="I2465" s="43"/>
      <c r="J2465" s="43"/>
      <c r="K2465" s="43"/>
      <c r="L2465" s="43"/>
      <c r="M2465" s="43"/>
      <c r="N2465" s="43"/>
      <c r="O2465" s="43"/>
      <c r="P2465" s="43"/>
      <c r="Q2465" s="43"/>
      <c r="R2465" s="43"/>
      <c r="S2465" s="43"/>
      <c r="T2465" s="43"/>
      <c r="U2465" s="43"/>
      <c r="V2465" s="41"/>
      <c r="W2465" s="41"/>
      <c r="X2465" s="41"/>
      <c r="Y2465" s="41"/>
      <c r="Z2465" s="41"/>
      <c r="AA2465" s="44"/>
      <c r="AB2465" s="44"/>
      <c r="AC2465" s="43"/>
      <c r="AD2465" s="43"/>
      <c r="AE2465" s="43"/>
    </row>
    <row r="2466" spans="1:31" x14ac:dyDescent="0.35">
      <c r="C2466" s="33"/>
      <c r="D2466" s="34"/>
      <c r="E2466" s="34"/>
      <c r="F2466" s="34"/>
      <c r="G2466" s="34"/>
      <c r="H2466" s="34"/>
      <c r="I2466" s="34"/>
      <c r="J2466" s="34"/>
      <c r="K2466" s="34"/>
      <c r="L2466" s="34"/>
      <c r="M2466" s="34"/>
      <c r="N2466" s="34"/>
      <c r="O2466" s="34"/>
      <c r="AA2466" s="35"/>
      <c r="AB2466" s="35"/>
      <c r="AC2466" s="34"/>
      <c r="AD2466" s="34"/>
      <c r="AE2466" s="34"/>
    </row>
    <row r="2467" spans="1:31" ht="15" thickBot="1" x14ac:dyDescent="0.4">
      <c r="A2467" s="45"/>
      <c r="B2467" s="45"/>
      <c r="C2467" s="46"/>
      <c r="D2467" s="47"/>
      <c r="E2467" s="47"/>
      <c r="F2467" s="47"/>
      <c r="G2467" s="47"/>
      <c r="H2467" s="47"/>
      <c r="I2467" s="47"/>
      <c r="J2467" s="47"/>
      <c r="K2467" s="47"/>
      <c r="L2467" s="47"/>
      <c r="M2467" s="47"/>
      <c r="N2467" s="47"/>
      <c r="O2467" s="47"/>
      <c r="P2467" s="47"/>
      <c r="Q2467" s="47"/>
      <c r="R2467" s="47"/>
      <c r="S2467" s="47"/>
      <c r="T2467" s="45"/>
      <c r="U2467" s="45"/>
      <c r="V2467" s="45"/>
      <c r="W2467" s="45"/>
      <c r="X2467" s="47"/>
      <c r="Y2467" s="45"/>
      <c r="Z2467" s="45"/>
      <c r="AA2467" s="48"/>
      <c r="AB2467" s="48"/>
      <c r="AC2467" s="47"/>
      <c r="AD2467" s="47"/>
      <c r="AE2467" s="47"/>
    </row>
    <row r="2468" spans="1:31" x14ac:dyDescent="0.35">
      <c r="A2468" s="41"/>
      <c r="B2468" s="41"/>
      <c r="C2468" s="42"/>
      <c r="D2468" s="43"/>
      <c r="E2468" s="43"/>
      <c r="F2468" s="43"/>
      <c r="G2468" s="43"/>
      <c r="H2468" s="43"/>
      <c r="I2468" s="43"/>
      <c r="J2468" s="43"/>
      <c r="K2468" s="43"/>
      <c r="L2468" s="43"/>
      <c r="M2468" s="43"/>
      <c r="N2468" s="43"/>
      <c r="O2468" s="43"/>
      <c r="P2468" s="43"/>
      <c r="Q2468" s="43"/>
      <c r="R2468" s="43"/>
      <c r="S2468" s="43"/>
      <c r="T2468" s="43"/>
      <c r="U2468" s="43"/>
      <c r="V2468" s="41"/>
      <c r="W2468" s="41"/>
      <c r="X2468" s="41"/>
      <c r="Y2468" s="41"/>
      <c r="Z2468" s="41"/>
      <c r="AA2468" s="44"/>
      <c r="AB2468" s="44"/>
      <c r="AC2468" s="43"/>
      <c r="AD2468" s="43"/>
      <c r="AE2468" s="43"/>
    </row>
    <row r="2469" spans="1:31" x14ac:dyDescent="0.35">
      <c r="C2469" s="33"/>
      <c r="D2469" s="34"/>
      <c r="E2469" s="34"/>
      <c r="F2469" s="34"/>
      <c r="G2469" s="34"/>
      <c r="H2469" s="34"/>
      <c r="I2469" s="34"/>
      <c r="J2469" s="34"/>
      <c r="K2469" s="34"/>
      <c r="L2469" s="34"/>
      <c r="M2469" s="34"/>
      <c r="N2469" s="34"/>
      <c r="O2469" s="34"/>
      <c r="AA2469" s="35"/>
      <c r="AB2469" s="35"/>
      <c r="AC2469" s="34"/>
      <c r="AD2469" s="34"/>
      <c r="AE2469" s="34"/>
    </row>
    <row r="2470" spans="1:31" ht="15" thickBot="1" x14ac:dyDescent="0.4">
      <c r="A2470" s="45"/>
      <c r="B2470" s="45"/>
      <c r="C2470" s="46"/>
      <c r="D2470" s="47"/>
      <c r="E2470" s="47"/>
      <c r="F2470" s="47"/>
      <c r="G2470" s="47"/>
      <c r="H2470" s="47"/>
      <c r="I2470" s="47"/>
      <c r="J2470" s="47"/>
      <c r="K2470" s="47"/>
      <c r="L2470" s="47"/>
      <c r="M2470" s="47"/>
      <c r="N2470" s="47"/>
      <c r="O2470" s="47"/>
      <c r="P2470" s="47"/>
      <c r="Q2470" s="47"/>
      <c r="R2470" s="47"/>
      <c r="S2470" s="47"/>
      <c r="T2470" s="45"/>
      <c r="U2470" s="45"/>
      <c r="V2470" s="45"/>
      <c r="W2470" s="45"/>
      <c r="X2470" s="47"/>
      <c r="Y2470" s="45"/>
      <c r="Z2470" s="45"/>
      <c r="AA2470" s="48"/>
      <c r="AB2470" s="48"/>
      <c r="AC2470" s="47"/>
      <c r="AD2470" s="47"/>
      <c r="AE2470" s="47"/>
    </row>
    <row r="2471" spans="1:31" x14ac:dyDescent="0.35">
      <c r="A2471" s="41"/>
      <c r="B2471" s="41"/>
      <c r="C2471" s="42"/>
      <c r="D2471" s="43"/>
      <c r="E2471" s="43"/>
      <c r="F2471" s="43"/>
      <c r="G2471" s="43"/>
      <c r="H2471" s="43"/>
      <c r="I2471" s="43"/>
      <c r="J2471" s="43"/>
      <c r="K2471" s="43"/>
      <c r="L2471" s="43"/>
      <c r="M2471" s="43"/>
      <c r="N2471" s="43"/>
      <c r="O2471" s="43"/>
      <c r="P2471" s="43"/>
      <c r="Q2471" s="43"/>
      <c r="R2471" s="43"/>
      <c r="S2471" s="43"/>
      <c r="T2471" s="43"/>
      <c r="U2471" s="43"/>
      <c r="V2471" s="41"/>
      <c r="W2471" s="41"/>
      <c r="X2471" s="41"/>
      <c r="Y2471" s="41"/>
      <c r="Z2471" s="41"/>
      <c r="AA2471" s="44"/>
      <c r="AB2471" s="44"/>
      <c r="AC2471" s="43"/>
      <c r="AD2471" s="43"/>
      <c r="AE2471" s="43"/>
    </row>
    <row r="2472" spans="1:31" x14ac:dyDescent="0.35">
      <c r="C2472" s="33"/>
      <c r="D2472" s="34"/>
      <c r="E2472" s="34"/>
      <c r="F2472" s="34"/>
      <c r="G2472" s="34"/>
      <c r="H2472" s="34"/>
      <c r="I2472" s="34"/>
      <c r="J2472" s="34"/>
      <c r="K2472" s="34"/>
      <c r="L2472" s="34"/>
      <c r="M2472" s="34"/>
      <c r="N2472" s="34"/>
      <c r="O2472" s="34"/>
      <c r="AA2472" s="35"/>
      <c r="AB2472" s="35"/>
      <c r="AC2472" s="34"/>
      <c r="AD2472" s="34"/>
      <c r="AE2472" s="34"/>
    </row>
    <row r="2473" spans="1:31" ht="15" thickBot="1" x14ac:dyDescent="0.4">
      <c r="A2473" s="45"/>
      <c r="B2473" s="45"/>
      <c r="C2473" s="46"/>
      <c r="D2473" s="47"/>
      <c r="E2473" s="47"/>
      <c r="F2473" s="47"/>
      <c r="G2473" s="47"/>
      <c r="H2473" s="47"/>
      <c r="I2473" s="47"/>
      <c r="J2473" s="47"/>
      <c r="K2473" s="47"/>
      <c r="L2473" s="47"/>
      <c r="M2473" s="47"/>
      <c r="N2473" s="47"/>
      <c r="O2473" s="47"/>
      <c r="P2473" s="47"/>
      <c r="Q2473" s="47"/>
      <c r="R2473" s="47"/>
      <c r="S2473" s="47"/>
      <c r="T2473" s="45"/>
      <c r="U2473" s="45"/>
      <c r="V2473" s="45"/>
      <c r="W2473" s="45"/>
      <c r="X2473" s="47"/>
      <c r="Y2473" s="45"/>
      <c r="Z2473" s="45"/>
      <c r="AA2473" s="48"/>
      <c r="AB2473" s="48"/>
      <c r="AC2473" s="47"/>
      <c r="AD2473" s="47"/>
      <c r="AE2473" s="47"/>
    </row>
    <row r="2474" spans="1:31" x14ac:dyDescent="0.35">
      <c r="A2474" s="41"/>
      <c r="B2474" s="41"/>
      <c r="C2474" s="42"/>
      <c r="D2474" s="43"/>
      <c r="E2474" s="43"/>
      <c r="F2474" s="43"/>
      <c r="G2474" s="43"/>
      <c r="H2474" s="43"/>
      <c r="I2474" s="43"/>
      <c r="J2474" s="43"/>
      <c r="K2474" s="43"/>
      <c r="L2474" s="43"/>
      <c r="M2474" s="43"/>
      <c r="N2474" s="43"/>
      <c r="O2474" s="43"/>
      <c r="P2474" s="43"/>
      <c r="Q2474" s="43"/>
      <c r="R2474" s="43"/>
      <c r="S2474" s="43"/>
      <c r="T2474" s="43"/>
      <c r="U2474" s="43"/>
      <c r="V2474" s="41"/>
      <c r="W2474" s="41"/>
      <c r="X2474" s="41"/>
      <c r="Y2474" s="41"/>
      <c r="Z2474" s="41"/>
      <c r="AA2474" s="44"/>
      <c r="AB2474" s="44"/>
      <c r="AC2474" s="43"/>
      <c r="AD2474" s="43"/>
      <c r="AE2474" s="43"/>
    </row>
    <row r="2475" spans="1:31" x14ac:dyDescent="0.35">
      <c r="C2475" s="33"/>
      <c r="D2475" s="34"/>
      <c r="E2475" s="34"/>
      <c r="F2475" s="34"/>
      <c r="G2475" s="34"/>
      <c r="H2475" s="34"/>
      <c r="I2475" s="34"/>
      <c r="J2475" s="34"/>
      <c r="K2475" s="34"/>
      <c r="L2475" s="34"/>
      <c r="M2475" s="34"/>
      <c r="N2475" s="34"/>
      <c r="O2475" s="34"/>
      <c r="AA2475" s="35"/>
      <c r="AB2475" s="35"/>
      <c r="AC2475" s="34"/>
      <c r="AD2475" s="34"/>
      <c r="AE2475" s="34"/>
    </row>
    <row r="2476" spans="1:31" ht="15" thickBot="1" x14ac:dyDescent="0.4">
      <c r="A2476" s="45"/>
      <c r="B2476" s="45"/>
      <c r="C2476" s="46"/>
      <c r="D2476" s="47"/>
      <c r="E2476" s="47"/>
      <c r="F2476" s="47"/>
      <c r="G2476" s="47"/>
      <c r="H2476" s="47"/>
      <c r="I2476" s="47"/>
      <c r="J2476" s="47"/>
      <c r="K2476" s="47"/>
      <c r="L2476" s="47"/>
      <c r="M2476" s="47"/>
      <c r="N2476" s="47"/>
      <c r="O2476" s="47"/>
      <c r="P2476" s="47"/>
      <c r="Q2476" s="47"/>
      <c r="R2476" s="47"/>
      <c r="S2476" s="47"/>
      <c r="T2476" s="45"/>
      <c r="U2476" s="45"/>
      <c r="V2476" s="45"/>
      <c r="W2476" s="45"/>
      <c r="X2476" s="47"/>
      <c r="Y2476" s="45"/>
      <c r="Z2476" s="45"/>
      <c r="AA2476" s="48"/>
      <c r="AB2476" s="48"/>
      <c r="AC2476" s="47"/>
      <c r="AD2476" s="47"/>
      <c r="AE2476" s="47"/>
    </row>
    <row r="2477" spans="1:31" x14ac:dyDescent="0.35">
      <c r="A2477" s="41"/>
      <c r="B2477" s="41"/>
      <c r="C2477" s="42"/>
      <c r="D2477" s="43"/>
      <c r="E2477" s="43"/>
      <c r="F2477" s="43"/>
      <c r="G2477" s="43"/>
      <c r="H2477" s="43"/>
      <c r="I2477" s="43"/>
      <c r="J2477" s="43"/>
      <c r="K2477" s="43"/>
      <c r="L2477" s="43"/>
      <c r="M2477" s="43"/>
      <c r="N2477" s="43"/>
      <c r="O2477" s="43"/>
      <c r="P2477" s="43"/>
      <c r="Q2477" s="43"/>
      <c r="R2477" s="43"/>
      <c r="S2477" s="43"/>
      <c r="T2477" s="43"/>
      <c r="U2477" s="43"/>
      <c r="V2477" s="41"/>
      <c r="W2477" s="41"/>
      <c r="X2477" s="41"/>
      <c r="Y2477" s="41"/>
      <c r="Z2477" s="41"/>
      <c r="AA2477" s="44"/>
      <c r="AB2477" s="44"/>
      <c r="AC2477" s="43"/>
      <c r="AD2477" s="43"/>
      <c r="AE2477" s="43"/>
    </row>
    <row r="2478" spans="1:31" x14ac:dyDescent="0.35">
      <c r="C2478" s="33"/>
      <c r="D2478" s="34"/>
      <c r="E2478" s="34"/>
      <c r="F2478" s="34"/>
      <c r="G2478" s="34"/>
      <c r="H2478" s="34"/>
      <c r="I2478" s="34"/>
      <c r="J2478" s="34"/>
      <c r="K2478" s="34"/>
      <c r="L2478" s="34"/>
      <c r="M2478" s="34"/>
      <c r="N2478" s="34"/>
      <c r="O2478" s="34"/>
      <c r="AA2478" s="35"/>
      <c r="AB2478" s="35"/>
      <c r="AC2478" s="34"/>
      <c r="AD2478" s="34"/>
      <c r="AE2478" s="34"/>
    </row>
    <row r="2479" spans="1:31" ht="15" thickBot="1" x14ac:dyDescent="0.4">
      <c r="A2479" s="45"/>
      <c r="B2479" s="45"/>
      <c r="C2479" s="46"/>
      <c r="D2479" s="47"/>
      <c r="E2479" s="47"/>
      <c r="F2479" s="47"/>
      <c r="G2479" s="47"/>
      <c r="H2479" s="47"/>
      <c r="I2479" s="47"/>
      <c r="J2479" s="47"/>
      <c r="K2479" s="47"/>
      <c r="L2479" s="47"/>
      <c r="M2479" s="47"/>
      <c r="N2479" s="47"/>
      <c r="O2479" s="47"/>
      <c r="P2479" s="47"/>
      <c r="Q2479" s="47"/>
      <c r="R2479" s="47"/>
      <c r="S2479" s="47"/>
      <c r="T2479" s="45"/>
      <c r="U2479" s="45"/>
      <c r="V2479" s="45"/>
      <c r="W2479" s="45"/>
      <c r="X2479" s="47"/>
      <c r="Y2479" s="45"/>
      <c r="Z2479" s="45"/>
      <c r="AA2479" s="48"/>
      <c r="AB2479" s="48"/>
      <c r="AC2479" s="47"/>
      <c r="AD2479" s="47"/>
      <c r="AE2479" s="47"/>
    </row>
    <row r="2480" spans="1:31" x14ac:dyDescent="0.35">
      <c r="A2480" s="41"/>
      <c r="B2480" s="41"/>
      <c r="C2480" s="42"/>
      <c r="D2480" s="43"/>
      <c r="E2480" s="43"/>
      <c r="F2480" s="43"/>
      <c r="G2480" s="43"/>
      <c r="H2480" s="43"/>
      <c r="I2480" s="43"/>
      <c r="J2480" s="43"/>
      <c r="K2480" s="43"/>
      <c r="L2480" s="43"/>
      <c r="M2480" s="43"/>
      <c r="N2480" s="43"/>
      <c r="O2480" s="43"/>
      <c r="P2480" s="43"/>
      <c r="Q2480" s="43"/>
      <c r="R2480" s="43"/>
      <c r="S2480" s="43"/>
      <c r="T2480" s="43"/>
      <c r="U2480" s="43"/>
      <c r="V2480" s="41"/>
      <c r="W2480" s="41"/>
      <c r="X2480" s="41"/>
      <c r="Y2480" s="41"/>
      <c r="Z2480" s="41"/>
      <c r="AA2480" s="44"/>
      <c r="AB2480" s="44"/>
      <c r="AC2480" s="43"/>
      <c r="AD2480" s="43"/>
      <c r="AE2480" s="43"/>
    </row>
    <row r="2481" spans="1:31" x14ac:dyDescent="0.35">
      <c r="C2481" s="33"/>
      <c r="D2481" s="34"/>
      <c r="E2481" s="34"/>
      <c r="F2481" s="34"/>
      <c r="G2481" s="34"/>
      <c r="H2481" s="34"/>
      <c r="I2481" s="34"/>
      <c r="J2481" s="34"/>
      <c r="K2481" s="34"/>
      <c r="L2481" s="34"/>
      <c r="M2481" s="34"/>
      <c r="N2481" s="34"/>
      <c r="O2481" s="34"/>
      <c r="AA2481" s="35"/>
      <c r="AB2481" s="35"/>
      <c r="AC2481" s="34"/>
      <c r="AD2481" s="34"/>
      <c r="AE2481" s="34"/>
    </row>
    <row r="2482" spans="1:31" ht="15" thickBot="1" x14ac:dyDescent="0.4">
      <c r="A2482" s="45"/>
      <c r="B2482" s="45"/>
      <c r="C2482" s="46"/>
      <c r="D2482" s="47"/>
      <c r="E2482" s="47"/>
      <c r="F2482" s="47"/>
      <c r="G2482" s="47"/>
      <c r="H2482" s="47"/>
      <c r="I2482" s="47"/>
      <c r="J2482" s="47"/>
      <c r="K2482" s="47"/>
      <c r="L2482" s="47"/>
      <c r="M2482" s="47"/>
      <c r="N2482" s="47"/>
      <c r="O2482" s="47"/>
      <c r="P2482" s="47"/>
      <c r="Q2482" s="47"/>
      <c r="R2482" s="47"/>
      <c r="S2482" s="47"/>
      <c r="T2482" s="45"/>
      <c r="U2482" s="45"/>
      <c r="V2482" s="45"/>
      <c r="W2482" s="45"/>
      <c r="X2482" s="47"/>
      <c r="Y2482" s="45"/>
      <c r="Z2482" s="45"/>
      <c r="AA2482" s="48"/>
      <c r="AB2482" s="48"/>
      <c r="AC2482" s="47"/>
      <c r="AD2482" s="47"/>
      <c r="AE2482" s="47"/>
    </row>
    <row r="2483" spans="1:31" x14ac:dyDescent="0.35">
      <c r="A2483" s="41"/>
      <c r="B2483" s="41"/>
      <c r="C2483" s="42"/>
      <c r="D2483" s="43"/>
      <c r="E2483" s="43"/>
      <c r="F2483" s="43"/>
      <c r="G2483" s="43"/>
      <c r="H2483" s="43"/>
      <c r="I2483" s="43"/>
      <c r="J2483" s="43"/>
      <c r="K2483" s="43"/>
      <c r="L2483" s="43"/>
      <c r="M2483" s="43"/>
      <c r="N2483" s="43"/>
      <c r="O2483" s="43"/>
      <c r="P2483" s="43"/>
      <c r="Q2483" s="43"/>
      <c r="R2483" s="43"/>
      <c r="S2483" s="43"/>
      <c r="T2483" s="43"/>
      <c r="U2483" s="43"/>
      <c r="V2483" s="41"/>
      <c r="W2483" s="41"/>
      <c r="X2483" s="41"/>
      <c r="Y2483" s="41"/>
      <c r="Z2483" s="41"/>
      <c r="AA2483" s="44"/>
      <c r="AB2483" s="44"/>
      <c r="AC2483" s="43"/>
      <c r="AD2483" s="43"/>
      <c r="AE2483" s="43"/>
    </row>
    <row r="2484" spans="1:31" x14ac:dyDescent="0.35">
      <c r="C2484" s="33"/>
      <c r="D2484" s="34"/>
      <c r="E2484" s="34"/>
      <c r="F2484" s="34"/>
      <c r="G2484" s="34"/>
      <c r="H2484" s="34"/>
      <c r="I2484" s="34"/>
      <c r="J2484" s="34"/>
      <c r="K2484" s="34"/>
      <c r="L2484" s="34"/>
      <c r="M2484" s="34"/>
      <c r="N2484" s="34"/>
      <c r="O2484" s="34"/>
      <c r="AA2484" s="35"/>
      <c r="AB2484" s="35"/>
      <c r="AC2484" s="34"/>
      <c r="AD2484" s="34"/>
      <c r="AE2484" s="34"/>
    </row>
    <row r="2485" spans="1:31" ht="15" thickBot="1" x14ac:dyDescent="0.4">
      <c r="A2485" s="45"/>
      <c r="B2485" s="45"/>
      <c r="C2485" s="46"/>
      <c r="D2485" s="47"/>
      <c r="E2485" s="47"/>
      <c r="F2485" s="47"/>
      <c r="G2485" s="47"/>
      <c r="H2485" s="47"/>
      <c r="I2485" s="47"/>
      <c r="J2485" s="47"/>
      <c r="K2485" s="47"/>
      <c r="L2485" s="47"/>
      <c r="M2485" s="47"/>
      <c r="N2485" s="47"/>
      <c r="O2485" s="47"/>
      <c r="P2485" s="47"/>
      <c r="Q2485" s="47"/>
      <c r="R2485" s="47"/>
      <c r="S2485" s="47"/>
      <c r="T2485" s="45"/>
      <c r="U2485" s="45"/>
      <c r="V2485" s="45"/>
      <c r="W2485" s="45"/>
      <c r="X2485" s="47"/>
      <c r="Y2485" s="45"/>
      <c r="Z2485" s="45"/>
      <c r="AA2485" s="48"/>
      <c r="AB2485" s="48"/>
      <c r="AC2485" s="47"/>
      <c r="AD2485" s="47"/>
      <c r="AE2485" s="47"/>
    </row>
    <row r="2486" spans="1:31" x14ac:dyDescent="0.35">
      <c r="A2486" s="41"/>
      <c r="B2486" s="41"/>
      <c r="C2486" s="42"/>
      <c r="D2486" s="43"/>
      <c r="E2486" s="43"/>
      <c r="F2486" s="43"/>
      <c r="G2486" s="43"/>
      <c r="H2486" s="43"/>
      <c r="I2486" s="43"/>
      <c r="J2486" s="43"/>
      <c r="K2486" s="43"/>
      <c r="L2486" s="43"/>
      <c r="M2486" s="43"/>
      <c r="N2486" s="43"/>
      <c r="O2486" s="43"/>
      <c r="P2486" s="43"/>
      <c r="Q2486" s="43"/>
      <c r="R2486" s="43"/>
      <c r="S2486" s="43"/>
      <c r="T2486" s="43"/>
      <c r="U2486" s="43"/>
      <c r="V2486" s="41"/>
      <c r="W2486" s="41"/>
      <c r="X2486" s="41"/>
      <c r="Y2486" s="41"/>
      <c r="Z2486" s="41"/>
      <c r="AA2486" s="44"/>
      <c r="AB2486" s="44"/>
      <c r="AC2486" s="43"/>
      <c r="AD2486" s="43"/>
      <c r="AE2486" s="43"/>
    </row>
    <row r="2487" spans="1:31" x14ac:dyDescent="0.35">
      <c r="C2487" s="33"/>
      <c r="D2487" s="34"/>
      <c r="E2487" s="34"/>
      <c r="F2487" s="34"/>
      <c r="G2487" s="34"/>
      <c r="H2487" s="34"/>
      <c r="I2487" s="34"/>
      <c r="J2487" s="34"/>
      <c r="K2487" s="34"/>
      <c r="L2487" s="34"/>
      <c r="M2487" s="34"/>
      <c r="N2487" s="34"/>
      <c r="O2487" s="34"/>
      <c r="AA2487" s="35"/>
      <c r="AB2487" s="35"/>
      <c r="AC2487" s="34"/>
      <c r="AD2487" s="34"/>
      <c r="AE2487" s="34"/>
    </row>
    <row r="2488" spans="1:31" ht="15" thickBot="1" x14ac:dyDescent="0.4">
      <c r="A2488" s="45"/>
      <c r="B2488" s="45"/>
      <c r="C2488" s="46"/>
      <c r="D2488" s="47"/>
      <c r="E2488" s="47"/>
      <c r="F2488" s="47"/>
      <c r="G2488" s="47"/>
      <c r="H2488" s="47"/>
      <c r="I2488" s="47"/>
      <c r="J2488" s="47"/>
      <c r="K2488" s="47"/>
      <c r="L2488" s="47"/>
      <c r="M2488" s="47"/>
      <c r="N2488" s="47"/>
      <c r="O2488" s="47"/>
      <c r="P2488" s="47"/>
      <c r="Q2488" s="47"/>
      <c r="R2488" s="47"/>
      <c r="S2488" s="47"/>
      <c r="T2488" s="45"/>
      <c r="U2488" s="45"/>
      <c r="V2488" s="45"/>
      <c r="W2488" s="45"/>
      <c r="X2488" s="47"/>
      <c r="Y2488" s="45"/>
      <c r="Z2488" s="45"/>
      <c r="AA2488" s="48"/>
      <c r="AB2488" s="48"/>
      <c r="AC2488" s="47"/>
      <c r="AD2488" s="47"/>
      <c r="AE2488" s="47"/>
    </row>
    <row r="2489" spans="1:31" x14ac:dyDescent="0.35">
      <c r="A2489" s="41"/>
      <c r="B2489" s="41"/>
      <c r="C2489" s="42"/>
      <c r="D2489" s="43"/>
      <c r="E2489" s="43"/>
      <c r="F2489" s="43"/>
      <c r="G2489" s="43"/>
      <c r="H2489" s="43"/>
      <c r="I2489" s="43"/>
      <c r="J2489" s="43"/>
      <c r="K2489" s="43"/>
      <c r="L2489" s="43"/>
      <c r="M2489" s="43"/>
      <c r="N2489" s="43"/>
      <c r="O2489" s="43"/>
      <c r="P2489" s="43"/>
      <c r="Q2489" s="43"/>
      <c r="R2489" s="43"/>
      <c r="S2489" s="43"/>
      <c r="T2489" s="43"/>
      <c r="U2489" s="43"/>
      <c r="V2489" s="41"/>
      <c r="W2489" s="41"/>
      <c r="X2489" s="41"/>
      <c r="Y2489" s="41"/>
      <c r="Z2489" s="41"/>
      <c r="AA2489" s="44"/>
      <c r="AB2489" s="44"/>
      <c r="AC2489" s="43"/>
      <c r="AD2489" s="43"/>
      <c r="AE2489" s="43"/>
    </row>
    <row r="2490" spans="1:31" x14ac:dyDescent="0.35">
      <c r="C2490" s="33"/>
      <c r="D2490" s="34"/>
      <c r="E2490" s="34"/>
      <c r="F2490" s="34"/>
      <c r="G2490" s="34"/>
      <c r="H2490" s="34"/>
      <c r="I2490" s="34"/>
      <c r="J2490" s="34"/>
      <c r="K2490" s="34"/>
      <c r="L2490" s="34"/>
      <c r="M2490" s="34"/>
      <c r="N2490" s="34"/>
      <c r="O2490" s="34"/>
      <c r="AA2490" s="35"/>
      <c r="AB2490" s="35"/>
      <c r="AC2490" s="34"/>
      <c r="AD2490" s="34"/>
      <c r="AE2490" s="34"/>
    </row>
    <row r="2491" spans="1:31" ht="15" thickBot="1" x14ac:dyDescent="0.4">
      <c r="A2491" s="45"/>
      <c r="B2491" s="45"/>
      <c r="C2491" s="46"/>
      <c r="D2491" s="47"/>
      <c r="E2491" s="47"/>
      <c r="F2491" s="47"/>
      <c r="G2491" s="47"/>
      <c r="H2491" s="47"/>
      <c r="I2491" s="47"/>
      <c r="J2491" s="47"/>
      <c r="K2491" s="47"/>
      <c r="L2491" s="47"/>
      <c r="M2491" s="47"/>
      <c r="N2491" s="47"/>
      <c r="O2491" s="47"/>
      <c r="P2491" s="47"/>
      <c r="Q2491" s="47"/>
      <c r="R2491" s="47"/>
      <c r="S2491" s="47"/>
      <c r="T2491" s="45"/>
      <c r="U2491" s="45"/>
      <c r="V2491" s="45"/>
      <c r="W2491" s="45"/>
      <c r="X2491" s="47"/>
      <c r="Y2491" s="45"/>
      <c r="Z2491" s="45"/>
      <c r="AA2491" s="48"/>
      <c r="AB2491" s="48"/>
      <c r="AC2491" s="47"/>
      <c r="AD2491" s="47"/>
      <c r="AE2491" s="47"/>
    </row>
    <row r="2492" spans="1:31" x14ac:dyDescent="0.35">
      <c r="A2492" s="41"/>
      <c r="B2492" s="41"/>
      <c r="C2492" s="42"/>
      <c r="D2492" s="43"/>
      <c r="E2492" s="43"/>
      <c r="F2492" s="43"/>
      <c r="G2492" s="43"/>
      <c r="H2492" s="43"/>
      <c r="I2492" s="43"/>
      <c r="J2492" s="43"/>
      <c r="K2492" s="43"/>
      <c r="L2492" s="43"/>
      <c r="M2492" s="43"/>
      <c r="N2492" s="43"/>
      <c r="O2492" s="43"/>
      <c r="P2492" s="43"/>
      <c r="Q2492" s="43"/>
      <c r="R2492" s="43"/>
      <c r="S2492" s="43"/>
      <c r="T2492" s="43"/>
      <c r="U2492" s="43"/>
      <c r="V2492" s="41"/>
      <c r="W2492" s="41"/>
      <c r="X2492" s="41"/>
      <c r="Y2492" s="41"/>
      <c r="Z2492" s="41"/>
      <c r="AA2492" s="44"/>
      <c r="AB2492" s="44"/>
      <c r="AC2492" s="43"/>
      <c r="AD2492" s="43"/>
      <c r="AE2492" s="43"/>
    </row>
    <row r="2493" spans="1:31" x14ac:dyDescent="0.35">
      <c r="C2493" s="33"/>
      <c r="D2493" s="34"/>
      <c r="E2493" s="34"/>
      <c r="F2493" s="34"/>
      <c r="G2493" s="34"/>
      <c r="H2493" s="34"/>
      <c r="I2493" s="34"/>
      <c r="J2493" s="34"/>
      <c r="K2493" s="34"/>
      <c r="L2493" s="34"/>
      <c r="M2493" s="34"/>
      <c r="N2493" s="34"/>
      <c r="O2493" s="34"/>
      <c r="AA2493" s="35"/>
      <c r="AB2493" s="35"/>
      <c r="AC2493" s="34"/>
      <c r="AD2493" s="34"/>
      <c r="AE2493" s="34"/>
    </row>
    <row r="2494" spans="1:31" ht="15" thickBot="1" x14ac:dyDescent="0.4">
      <c r="A2494" s="45"/>
      <c r="B2494" s="45"/>
      <c r="C2494" s="46"/>
      <c r="D2494" s="47"/>
      <c r="E2494" s="47"/>
      <c r="F2494" s="47"/>
      <c r="G2494" s="47"/>
      <c r="H2494" s="47"/>
      <c r="I2494" s="47"/>
      <c r="J2494" s="47"/>
      <c r="K2494" s="47"/>
      <c r="L2494" s="47"/>
      <c r="M2494" s="47"/>
      <c r="N2494" s="47"/>
      <c r="O2494" s="47"/>
      <c r="P2494" s="47"/>
      <c r="Q2494" s="47"/>
      <c r="R2494" s="47"/>
      <c r="S2494" s="47"/>
      <c r="T2494" s="45"/>
      <c r="U2494" s="45"/>
      <c r="V2494" s="45"/>
      <c r="W2494" s="45"/>
      <c r="X2494" s="47"/>
      <c r="Y2494" s="45"/>
      <c r="Z2494" s="45"/>
      <c r="AA2494" s="48"/>
      <c r="AB2494" s="48"/>
      <c r="AC2494" s="47"/>
      <c r="AD2494" s="47"/>
      <c r="AE2494" s="47"/>
    </row>
    <row r="2495" spans="1:31" x14ac:dyDescent="0.35">
      <c r="A2495" s="41"/>
      <c r="B2495" s="41"/>
      <c r="C2495" s="42"/>
      <c r="D2495" s="43"/>
      <c r="E2495" s="43"/>
      <c r="F2495" s="43"/>
      <c r="G2495" s="43"/>
      <c r="H2495" s="43"/>
      <c r="I2495" s="43"/>
      <c r="J2495" s="43"/>
      <c r="K2495" s="43"/>
      <c r="L2495" s="43"/>
      <c r="M2495" s="43"/>
      <c r="N2495" s="43"/>
      <c r="O2495" s="43"/>
      <c r="P2495" s="43"/>
      <c r="Q2495" s="43"/>
      <c r="R2495" s="43"/>
      <c r="S2495" s="43"/>
      <c r="T2495" s="43"/>
      <c r="U2495" s="43"/>
      <c r="V2495" s="41"/>
      <c r="W2495" s="41"/>
      <c r="X2495" s="41"/>
      <c r="Y2495" s="41"/>
      <c r="Z2495" s="41"/>
      <c r="AA2495" s="44"/>
      <c r="AB2495" s="44"/>
      <c r="AC2495" s="43"/>
      <c r="AD2495" s="43"/>
      <c r="AE2495" s="43"/>
    </row>
    <row r="2496" spans="1:31" x14ac:dyDescent="0.35">
      <c r="C2496" s="33"/>
      <c r="D2496" s="34"/>
      <c r="E2496" s="34"/>
      <c r="F2496" s="34"/>
      <c r="G2496" s="34"/>
      <c r="H2496" s="34"/>
      <c r="I2496" s="34"/>
      <c r="J2496" s="34"/>
      <c r="K2496" s="34"/>
      <c r="L2496" s="34"/>
      <c r="M2496" s="34"/>
      <c r="N2496" s="34"/>
      <c r="O2496" s="34"/>
      <c r="AA2496" s="35"/>
      <c r="AB2496" s="35"/>
      <c r="AC2496" s="34"/>
      <c r="AD2496" s="34"/>
      <c r="AE2496" s="34"/>
    </row>
    <row r="2497" spans="1:31" ht="15" thickBot="1" x14ac:dyDescent="0.4">
      <c r="A2497" s="45"/>
      <c r="B2497" s="45"/>
      <c r="C2497" s="46"/>
      <c r="D2497" s="47"/>
      <c r="E2497" s="47"/>
      <c r="F2497" s="47"/>
      <c r="G2497" s="47"/>
      <c r="H2497" s="47"/>
      <c r="I2497" s="47"/>
      <c r="J2497" s="47"/>
      <c r="K2497" s="47"/>
      <c r="L2497" s="47"/>
      <c r="M2497" s="47"/>
      <c r="N2497" s="47"/>
      <c r="O2497" s="47"/>
      <c r="P2497" s="47"/>
      <c r="Q2497" s="47"/>
      <c r="R2497" s="47"/>
      <c r="S2497" s="47"/>
      <c r="T2497" s="45"/>
      <c r="U2497" s="45"/>
      <c r="V2497" s="45"/>
      <c r="W2497" s="45"/>
      <c r="X2497" s="47"/>
      <c r="Y2497" s="45"/>
      <c r="Z2497" s="45"/>
      <c r="AA2497" s="48"/>
      <c r="AB2497" s="48"/>
      <c r="AC2497" s="47"/>
      <c r="AD2497" s="47"/>
      <c r="AE2497" s="47"/>
    </row>
    <row r="2498" spans="1:31" x14ac:dyDescent="0.35">
      <c r="A2498" s="41"/>
      <c r="B2498" s="41"/>
      <c r="C2498" s="42"/>
      <c r="D2498" s="43"/>
      <c r="E2498" s="43"/>
      <c r="F2498" s="43"/>
      <c r="G2498" s="43"/>
      <c r="H2498" s="43"/>
      <c r="I2498" s="43"/>
      <c r="J2498" s="43"/>
      <c r="K2498" s="43"/>
      <c r="L2498" s="43"/>
      <c r="M2498" s="43"/>
      <c r="N2498" s="43"/>
      <c r="O2498" s="43"/>
      <c r="P2498" s="43"/>
      <c r="Q2498" s="43"/>
      <c r="R2498" s="43"/>
      <c r="S2498" s="43"/>
      <c r="T2498" s="43"/>
      <c r="U2498" s="43"/>
      <c r="V2498" s="41"/>
      <c r="W2498" s="41"/>
      <c r="X2498" s="41"/>
      <c r="Y2498" s="41"/>
      <c r="Z2498" s="41"/>
      <c r="AA2498" s="44"/>
      <c r="AB2498" s="44"/>
      <c r="AC2498" s="43"/>
      <c r="AD2498" s="43"/>
      <c r="AE2498" s="43"/>
    </row>
    <row r="2499" spans="1:31" x14ac:dyDescent="0.35">
      <c r="C2499" s="33"/>
      <c r="D2499" s="34"/>
      <c r="E2499" s="34"/>
      <c r="F2499" s="34"/>
      <c r="G2499" s="34"/>
      <c r="H2499" s="34"/>
      <c r="I2499" s="34"/>
      <c r="J2499" s="34"/>
      <c r="K2499" s="34"/>
      <c r="L2499" s="34"/>
      <c r="M2499" s="34"/>
      <c r="N2499" s="34"/>
      <c r="O2499" s="34"/>
      <c r="AA2499" s="35"/>
      <c r="AB2499" s="35"/>
      <c r="AC2499" s="34"/>
      <c r="AD2499" s="34"/>
      <c r="AE2499" s="34"/>
    </row>
    <row r="2500" spans="1:31" ht="15" thickBot="1" x14ac:dyDescent="0.4">
      <c r="A2500" s="45"/>
      <c r="B2500" s="45"/>
      <c r="C2500" s="46"/>
      <c r="D2500" s="47"/>
      <c r="E2500" s="47"/>
      <c r="F2500" s="47"/>
      <c r="G2500" s="47"/>
      <c r="H2500" s="47"/>
      <c r="I2500" s="47"/>
      <c r="J2500" s="47"/>
      <c r="K2500" s="47"/>
      <c r="L2500" s="47"/>
      <c r="M2500" s="47"/>
      <c r="N2500" s="47"/>
      <c r="O2500" s="47"/>
      <c r="P2500" s="47"/>
      <c r="Q2500" s="47"/>
      <c r="R2500" s="47"/>
      <c r="S2500" s="47"/>
      <c r="T2500" s="45"/>
      <c r="U2500" s="45"/>
      <c r="V2500" s="45"/>
      <c r="W2500" s="45"/>
      <c r="X2500" s="47"/>
      <c r="Y2500" s="45"/>
      <c r="Z2500" s="45"/>
      <c r="AA2500" s="48"/>
      <c r="AB2500" s="48"/>
      <c r="AC2500" s="47"/>
      <c r="AD2500" s="47"/>
      <c r="AE2500" s="47"/>
    </row>
    <row r="2501" spans="1:31" x14ac:dyDescent="0.35">
      <c r="A2501" s="41"/>
      <c r="B2501" s="41"/>
      <c r="C2501" s="42"/>
      <c r="D2501" s="43"/>
      <c r="E2501" s="43"/>
      <c r="F2501" s="43"/>
      <c r="G2501" s="43"/>
      <c r="H2501" s="43"/>
      <c r="I2501" s="43"/>
      <c r="J2501" s="43"/>
      <c r="K2501" s="43"/>
      <c r="L2501" s="43"/>
      <c r="M2501" s="43"/>
      <c r="N2501" s="43"/>
      <c r="O2501" s="43"/>
      <c r="P2501" s="43"/>
      <c r="Q2501" s="43"/>
      <c r="R2501" s="43"/>
      <c r="S2501" s="43"/>
      <c r="T2501" s="43"/>
      <c r="U2501" s="43"/>
      <c r="V2501" s="41"/>
      <c r="W2501" s="41"/>
      <c r="X2501" s="41"/>
      <c r="Y2501" s="41"/>
      <c r="Z2501" s="41"/>
      <c r="AA2501" s="44"/>
      <c r="AB2501" s="44"/>
      <c r="AC2501" s="43"/>
      <c r="AD2501" s="43"/>
      <c r="AE2501" s="43"/>
    </row>
    <row r="2502" spans="1:31" x14ac:dyDescent="0.35">
      <c r="C2502" s="33"/>
      <c r="D2502" s="34"/>
      <c r="E2502" s="34"/>
      <c r="F2502" s="34"/>
      <c r="G2502" s="34"/>
      <c r="H2502" s="34"/>
      <c r="I2502" s="34"/>
      <c r="J2502" s="34"/>
      <c r="K2502" s="34"/>
      <c r="L2502" s="34"/>
      <c r="M2502" s="34"/>
      <c r="N2502" s="34"/>
      <c r="O2502" s="34"/>
      <c r="AA2502" s="35"/>
      <c r="AB2502" s="35"/>
      <c r="AC2502" s="34"/>
      <c r="AD2502" s="34"/>
      <c r="AE2502" s="34"/>
    </row>
    <row r="2503" spans="1:31" ht="15" thickBot="1" x14ac:dyDescent="0.4">
      <c r="A2503" s="45"/>
      <c r="B2503" s="45"/>
      <c r="C2503" s="46"/>
      <c r="D2503" s="47"/>
      <c r="E2503" s="47"/>
      <c r="F2503" s="47"/>
      <c r="G2503" s="47"/>
      <c r="H2503" s="47"/>
      <c r="I2503" s="47"/>
      <c r="J2503" s="47"/>
      <c r="K2503" s="47"/>
      <c r="L2503" s="47"/>
      <c r="M2503" s="47"/>
      <c r="N2503" s="47"/>
      <c r="O2503" s="47"/>
      <c r="P2503" s="47"/>
      <c r="Q2503" s="47"/>
      <c r="R2503" s="47"/>
      <c r="S2503" s="47"/>
      <c r="T2503" s="45"/>
      <c r="U2503" s="45"/>
      <c r="V2503" s="45"/>
      <c r="W2503" s="45"/>
      <c r="X2503" s="47"/>
      <c r="Y2503" s="45"/>
      <c r="Z2503" s="45"/>
      <c r="AA2503" s="48"/>
      <c r="AB2503" s="48"/>
      <c r="AC2503" s="47"/>
      <c r="AD2503" s="47"/>
      <c r="AE2503" s="47"/>
    </row>
    <row r="2504" spans="1:31" x14ac:dyDescent="0.35">
      <c r="A2504" s="41"/>
      <c r="B2504" s="41"/>
      <c r="C2504" s="42"/>
      <c r="D2504" s="43"/>
      <c r="E2504" s="43"/>
      <c r="F2504" s="43"/>
      <c r="G2504" s="43"/>
      <c r="H2504" s="43"/>
      <c r="I2504" s="43"/>
      <c r="J2504" s="43"/>
      <c r="K2504" s="43"/>
      <c r="L2504" s="43"/>
      <c r="M2504" s="43"/>
      <c r="N2504" s="43"/>
      <c r="O2504" s="43"/>
      <c r="P2504" s="43"/>
      <c r="Q2504" s="43"/>
      <c r="R2504" s="43"/>
      <c r="S2504" s="43"/>
      <c r="T2504" s="43"/>
      <c r="U2504" s="43"/>
      <c r="V2504" s="41"/>
      <c r="W2504" s="41"/>
      <c r="X2504" s="41"/>
      <c r="Y2504" s="41"/>
      <c r="Z2504" s="41"/>
      <c r="AA2504" s="44"/>
      <c r="AB2504" s="44"/>
      <c r="AC2504" s="43"/>
      <c r="AD2504" s="43"/>
      <c r="AE2504" s="43"/>
    </row>
    <row r="2505" spans="1:31" x14ac:dyDescent="0.35">
      <c r="C2505" s="33"/>
      <c r="D2505" s="34"/>
      <c r="E2505" s="34"/>
      <c r="F2505" s="34"/>
      <c r="G2505" s="34"/>
      <c r="H2505" s="34"/>
      <c r="I2505" s="34"/>
      <c r="J2505" s="34"/>
      <c r="K2505" s="34"/>
      <c r="L2505" s="34"/>
      <c r="M2505" s="34"/>
      <c r="N2505" s="34"/>
      <c r="O2505" s="34"/>
      <c r="AA2505" s="35"/>
      <c r="AB2505" s="35"/>
      <c r="AC2505" s="34"/>
      <c r="AD2505" s="34"/>
      <c r="AE2505" s="34"/>
    </row>
    <row r="2506" spans="1:31" ht="15" thickBot="1" x14ac:dyDescent="0.4">
      <c r="A2506" s="45"/>
      <c r="B2506" s="45"/>
      <c r="C2506" s="46"/>
      <c r="D2506" s="47"/>
      <c r="E2506" s="47"/>
      <c r="F2506" s="47"/>
      <c r="G2506" s="47"/>
      <c r="H2506" s="47"/>
      <c r="I2506" s="47"/>
      <c r="J2506" s="47"/>
      <c r="K2506" s="47"/>
      <c r="L2506" s="47"/>
      <c r="M2506" s="47"/>
      <c r="N2506" s="47"/>
      <c r="O2506" s="47"/>
      <c r="P2506" s="47"/>
      <c r="Q2506" s="47"/>
      <c r="R2506" s="47"/>
      <c r="S2506" s="47"/>
      <c r="T2506" s="45"/>
      <c r="U2506" s="45"/>
      <c r="V2506" s="45"/>
      <c r="W2506" s="45"/>
      <c r="X2506" s="47"/>
      <c r="Y2506" s="45"/>
      <c r="Z2506" s="45"/>
      <c r="AA2506" s="48"/>
      <c r="AB2506" s="48"/>
      <c r="AC2506" s="47"/>
      <c r="AD2506" s="47"/>
      <c r="AE2506" s="47"/>
    </row>
    <row r="2507" spans="1:31" x14ac:dyDescent="0.35">
      <c r="A2507" s="41"/>
      <c r="B2507" s="41"/>
      <c r="C2507" s="42"/>
      <c r="D2507" s="43"/>
      <c r="E2507" s="43"/>
      <c r="F2507" s="43"/>
      <c r="G2507" s="43"/>
      <c r="H2507" s="43"/>
      <c r="I2507" s="43"/>
      <c r="J2507" s="43"/>
      <c r="K2507" s="43"/>
      <c r="L2507" s="43"/>
      <c r="M2507" s="43"/>
      <c r="N2507" s="43"/>
      <c r="O2507" s="43"/>
      <c r="P2507" s="43"/>
      <c r="Q2507" s="43"/>
      <c r="R2507" s="43"/>
      <c r="S2507" s="43"/>
      <c r="T2507" s="43"/>
      <c r="U2507" s="43"/>
      <c r="V2507" s="41"/>
      <c r="W2507" s="41"/>
      <c r="X2507" s="41"/>
      <c r="Y2507" s="41"/>
      <c r="Z2507" s="41"/>
      <c r="AA2507" s="44"/>
      <c r="AB2507" s="44"/>
      <c r="AC2507" s="43"/>
      <c r="AD2507" s="43"/>
      <c r="AE2507" s="43"/>
    </row>
    <row r="2508" spans="1:31" x14ac:dyDescent="0.35">
      <c r="C2508" s="33"/>
      <c r="D2508" s="34"/>
      <c r="E2508" s="34"/>
      <c r="F2508" s="34"/>
      <c r="G2508" s="34"/>
      <c r="H2508" s="34"/>
      <c r="I2508" s="34"/>
      <c r="J2508" s="34"/>
      <c r="K2508" s="34"/>
      <c r="L2508" s="34"/>
      <c r="M2508" s="34"/>
      <c r="N2508" s="34"/>
      <c r="O2508" s="34"/>
      <c r="AA2508" s="35"/>
      <c r="AB2508" s="35"/>
      <c r="AC2508" s="34"/>
      <c r="AD2508" s="34"/>
      <c r="AE2508" s="34"/>
    </row>
    <row r="2509" spans="1:31" ht="15" thickBot="1" x14ac:dyDescent="0.4">
      <c r="A2509" s="45"/>
      <c r="B2509" s="45"/>
      <c r="C2509" s="46"/>
      <c r="D2509" s="47"/>
      <c r="E2509" s="47"/>
      <c r="F2509" s="47"/>
      <c r="G2509" s="47"/>
      <c r="H2509" s="47"/>
      <c r="I2509" s="47"/>
      <c r="J2509" s="47"/>
      <c r="K2509" s="47"/>
      <c r="L2509" s="47"/>
      <c r="M2509" s="47"/>
      <c r="N2509" s="47"/>
      <c r="O2509" s="47"/>
      <c r="P2509" s="47"/>
      <c r="Q2509" s="47"/>
      <c r="R2509" s="47"/>
      <c r="S2509" s="47"/>
      <c r="T2509" s="45"/>
      <c r="U2509" s="45"/>
      <c r="V2509" s="45"/>
      <c r="W2509" s="45"/>
      <c r="X2509" s="47"/>
      <c r="Y2509" s="45"/>
      <c r="Z2509" s="45"/>
      <c r="AA2509" s="48"/>
      <c r="AB2509" s="48"/>
      <c r="AC2509" s="47"/>
      <c r="AD2509" s="47"/>
      <c r="AE2509" s="47"/>
    </row>
    <row r="2510" spans="1:31" x14ac:dyDescent="0.35">
      <c r="A2510" s="41"/>
      <c r="B2510" s="41"/>
      <c r="C2510" s="42"/>
      <c r="D2510" s="43"/>
      <c r="E2510" s="43"/>
      <c r="F2510" s="43"/>
      <c r="G2510" s="43"/>
      <c r="H2510" s="43"/>
      <c r="I2510" s="43"/>
      <c r="J2510" s="43"/>
      <c r="K2510" s="43"/>
      <c r="L2510" s="43"/>
      <c r="M2510" s="43"/>
      <c r="N2510" s="43"/>
      <c r="O2510" s="43"/>
      <c r="P2510" s="43"/>
      <c r="Q2510" s="43"/>
      <c r="R2510" s="43"/>
      <c r="S2510" s="43"/>
      <c r="T2510" s="43"/>
      <c r="U2510" s="43"/>
      <c r="V2510" s="41"/>
      <c r="W2510" s="41"/>
      <c r="X2510" s="41"/>
      <c r="Y2510" s="41"/>
      <c r="Z2510" s="41"/>
      <c r="AA2510" s="44"/>
      <c r="AB2510" s="44"/>
      <c r="AC2510" s="43"/>
      <c r="AD2510" s="43"/>
      <c r="AE2510" s="43"/>
    </row>
    <row r="2511" spans="1:31" x14ac:dyDescent="0.35">
      <c r="C2511" s="33"/>
      <c r="D2511" s="34"/>
      <c r="E2511" s="34"/>
      <c r="F2511" s="34"/>
      <c r="G2511" s="34"/>
      <c r="H2511" s="34"/>
      <c r="I2511" s="34"/>
      <c r="J2511" s="34"/>
      <c r="K2511" s="34"/>
      <c r="L2511" s="34"/>
      <c r="M2511" s="34"/>
      <c r="N2511" s="34"/>
      <c r="O2511" s="34"/>
      <c r="AA2511" s="35"/>
      <c r="AB2511" s="35"/>
      <c r="AC2511" s="34"/>
      <c r="AD2511" s="34"/>
      <c r="AE2511" s="34"/>
    </row>
    <row r="2512" spans="1:31" ht="15" thickBot="1" x14ac:dyDescent="0.4">
      <c r="A2512" s="45"/>
      <c r="B2512" s="45"/>
      <c r="C2512" s="46"/>
      <c r="D2512" s="47"/>
      <c r="E2512" s="47"/>
      <c r="F2512" s="47"/>
      <c r="G2512" s="47"/>
      <c r="H2512" s="47"/>
      <c r="I2512" s="47"/>
      <c r="J2512" s="47"/>
      <c r="K2512" s="47"/>
      <c r="L2512" s="47"/>
      <c r="M2512" s="47"/>
      <c r="N2512" s="47"/>
      <c r="O2512" s="47"/>
      <c r="P2512" s="47"/>
      <c r="Q2512" s="47"/>
      <c r="R2512" s="47"/>
      <c r="S2512" s="47"/>
      <c r="T2512" s="45"/>
      <c r="U2512" s="45"/>
      <c r="V2512" s="45"/>
      <c r="W2512" s="45"/>
      <c r="X2512" s="47"/>
      <c r="Y2512" s="45"/>
      <c r="Z2512" s="45"/>
      <c r="AA2512" s="48"/>
      <c r="AB2512" s="48"/>
      <c r="AC2512" s="47"/>
      <c r="AD2512" s="47"/>
      <c r="AE2512" s="47"/>
    </row>
    <row r="2513" spans="1:31" x14ac:dyDescent="0.35">
      <c r="A2513" s="41"/>
      <c r="B2513" s="41"/>
      <c r="C2513" s="42"/>
      <c r="D2513" s="43"/>
      <c r="E2513" s="43"/>
      <c r="F2513" s="43"/>
      <c r="G2513" s="43"/>
      <c r="H2513" s="43"/>
      <c r="I2513" s="43"/>
      <c r="J2513" s="43"/>
      <c r="K2513" s="43"/>
      <c r="L2513" s="43"/>
      <c r="M2513" s="43"/>
      <c r="N2513" s="43"/>
      <c r="O2513" s="43"/>
      <c r="P2513" s="43"/>
      <c r="Q2513" s="43"/>
      <c r="R2513" s="43"/>
      <c r="S2513" s="43"/>
      <c r="T2513" s="43"/>
      <c r="U2513" s="43"/>
      <c r="V2513" s="41"/>
      <c r="W2513" s="41"/>
      <c r="X2513" s="41"/>
      <c r="Y2513" s="41"/>
      <c r="Z2513" s="41"/>
      <c r="AA2513" s="44"/>
      <c r="AB2513" s="44"/>
      <c r="AC2513" s="43"/>
      <c r="AD2513" s="43"/>
      <c r="AE2513" s="43"/>
    </row>
    <row r="2514" spans="1:31" x14ac:dyDescent="0.35">
      <c r="C2514" s="33"/>
      <c r="D2514" s="34"/>
      <c r="E2514" s="34"/>
      <c r="F2514" s="34"/>
      <c r="G2514" s="34"/>
      <c r="H2514" s="34"/>
      <c r="I2514" s="34"/>
      <c r="J2514" s="34"/>
      <c r="K2514" s="34"/>
      <c r="L2514" s="34"/>
      <c r="M2514" s="34"/>
      <c r="N2514" s="34"/>
      <c r="O2514" s="34"/>
      <c r="AA2514" s="35"/>
      <c r="AB2514" s="35"/>
      <c r="AC2514" s="34"/>
      <c r="AD2514" s="34"/>
      <c r="AE2514" s="34"/>
    </row>
    <row r="2515" spans="1:31" ht="15" thickBot="1" x14ac:dyDescent="0.4">
      <c r="A2515" s="45"/>
      <c r="B2515" s="45"/>
      <c r="C2515" s="46"/>
      <c r="D2515" s="47"/>
      <c r="E2515" s="47"/>
      <c r="F2515" s="47"/>
      <c r="G2515" s="47"/>
      <c r="H2515" s="47"/>
      <c r="I2515" s="47"/>
      <c r="J2515" s="47"/>
      <c r="K2515" s="47"/>
      <c r="L2515" s="47"/>
      <c r="M2515" s="47"/>
      <c r="N2515" s="47"/>
      <c r="O2515" s="47"/>
      <c r="P2515" s="47"/>
      <c r="Q2515" s="47"/>
      <c r="R2515" s="47"/>
      <c r="S2515" s="47"/>
      <c r="T2515" s="45"/>
      <c r="U2515" s="45"/>
      <c r="V2515" s="45"/>
      <c r="W2515" s="45"/>
      <c r="X2515" s="47"/>
      <c r="Y2515" s="45"/>
      <c r="Z2515" s="45"/>
      <c r="AA2515" s="48"/>
      <c r="AB2515" s="48"/>
      <c r="AC2515" s="47"/>
      <c r="AD2515" s="47"/>
      <c r="AE2515" s="47"/>
    </row>
    <row r="2516" spans="1:31" x14ac:dyDescent="0.35">
      <c r="A2516" s="41"/>
      <c r="B2516" s="41"/>
      <c r="C2516" s="42"/>
      <c r="D2516" s="43"/>
      <c r="E2516" s="43"/>
      <c r="F2516" s="43"/>
      <c r="G2516" s="43"/>
      <c r="H2516" s="43"/>
      <c r="I2516" s="43"/>
      <c r="J2516" s="43"/>
      <c r="K2516" s="43"/>
      <c r="L2516" s="43"/>
      <c r="M2516" s="43"/>
      <c r="N2516" s="43"/>
      <c r="O2516" s="43"/>
      <c r="P2516" s="43"/>
      <c r="Q2516" s="43"/>
      <c r="R2516" s="43"/>
      <c r="S2516" s="43"/>
      <c r="T2516" s="43"/>
      <c r="U2516" s="43"/>
      <c r="V2516" s="41"/>
      <c r="W2516" s="41"/>
      <c r="X2516" s="41"/>
      <c r="Y2516" s="41"/>
      <c r="Z2516" s="41"/>
      <c r="AA2516" s="44"/>
      <c r="AB2516" s="44"/>
      <c r="AC2516" s="43"/>
      <c r="AD2516" s="43"/>
      <c r="AE2516" s="43"/>
    </row>
    <row r="2517" spans="1:31" x14ac:dyDescent="0.35">
      <c r="C2517" s="33"/>
      <c r="D2517" s="34"/>
      <c r="E2517" s="34"/>
      <c r="F2517" s="34"/>
      <c r="G2517" s="34"/>
      <c r="H2517" s="34"/>
      <c r="I2517" s="34"/>
      <c r="J2517" s="34"/>
      <c r="K2517" s="34"/>
      <c r="L2517" s="34"/>
      <c r="M2517" s="34"/>
      <c r="N2517" s="34"/>
      <c r="O2517" s="34"/>
      <c r="AA2517" s="35"/>
      <c r="AB2517" s="35"/>
      <c r="AC2517" s="34"/>
      <c r="AD2517" s="34"/>
      <c r="AE2517" s="34"/>
    </row>
    <row r="2518" spans="1:31" ht="15" thickBot="1" x14ac:dyDescent="0.4">
      <c r="A2518" s="45"/>
      <c r="B2518" s="45"/>
      <c r="C2518" s="46"/>
      <c r="D2518" s="47"/>
      <c r="E2518" s="47"/>
      <c r="F2518" s="47"/>
      <c r="G2518" s="47"/>
      <c r="H2518" s="47"/>
      <c r="I2518" s="47"/>
      <c r="J2518" s="47"/>
      <c r="K2518" s="47"/>
      <c r="L2518" s="47"/>
      <c r="M2518" s="47"/>
      <c r="N2518" s="47"/>
      <c r="O2518" s="47"/>
      <c r="P2518" s="47"/>
      <c r="Q2518" s="47"/>
      <c r="R2518" s="47"/>
      <c r="S2518" s="47"/>
      <c r="T2518" s="45"/>
      <c r="U2518" s="45"/>
      <c r="V2518" s="45"/>
      <c r="W2518" s="45"/>
      <c r="X2518" s="47"/>
      <c r="Y2518" s="45"/>
      <c r="Z2518" s="45"/>
      <c r="AA2518" s="48"/>
      <c r="AB2518" s="48"/>
      <c r="AC2518" s="47"/>
      <c r="AD2518" s="47"/>
      <c r="AE2518" s="47"/>
    </row>
    <row r="2519" spans="1:31" x14ac:dyDescent="0.35">
      <c r="A2519" s="41"/>
      <c r="B2519" s="41"/>
      <c r="C2519" s="42"/>
      <c r="D2519" s="43"/>
      <c r="E2519" s="43"/>
      <c r="F2519" s="43"/>
      <c r="G2519" s="43"/>
      <c r="H2519" s="43"/>
      <c r="I2519" s="43"/>
      <c r="J2519" s="43"/>
      <c r="K2519" s="43"/>
      <c r="L2519" s="43"/>
      <c r="M2519" s="43"/>
      <c r="N2519" s="43"/>
      <c r="O2519" s="43"/>
      <c r="P2519" s="43"/>
      <c r="Q2519" s="43"/>
      <c r="R2519" s="43"/>
      <c r="S2519" s="43"/>
      <c r="T2519" s="43"/>
      <c r="U2519" s="43"/>
      <c r="V2519" s="41"/>
      <c r="W2519" s="41"/>
      <c r="X2519" s="41"/>
      <c r="Y2519" s="41"/>
      <c r="Z2519" s="41"/>
      <c r="AA2519" s="44"/>
      <c r="AB2519" s="44"/>
      <c r="AC2519" s="43"/>
      <c r="AD2519" s="43"/>
      <c r="AE2519" s="43"/>
    </row>
    <row r="2520" spans="1:31" x14ac:dyDescent="0.35">
      <c r="C2520" s="33"/>
      <c r="D2520" s="34"/>
      <c r="E2520" s="34"/>
      <c r="F2520" s="34"/>
      <c r="G2520" s="34"/>
      <c r="H2520" s="34"/>
      <c r="I2520" s="34"/>
      <c r="J2520" s="34"/>
      <c r="K2520" s="34"/>
      <c r="L2520" s="34"/>
      <c r="M2520" s="34"/>
      <c r="N2520" s="34"/>
      <c r="O2520" s="34"/>
      <c r="AA2520" s="35"/>
      <c r="AB2520" s="35"/>
      <c r="AC2520" s="34"/>
      <c r="AD2520" s="34"/>
      <c r="AE2520" s="34"/>
    </row>
    <row r="2521" spans="1:31" ht="15" thickBot="1" x14ac:dyDescent="0.4">
      <c r="A2521" s="45"/>
      <c r="B2521" s="45"/>
      <c r="C2521" s="46"/>
      <c r="D2521" s="47"/>
      <c r="E2521" s="47"/>
      <c r="F2521" s="47"/>
      <c r="G2521" s="47"/>
      <c r="H2521" s="47"/>
      <c r="I2521" s="47"/>
      <c r="J2521" s="47"/>
      <c r="K2521" s="47"/>
      <c r="L2521" s="47"/>
      <c r="M2521" s="47"/>
      <c r="N2521" s="47"/>
      <c r="O2521" s="47"/>
      <c r="P2521" s="47"/>
      <c r="Q2521" s="47"/>
      <c r="R2521" s="47"/>
      <c r="S2521" s="47"/>
      <c r="T2521" s="45"/>
      <c r="U2521" s="45"/>
      <c r="V2521" s="45"/>
      <c r="W2521" s="45"/>
      <c r="X2521" s="47"/>
      <c r="Y2521" s="45"/>
      <c r="Z2521" s="45"/>
      <c r="AA2521" s="48"/>
      <c r="AB2521" s="48"/>
      <c r="AC2521" s="47"/>
      <c r="AD2521" s="47"/>
      <c r="AE2521" s="47"/>
    </row>
    <row r="2522" spans="1:31" x14ac:dyDescent="0.35">
      <c r="A2522" s="41"/>
      <c r="B2522" s="41"/>
      <c r="C2522" s="42"/>
      <c r="D2522" s="43"/>
      <c r="E2522" s="43"/>
      <c r="F2522" s="43"/>
      <c r="G2522" s="43"/>
      <c r="H2522" s="43"/>
      <c r="I2522" s="43"/>
      <c r="J2522" s="43"/>
      <c r="K2522" s="43"/>
      <c r="L2522" s="43"/>
      <c r="M2522" s="43"/>
      <c r="N2522" s="43"/>
      <c r="O2522" s="43"/>
      <c r="P2522" s="43"/>
      <c r="Q2522" s="43"/>
      <c r="R2522" s="43"/>
      <c r="S2522" s="43"/>
      <c r="T2522" s="43"/>
      <c r="U2522" s="43"/>
      <c r="V2522" s="41"/>
      <c r="W2522" s="41"/>
      <c r="X2522" s="41"/>
      <c r="Y2522" s="41"/>
      <c r="Z2522" s="41"/>
      <c r="AA2522" s="44"/>
      <c r="AB2522" s="44"/>
      <c r="AC2522" s="43"/>
      <c r="AD2522" s="43"/>
      <c r="AE2522" s="43"/>
    </row>
    <row r="2523" spans="1:31" x14ac:dyDescent="0.35">
      <c r="C2523" s="33"/>
      <c r="D2523" s="34"/>
      <c r="E2523" s="34"/>
      <c r="F2523" s="34"/>
      <c r="G2523" s="34"/>
      <c r="H2523" s="34"/>
      <c r="I2523" s="34"/>
      <c r="J2523" s="34"/>
      <c r="K2523" s="34"/>
      <c r="L2523" s="34"/>
      <c r="M2523" s="34"/>
      <c r="N2523" s="34"/>
      <c r="O2523" s="34"/>
      <c r="AA2523" s="35"/>
      <c r="AB2523" s="35"/>
      <c r="AC2523" s="34"/>
      <c r="AD2523" s="34"/>
      <c r="AE2523" s="34"/>
    </row>
    <row r="2524" spans="1:31" ht="15" thickBot="1" x14ac:dyDescent="0.4">
      <c r="A2524" s="45"/>
      <c r="B2524" s="45"/>
      <c r="C2524" s="46"/>
      <c r="D2524" s="47"/>
      <c r="E2524" s="47"/>
      <c r="F2524" s="47"/>
      <c r="G2524" s="47"/>
      <c r="H2524" s="47"/>
      <c r="I2524" s="47"/>
      <c r="J2524" s="47"/>
      <c r="K2524" s="47"/>
      <c r="L2524" s="47"/>
      <c r="M2524" s="47"/>
      <c r="N2524" s="47"/>
      <c r="O2524" s="47"/>
      <c r="P2524" s="47"/>
      <c r="Q2524" s="47"/>
      <c r="R2524" s="47"/>
      <c r="S2524" s="47"/>
      <c r="T2524" s="45"/>
      <c r="U2524" s="45"/>
      <c r="V2524" s="45"/>
      <c r="W2524" s="45"/>
      <c r="X2524" s="47"/>
      <c r="Y2524" s="45"/>
      <c r="Z2524" s="45"/>
      <c r="AA2524" s="48"/>
      <c r="AB2524" s="48"/>
      <c r="AC2524" s="47"/>
      <c r="AD2524" s="47"/>
      <c r="AE2524" s="47"/>
    </row>
    <row r="2525" spans="1:31" x14ac:dyDescent="0.35">
      <c r="A2525" s="41"/>
      <c r="B2525" s="41"/>
      <c r="C2525" s="42"/>
      <c r="D2525" s="43"/>
      <c r="E2525" s="43"/>
      <c r="F2525" s="43"/>
      <c r="G2525" s="43"/>
      <c r="H2525" s="43"/>
      <c r="I2525" s="43"/>
      <c r="J2525" s="43"/>
      <c r="K2525" s="43"/>
      <c r="L2525" s="43"/>
      <c r="M2525" s="43"/>
      <c r="N2525" s="43"/>
      <c r="O2525" s="43"/>
      <c r="P2525" s="43"/>
      <c r="Q2525" s="43"/>
      <c r="R2525" s="43"/>
      <c r="S2525" s="43"/>
      <c r="T2525" s="43"/>
      <c r="U2525" s="43"/>
      <c r="V2525" s="41"/>
      <c r="W2525" s="41"/>
      <c r="X2525" s="41"/>
      <c r="Y2525" s="41"/>
      <c r="Z2525" s="41"/>
      <c r="AA2525" s="44"/>
      <c r="AB2525" s="44"/>
      <c r="AC2525" s="43"/>
      <c r="AD2525" s="43"/>
      <c r="AE2525" s="43"/>
    </row>
    <row r="2526" spans="1:31" x14ac:dyDescent="0.35">
      <c r="C2526" s="33"/>
      <c r="D2526" s="34"/>
      <c r="E2526" s="34"/>
      <c r="F2526" s="34"/>
      <c r="G2526" s="34"/>
      <c r="H2526" s="34"/>
      <c r="I2526" s="34"/>
      <c r="J2526" s="34"/>
      <c r="K2526" s="34"/>
      <c r="L2526" s="34"/>
      <c r="M2526" s="34"/>
      <c r="N2526" s="34"/>
      <c r="O2526" s="34"/>
      <c r="AA2526" s="35"/>
      <c r="AB2526" s="35"/>
      <c r="AC2526" s="34"/>
      <c r="AD2526" s="34"/>
      <c r="AE2526" s="34"/>
    </row>
    <row r="2527" spans="1:31" ht="15" thickBot="1" x14ac:dyDescent="0.4">
      <c r="A2527" s="45"/>
      <c r="B2527" s="45"/>
      <c r="C2527" s="46"/>
      <c r="D2527" s="47"/>
      <c r="E2527" s="47"/>
      <c r="F2527" s="47"/>
      <c r="G2527" s="47"/>
      <c r="H2527" s="47"/>
      <c r="I2527" s="47"/>
      <c r="J2527" s="47"/>
      <c r="K2527" s="47"/>
      <c r="L2527" s="47"/>
      <c r="M2527" s="47"/>
      <c r="N2527" s="47"/>
      <c r="O2527" s="47"/>
      <c r="P2527" s="47"/>
      <c r="Q2527" s="47"/>
      <c r="R2527" s="47"/>
      <c r="S2527" s="47"/>
      <c r="T2527" s="45"/>
      <c r="U2527" s="45"/>
      <c r="V2527" s="45"/>
      <c r="W2527" s="45"/>
      <c r="X2527" s="47"/>
      <c r="Y2527" s="45"/>
      <c r="Z2527" s="45"/>
      <c r="AA2527" s="48"/>
      <c r="AB2527" s="48"/>
      <c r="AC2527" s="47"/>
      <c r="AD2527" s="47"/>
      <c r="AE2527" s="47"/>
    </row>
    <row r="2528" spans="1:31" x14ac:dyDescent="0.35">
      <c r="A2528" s="41"/>
      <c r="B2528" s="41"/>
      <c r="C2528" s="42"/>
      <c r="D2528" s="43"/>
      <c r="E2528" s="43"/>
      <c r="F2528" s="43"/>
      <c r="G2528" s="43"/>
      <c r="H2528" s="43"/>
      <c r="I2528" s="43"/>
      <c r="J2528" s="43"/>
      <c r="K2528" s="43"/>
      <c r="L2528" s="43"/>
      <c r="M2528" s="43"/>
      <c r="N2528" s="43"/>
      <c r="O2528" s="43"/>
      <c r="P2528" s="43"/>
      <c r="Q2528" s="43"/>
      <c r="R2528" s="43"/>
      <c r="S2528" s="43"/>
      <c r="T2528" s="43"/>
      <c r="U2528" s="43"/>
      <c r="V2528" s="41"/>
      <c r="W2528" s="41"/>
      <c r="X2528" s="41"/>
      <c r="Y2528" s="41"/>
      <c r="Z2528" s="41"/>
      <c r="AA2528" s="44"/>
      <c r="AB2528" s="44"/>
      <c r="AC2528" s="43"/>
      <c r="AD2528" s="43"/>
      <c r="AE2528" s="43"/>
    </row>
    <row r="2529" spans="1:31" x14ac:dyDescent="0.35">
      <c r="C2529" s="33"/>
      <c r="D2529" s="34"/>
      <c r="E2529" s="34"/>
      <c r="F2529" s="34"/>
      <c r="G2529" s="34"/>
      <c r="H2529" s="34"/>
      <c r="I2529" s="34"/>
      <c r="J2529" s="34"/>
      <c r="K2529" s="34"/>
      <c r="L2529" s="34"/>
      <c r="M2529" s="34"/>
      <c r="N2529" s="34"/>
      <c r="O2529" s="34"/>
      <c r="AA2529" s="35"/>
      <c r="AB2529" s="35"/>
      <c r="AC2529" s="34"/>
      <c r="AD2529" s="34"/>
      <c r="AE2529" s="34"/>
    </row>
    <row r="2530" spans="1:31" ht="15" thickBot="1" x14ac:dyDescent="0.4">
      <c r="A2530" s="45"/>
      <c r="B2530" s="45"/>
      <c r="C2530" s="46"/>
      <c r="D2530" s="47"/>
      <c r="E2530" s="47"/>
      <c r="F2530" s="47"/>
      <c r="G2530" s="47"/>
      <c r="H2530" s="47"/>
      <c r="I2530" s="47"/>
      <c r="J2530" s="47"/>
      <c r="K2530" s="47"/>
      <c r="L2530" s="47"/>
      <c r="M2530" s="47"/>
      <c r="N2530" s="47"/>
      <c r="O2530" s="47"/>
      <c r="P2530" s="47"/>
      <c r="Q2530" s="47"/>
      <c r="R2530" s="47"/>
      <c r="S2530" s="47"/>
      <c r="T2530" s="45"/>
      <c r="U2530" s="45"/>
      <c r="V2530" s="45"/>
      <c r="W2530" s="45"/>
      <c r="X2530" s="47"/>
      <c r="Y2530" s="45"/>
      <c r="Z2530" s="45"/>
      <c r="AA2530" s="48"/>
      <c r="AB2530" s="48"/>
      <c r="AC2530" s="47"/>
      <c r="AD2530" s="47"/>
      <c r="AE2530" s="47"/>
    </row>
    <row r="2531" spans="1:31" x14ac:dyDescent="0.35">
      <c r="A2531" s="41"/>
      <c r="B2531" s="41"/>
      <c r="C2531" s="42"/>
      <c r="D2531" s="43"/>
      <c r="E2531" s="43"/>
      <c r="F2531" s="43"/>
      <c r="G2531" s="43"/>
      <c r="H2531" s="43"/>
      <c r="I2531" s="43"/>
      <c r="J2531" s="43"/>
      <c r="K2531" s="43"/>
      <c r="L2531" s="43"/>
      <c r="M2531" s="43"/>
      <c r="N2531" s="43"/>
      <c r="O2531" s="43"/>
      <c r="P2531" s="43"/>
      <c r="Q2531" s="43"/>
      <c r="R2531" s="43"/>
      <c r="S2531" s="43"/>
      <c r="T2531" s="43"/>
      <c r="U2531" s="43"/>
      <c r="V2531" s="41"/>
      <c r="W2531" s="41"/>
      <c r="X2531" s="41"/>
      <c r="Y2531" s="41"/>
      <c r="Z2531" s="41"/>
      <c r="AA2531" s="44"/>
      <c r="AB2531" s="44"/>
      <c r="AC2531" s="43"/>
      <c r="AD2531" s="43"/>
      <c r="AE2531" s="43"/>
    </row>
    <row r="2532" spans="1:31" x14ac:dyDescent="0.35">
      <c r="C2532" s="33"/>
      <c r="D2532" s="34"/>
      <c r="E2532" s="34"/>
      <c r="F2532" s="34"/>
      <c r="G2532" s="34"/>
      <c r="H2532" s="34"/>
      <c r="I2532" s="34"/>
      <c r="J2532" s="34"/>
      <c r="K2532" s="34"/>
      <c r="L2532" s="34"/>
      <c r="M2532" s="34"/>
      <c r="N2532" s="34"/>
      <c r="O2532" s="34"/>
      <c r="AA2532" s="35"/>
      <c r="AB2532" s="35"/>
      <c r="AC2532" s="34"/>
      <c r="AD2532" s="34"/>
      <c r="AE2532" s="34"/>
    </row>
    <row r="2533" spans="1:31" ht="15" thickBot="1" x14ac:dyDescent="0.4">
      <c r="A2533" s="45"/>
      <c r="B2533" s="45"/>
      <c r="C2533" s="46"/>
      <c r="D2533" s="47"/>
      <c r="E2533" s="47"/>
      <c r="F2533" s="47"/>
      <c r="G2533" s="47"/>
      <c r="H2533" s="47"/>
      <c r="I2533" s="47"/>
      <c r="J2533" s="47"/>
      <c r="K2533" s="47"/>
      <c r="L2533" s="47"/>
      <c r="M2533" s="47"/>
      <c r="N2533" s="47"/>
      <c r="O2533" s="47"/>
      <c r="P2533" s="47"/>
      <c r="Q2533" s="47"/>
      <c r="R2533" s="47"/>
      <c r="S2533" s="47"/>
      <c r="T2533" s="45"/>
      <c r="U2533" s="45"/>
      <c r="V2533" s="45"/>
      <c r="W2533" s="45"/>
      <c r="X2533" s="47"/>
      <c r="Y2533" s="45"/>
      <c r="Z2533" s="45"/>
      <c r="AA2533" s="48"/>
      <c r="AB2533" s="48"/>
      <c r="AC2533" s="47"/>
      <c r="AD2533" s="47"/>
      <c r="AE2533" s="47"/>
    </row>
    <row r="2534" spans="1:31" x14ac:dyDescent="0.35">
      <c r="A2534" s="41"/>
      <c r="B2534" s="41"/>
      <c r="C2534" s="42"/>
      <c r="D2534" s="43"/>
      <c r="E2534" s="43"/>
      <c r="F2534" s="43"/>
      <c r="G2534" s="43"/>
      <c r="H2534" s="43"/>
      <c r="I2534" s="43"/>
      <c r="J2534" s="43"/>
      <c r="K2534" s="43"/>
      <c r="L2534" s="43"/>
      <c r="M2534" s="43"/>
      <c r="N2534" s="43"/>
      <c r="O2534" s="43"/>
      <c r="P2534" s="43"/>
      <c r="Q2534" s="43"/>
      <c r="R2534" s="43"/>
      <c r="S2534" s="43"/>
      <c r="T2534" s="43"/>
      <c r="U2534" s="43"/>
      <c r="V2534" s="41"/>
      <c r="W2534" s="41"/>
      <c r="X2534" s="41"/>
      <c r="Y2534" s="41"/>
      <c r="Z2534" s="41"/>
      <c r="AA2534" s="44"/>
      <c r="AB2534" s="44"/>
      <c r="AC2534" s="43"/>
      <c r="AD2534" s="43"/>
      <c r="AE2534" s="43"/>
    </row>
    <row r="2535" spans="1:31" x14ac:dyDescent="0.35">
      <c r="C2535" s="33"/>
      <c r="D2535" s="34"/>
      <c r="E2535" s="34"/>
      <c r="F2535" s="34"/>
      <c r="G2535" s="34"/>
      <c r="H2535" s="34"/>
      <c r="I2535" s="34"/>
      <c r="J2535" s="34"/>
      <c r="K2535" s="34"/>
      <c r="L2535" s="34"/>
      <c r="M2535" s="34"/>
      <c r="N2535" s="34"/>
      <c r="O2535" s="34"/>
      <c r="AA2535" s="35"/>
      <c r="AB2535" s="35"/>
      <c r="AC2535" s="34"/>
      <c r="AD2535" s="34"/>
      <c r="AE2535" s="34"/>
    </row>
    <row r="2536" spans="1:31" ht="15" thickBot="1" x14ac:dyDescent="0.4">
      <c r="A2536" s="45"/>
      <c r="B2536" s="45"/>
      <c r="C2536" s="46"/>
      <c r="D2536" s="47"/>
      <c r="E2536" s="47"/>
      <c r="F2536" s="47"/>
      <c r="G2536" s="47"/>
      <c r="H2536" s="47"/>
      <c r="I2536" s="47"/>
      <c r="J2536" s="47"/>
      <c r="K2536" s="47"/>
      <c r="L2536" s="47"/>
      <c r="M2536" s="47"/>
      <c r="N2536" s="47"/>
      <c r="O2536" s="47"/>
      <c r="P2536" s="47"/>
      <c r="Q2536" s="47"/>
      <c r="R2536" s="47"/>
      <c r="S2536" s="47"/>
      <c r="T2536" s="45"/>
      <c r="U2536" s="45"/>
      <c r="V2536" s="45"/>
      <c r="W2536" s="45"/>
      <c r="X2536" s="47"/>
      <c r="Y2536" s="45"/>
      <c r="Z2536" s="45"/>
      <c r="AA2536" s="48"/>
      <c r="AB2536" s="48"/>
      <c r="AC2536" s="47"/>
      <c r="AD2536" s="47"/>
      <c r="AE2536" s="47"/>
    </row>
    <row r="2537" spans="1:31" x14ac:dyDescent="0.35">
      <c r="A2537" s="41"/>
      <c r="B2537" s="41"/>
      <c r="C2537" s="42"/>
      <c r="D2537" s="43"/>
      <c r="E2537" s="43"/>
      <c r="F2537" s="43"/>
      <c r="G2537" s="43"/>
      <c r="H2537" s="43"/>
      <c r="I2537" s="43"/>
      <c r="J2537" s="43"/>
      <c r="K2537" s="43"/>
      <c r="L2537" s="43"/>
      <c r="M2537" s="43"/>
      <c r="N2537" s="43"/>
      <c r="O2537" s="43"/>
      <c r="P2537" s="43"/>
      <c r="Q2537" s="43"/>
      <c r="R2537" s="43"/>
      <c r="S2537" s="43"/>
      <c r="T2537" s="43"/>
      <c r="U2537" s="43"/>
      <c r="V2537" s="41"/>
      <c r="W2537" s="41"/>
      <c r="X2537" s="41"/>
      <c r="Y2537" s="41"/>
      <c r="Z2537" s="41"/>
      <c r="AA2537" s="44"/>
      <c r="AB2537" s="44"/>
      <c r="AC2537" s="43"/>
      <c r="AD2537" s="43"/>
      <c r="AE2537" s="43"/>
    </row>
    <row r="2538" spans="1:31" x14ac:dyDescent="0.35">
      <c r="C2538" s="33"/>
      <c r="D2538" s="34"/>
      <c r="E2538" s="34"/>
      <c r="F2538" s="34"/>
      <c r="G2538" s="34"/>
      <c r="H2538" s="34"/>
      <c r="I2538" s="34"/>
      <c r="J2538" s="34"/>
      <c r="K2538" s="34"/>
      <c r="L2538" s="34"/>
      <c r="M2538" s="34"/>
      <c r="N2538" s="34"/>
      <c r="O2538" s="34"/>
      <c r="AA2538" s="35"/>
      <c r="AB2538" s="35"/>
      <c r="AC2538" s="34"/>
      <c r="AD2538" s="34"/>
      <c r="AE2538" s="34"/>
    </row>
    <row r="2539" spans="1:31" ht="15" thickBot="1" x14ac:dyDescent="0.4">
      <c r="A2539" s="45"/>
      <c r="B2539" s="45"/>
      <c r="C2539" s="46"/>
      <c r="D2539" s="47"/>
      <c r="E2539" s="47"/>
      <c r="F2539" s="47"/>
      <c r="G2539" s="47"/>
      <c r="H2539" s="47"/>
      <c r="I2539" s="47"/>
      <c r="J2539" s="47"/>
      <c r="K2539" s="47"/>
      <c r="L2539" s="47"/>
      <c r="M2539" s="47"/>
      <c r="N2539" s="47"/>
      <c r="O2539" s="47"/>
      <c r="P2539" s="47"/>
      <c r="Q2539" s="47"/>
      <c r="R2539" s="47"/>
      <c r="S2539" s="47"/>
      <c r="T2539" s="45"/>
      <c r="U2539" s="45"/>
      <c r="V2539" s="45"/>
      <c r="W2539" s="45"/>
      <c r="X2539" s="47"/>
      <c r="Y2539" s="45"/>
      <c r="Z2539" s="45"/>
      <c r="AA2539" s="48"/>
      <c r="AB2539" s="48"/>
      <c r="AC2539" s="47"/>
      <c r="AD2539" s="47"/>
      <c r="AE2539" s="47"/>
    </row>
    <row r="2540" spans="1:31" x14ac:dyDescent="0.35">
      <c r="A2540" s="41"/>
      <c r="B2540" s="41"/>
      <c r="C2540" s="42"/>
      <c r="D2540" s="43"/>
      <c r="E2540" s="43"/>
      <c r="F2540" s="43"/>
      <c r="G2540" s="43"/>
      <c r="H2540" s="43"/>
      <c r="I2540" s="43"/>
      <c r="J2540" s="43"/>
      <c r="K2540" s="43"/>
      <c r="L2540" s="43"/>
      <c r="M2540" s="43"/>
      <c r="N2540" s="43"/>
      <c r="O2540" s="43"/>
      <c r="P2540" s="43"/>
      <c r="Q2540" s="43"/>
      <c r="R2540" s="43"/>
      <c r="S2540" s="43"/>
      <c r="T2540" s="43"/>
      <c r="U2540" s="43"/>
      <c r="V2540" s="41"/>
      <c r="W2540" s="41"/>
      <c r="X2540" s="41"/>
      <c r="Y2540" s="41"/>
      <c r="Z2540" s="41"/>
      <c r="AA2540" s="44"/>
      <c r="AB2540" s="44"/>
      <c r="AC2540" s="43"/>
      <c r="AD2540" s="43"/>
      <c r="AE2540" s="43"/>
    </row>
    <row r="2541" spans="1:31" x14ac:dyDescent="0.35">
      <c r="C2541" s="33"/>
      <c r="D2541" s="34"/>
      <c r="E2541" s="34"/>
      <c r="F2541" s="34"/>
      <c r="G2541" s="34"/>
      <c r="H2541" s="34"/>
      <c r="I2541" s="34"/>
      <c r="J2541" s="34"/>
      <c r="K2541" s="34"/>
      <c r="L2541" s="34"/>
      <c r="M2541" s="34"/>
      <c r="N2541" s="34"/>
      <c r="O2541" s="34"/>
      <c r="AA2541" s="35"/>
      <c r="AB2541" s="35"/>
      <c r="AC2541" s="34"/>
      <c r="AD2541" s="34"/>
      <c r="AE2541" s="34"/>
    </row>
    <row r="2542" spans="1:31" ht="15" thickBot="1" x14ac:dyDescent="0.4">
      <c r="A2542" s="45"/>
      <c r="B2542" s="45"/>
      <c r="C2542" s="46"/>
      <c r="D2542" s="47"/>
      <c r="E2542" s="47"/>
      <c r="F2542" s="47"/>
      <c r="G2542" s="47"/>
      <c r="H2542" s="47"/>
      <c r="I2542" s="47"/>
      <c r="J2542" s="47"/>
      <c r="K2542" s="47"/>
      <c r="L2542" s="47"/>
      <c r="M2542" s="47"/>
      <c r="N2542" s="47"/>
      <c r="O2542" s="47"/>
      <c r="P2542" s="47"/>
      <c r="Q2542" s="47"/>
      <c r="R2542" s="47"/>
      <c r="S2542" s="47"/>
      <c r="T2542" s="45"/>
      <c r="U2542" s="45"/>
      <c r="V2542" s="45"/>
      <c r="W2542" s="45"/>
      <c r="X2542" s="47"/>
      <c r="Y2542" s="45"/>
      <c r="Z2542" s="45"/>
      <c r="AA2542" s="48"/>
      <c r="AB2542" s="48"/>
      <c r="AC2542" s="47"/>
      <c r="AD2542" s="47"/>
      <c r="AE2542" s="47"/>
    </row>
    <row r="2543" spans="1:31" x14ac:dyDescent="0.35">
      <c r="A2543" s="41"/>
      <c r="B2543" s="41"/>
      <c r="C2543" s="42"/>
      <c r="D2543" s="43"/>
      <c r="E2543" s="43"/>
      <c r="F2543" s="43"/>
      <c r="G2543" s="43"/>
      <c r="H2543" s="43"/>
      <c r="I2543" s="43"/>
      <c r="J2543" s="43"/>
      <c r="K2543" s="43"/>
      <c r="L2543" s="43"/>
      <c r="M2543" s="43"/>
      <c r="N2543" s="43"/>
      <c r="O2543" s="43"/>
      <c r="P2543" s="43"/>
      <c r="Q2543" s="43"/>
      <c r="R2543" s="43"/>
      <c r="S2543" s="43"/>
      <c r="T2543" s="43"/>
      <c r="U2543" s="43"/>
      <c r="V2543" s="41"/>
      <c r="W2543" s="41"/>
      <c r="X2543" s="41"/>
      <c r="Y2543" s="41"/>
      <c r="Z2543" s="41"/>
      <c r="AA2543" s="44"/>
      <c r="AB2543" s="44"/>
      <c r="AC2543" s="43"/>
      <c r="AD2543" s="43"/>
      <c r="AE2543" s="43"/>
    </row>
    <row r="2544" spans="1:31" x14ac:dyDescent="0.35">
      <c r="C2544" s="33"/>
      <c r="D2544" s="34"/>
      <c r="E2544" s="34"/>
      <c r="F2544" s="34"/>
      <c r="G2544" s="34"/>
      <c r="H2544" s="34"/>
      <c r="I2544" s="34"/>
      <c r="J2544" s="34"/>
      <c r="K2544" s="34"/>
      <c r="L2544" s="34"/>
      <c r="M2544" s="34"/>
      <c r="N2544" s="34"/>
      <c r="O2544" s="34"/>
      <c r="AA2544" s="35"/>
      <c r="AB2544" s="35"/>
      <c r="AC2544" s="34"/>
      <c r="AD2544" s="34"/>
      <c r="AE2544" s="34"/>
    </row>
    <row r="2545" spans="1:31" ht="15" thickBot="1" x14ac:dyDescent="0.4">
      <c r="A2545" s="45"/>
      <c r="B2545" s="45"/>
      <c r="C2545" s="46"/>
      <c r="D2545" s="47"/>
      <c r="E2545" s="47"/>
      <c r="F2545" s="47"/>
      <c r="G2545" s="47"/>
      <c r="H2545" s="47"/>
      <c r="I2545" s="47"/>
      <c r="J2545" s="47"/>
      <c r="K2545" s="47"/>
      <c r="L2545" s="47"/>
      <c r="M2545" s="47"/>
      <c r="N2545" s="47"/>
      <c r="O2545" s="47"/>
      <c r="P2545" s="47"/>
      <c r="Q2545" s="47"/>
      <c r="R2545" s="47"/>
      <c r="S2545" s="47"/>
      <c r="T2545" s="45"/>
      <c r="U2545" s="45"/>
      <c r="V2545" s="45"/>
      <c r="W2545" s="45"/>
      <c r="X2545" s="47"/>
      <c r="Y2545" s="45"/>
      <c r="Z2545" s="45"/>
      <c r="AA2545" s="48"/>
      <c r="AB2545" s="48"/>
      <c r="AC2545" s="47"/>
      <c r="AD2545" s="47"/>
      <c r="AE2545" s="47"/>
    </row>
    <row r="2546" spans="1:31" x14ac:dyDescent="0.35">
      <c r="A2546" s="41"/>
      <c r="B2546" s="41"/>
      <c r="C2546" s="42"/>
      <c r="D2546" s="43"/>
      <c r="E2546" s="43"/>
      <c r="F2546" s="43"/>
      <c r="G2546" s="43"/>
      <c r="H2546" s="43"/>
      <c r="I2546" s="43"/>
      <c r="J2546" s="43"/>
      <c r="K2546" s="43"/>
      <c r="L2546" s="43"/>
      <c r="M2546" s="43"/>
      <c r="N2546" s="43"/>
      <c r="O2546" s="43"/>
      <c r="P2546" s="43"/>
      <c r="Q2546" s="43"/>
      <c r="R2546" s="43"/>
      <c r="S2546" s="43"/>
      <c r="T2546" s="43"/>
      <c r="U2546" s="43"/>
      <c r="V2546" s="41"/>
      <c r="W2546" s="41"/>
      <c r="X2546" s="41"/>
      <c r="Y2546" s="41"/>
      <c r="Z2546" s="41"/>
      <c r="AA2546" s="44"/>
      <c r="AB2546" s="44"/>
      <c r="AC2546" s="43"/>
      <c r="AD2546" s="43"/>
      <c r="AE2546" s="43"/>
    </row>
    <row r="2547" spans="1:31" x14ac:dyDescent="0.35">
      <c r="C2547" s="33"/>
      <c r="D2547" s="34"/>
      <c r="E2547" s="34"/>
      <c r="F2547" s="34"/>
      <c r="G2547" s="34"/>
      <c r="H2547" s="34"/>
      <c r="I2547" s="34"/>
      <c r="J2547" s="34"/>
      <c r="K2547" s="34"/>
      <c r="L2547" s="34"/>
      <c r="M2547" s="34"/>
      <c r="N2547" s="34"/>
      <c r="O2547" s="34"/>
      <c r="AA2547" s="35"/>
      <c r="AB2547" s="35"/>
      <c r="AC2547" s="34"/>
      <c r="AD2547" s="34"/>
      <c r="AE2547" s="34"/>
    </row>
    <row r="2548" spans="1:31" ht="15" thickBot="1" x14ac:dyDescent="0.4">
      <c r="A2548" s="45"/>
      <c r="B2548" s="45"/>
      <c r="C2548" s="46"/>
      <c r="D2548" s="47"/>
      <c r="E2548" s="47"/>
      <c r="F2548" s="47"/>
      <c r="G2548" s="47"/>
      <c r="H2548" s="47"/>
      <c r="I2548" s="47"/>
      <c r="J2548" s="47"/>
      <c r="K2548" s="47"/>
      <c r="L2548" s="47"/>
      <c r="M2548" s="47"/>
      <c r="N2548" s="47"/>
      <c r="O2548" s="47"/>
      <c r="P2548" s="47"/>
      <c r="Q2548" s="47"/>
      <c r="R2548" s="47"/>
      <c r="S2548" s="47"/>
      <c r="T2548" s="45"/>
      <c r="U2548" s="45"/>
      <c r="V2548" s="45"/>
      <c r="W2548" s="45"/>
      <c r="X2548" s="47"/>
      <c r="Y2548" s="45"/>
      <c r="Z2548" s="45"/>
      <c r="AA2548" s="48"/>
      <c r="AB2548" s="48"/>
      <c r="AC2548" s="47"/>
      <c r="AD2548" s="47"/>
      <c r="AE2548" s="47"/>
    </row>
    <row r="2549" spans="1:31" x14ac:dyDescent="0.35">
      <c r="A2549" s="41"/>
      <c r="B2549" s="41"/>
      <c r="C2549" s="42"/>
      <c r="D2549" s="43"/>
      <c r="E2549" s="43"/>
      <c r="F2549" s="43"/>
      <c r="G2549" s="43"/>
      <c r="H2549" s="43"/>
      <c r="I2549" s="43"/>
      <c r="J2549" s="43"/>
      <c r="K2549" s="43"/>
      <c r="L2549" s="43"/>
      <c r="M2549" s="43"/>
      <c r="N2549" s="43"/>
      <c r="O2549" s="43"/>
      <c r="P2549" s="43"/>
      <c r="Q2549" s="43"/>
      <c r="R2549" s="43"/>
      <c r="S2549" s="43"/>
      <c r="T2549" s="43"/>
      <c r="U2549" s="43"/>
      <c r="V2549" s="41"/>
      <c r="W2549" s="41"/>
      <c r="X2549" s="41"/>
      <c r="Y2549" s="41"/>
      <c r="Z2549" s="41"/>
      <c r="AA2549" s="44"/>
      <c r="AB2549" s="44"/>
      <c r="AC2549" s="43"/>
      <c r="AD2549" s="43"/>
      <c r="AE2549" s="43"/>
    </row>
    <row r="2550" spans="1:31" x14ac:dyDescent="0.35">
      <c r="C2550" s="33"/>
      <c r="D2550" s="34"/>
      <c r="E2550" s="34"/>
      <c r="F2550" s="34"/>
      <c r="G2550" s="34"/>
      <c r="H2550" s="34"/>
      <c r="I2550" s="34"/>
      <c r="J2550" s="34"/>
      <c r="K2550" s="34"/>
      <c r="L2550" s="34"/>
      <c r="M2550" s="34"/>
      <c r="N2550" s="34"/>
      <c r="O2550" s="34"/>
      <c r="AA2550" s="35"/>
      <c r="AB2550" s="35"/>
      <c r="AC2550" s="34"/>
      <c r="AD2550" s="34"/>
      <c r="AE2550" s="34"/>
    </row>
    <row r="2551" spans="1:31" ht="15" thickBot="1" x14ac:dyDescent="0.4">
      <c r="A2551" s="45"/>
      <c r="B2551" s="45"/>
      <c r="C2551" s="46"/>
      <c r="D2551" s="47"/>
      <c r="E2551" s="47"/>
      <c r="F2551" s="47"/>
      <c r="G2551" s="47"/>
      <c r="H2551" s="47"/>
      <c r="I2551" s="47"/>
      <c r="J2551" s="47"/>
      <c r="K2551" s="47"/>
      <c r="L2551" s="47"/>
      <c r="M2551" s="47"/>
      <c r="N2551" s="47"/>
      <c r="O2551" s="47"/>
      <c r="P2551" s="47"/>
      <c r="Q2551" s="47"/>
      <c r="R2551" s="47"/>
      <c r="S2551" s="47"/>
      <c r="T2551" s="45"/>
      <c r="U2551" s="45"/>
      <c r="V2551" s="45"/>
      <c r="W2551" s="45"/>
      <c r="X2551" s="47"/>
      <c r="Y2551" s="45"/>
      <c r="Z2551" s="45"/>
      <c r="AA2551" s="48"/>
      <c r="AB2551" s="48"/>
      <c r="AC2551" s="47"/>
      <c r="AD2551" s="47"/>
      <c r="AE2551" s="47"/>
    </row>
    <row r="2552" spans="1:31" x14ac:dyDescent="0.35">
      <c r="A2552" s="41"/>
      <c r="B2552" s="41"/>
      <c r="C2552" s="42"/>
      <c r="D2552" s="43"/>
      <c r="E2552" s="43"/>
      <c r="F2552" s="43"/>
      <c r="G2552" s="43"/>
      <c r="H2552" s="43"/>
      <c r="I2552" s="43"/>
      <c r="J2552" s="43"/>
      <c r="K2552" s="43"/>
      <c r="L2552" s="43"/>
      <c r="M2552" s="43"/>
      <c r="N2552" s="43"/>
      <c r="O2552" s="43"/>
      <c r="P2552" s="43"/>
      <c r="Q2552" s="43"/>
      <c r="R2552" s="43"/>
      <c r="S2552" s="43"/>
      <c r="T2552" s="43"/>
      <c r="U2552" s="43"/>
      <c r="V2552" s="41"/>
      <c r="W2552" s="41"/>
      <c r="X2552" s="41"/>
      <c r="Y2552" s="41"/>
      <c r="Z2552" s="41"/>
      <c r="AA2552" s="44"/>
      <c r="AB2552" s="44"/>
      <c r="AC2552" s="43"/>
      <c r="AD2552" s="43"/>
      <c r="AE2552" s="43"/>
    </row>
    <row r="2553" spans="1:31" x14ac:dyDescent="0.35">
      <c r="C2553" s="33"/>
      <c r="D2553" s="34"/>
      <c r="E2553" s="34"/>
      <c r="F2553" s="34"/>
      <c r="G2553" s="34"/>
      <c r="H2553" s="34"/>
      <c r="I2553" s="34"/>
      <c r="J2553" s="34"/>
      <c r="K2553" s="34"/>
      <c r="L2553" s="34"/>
      <c r="M2553" s="34"/>
      <c r="N2553" s="34"/>
      <c r="O2553" s="34"/>
      <c r="AA2553" s="35"/>
      <c r="AB2553" s="35"/>
      <c r="AC2553" s="34"/>
      <c r="AD2553" s="34"/>
      <c r="AE2553" s="34"/>
    </row>
    <row r="2554" spans="1:31" ht="15" thickBot="1" x14ac:dyDescent="0.4">
      <c r="A2554" s="45"/>
      <c r="B2554" s="45"/>
      <c r="C2554" s="46"/>
      <c r="D2554" s="47"/>
      <c r="E2554" s="47"/>
      <c r="F2554" s="47"/>
      <c r="G2554" s="47"/>
      <c r="H2554" s="47"/>
      <c r="I2554" s="47"/>
      <c r="J2554" s="47"/>
      <c r="K2554" s="47"/>
      <c r="L2554" s="47"/>
      <c r="M2554" s="47"/>
      <c r="N2554" s="47"/>
      <c r="O2554" s="47"/>
      <c r="P2554" s="47"/>
      <c r="Q2554" s="47"/>
      <c r="R2554" s="47"/>
      <c r="S2554" s="47"/>
      <c r="T2554" s="45"/>
      <c r="U2554" s="45"/>
      <c r="V2554" s="45"/>
      <c r="W2554" s="45"/>
      <c r="X2554" s="47"/>
      <c r="Y2554" s="45"/>
      <c r="Z2554" s="45"/>
      <c r="AA2554" s="48"/>
      <c r="AB2554" s="48"/>
      <c r="AC2554" s="47"/>
      <c r="AD2554" s="47"/>
      <c r="AE2554" s="47"/>
    </row>
    <row r="2555" spans="1:31" x14ac:dyDescent="0.35">
      <c r="A2555" s="41"/>
      <c r="B2555" s="41"/>
      <c r="C2555" s="42"/>
      <c r="D2555" s="43"/>
      <c r="E2555" s="43"/>
      <c r="F2555" s="43"/>
      <c r="G2555" s="43"/>
      <c r="H2555" s="43"/>
      <c r="I2555" s="43"/>
      <c r="J2555" s="43"/>
      <c r="K2555" s="43"/>
      <c r="L2555" s="43"/>
      <c r="M2555" s="43"/>
      <c r="N2555" s="43"/>
      <c r="O2555" s="43"/>
      <c r="P2555" s="43"/>
      <c r="Q2555" s="43"/>
      <c r="R2555" s="43"/>
      <c r="S2555" s="43"/>
      <c r="T2555" s="43"/>
      <c r="U2555" s="43"/>
      <c r="V2555" s="41"/>
      <c r="W2555" s="41"/>
      <c r="X2555" s="41"/>
      <c r="Y2555" s="41"/>
      <c r="Z2555" s="41"/>
      <c r="AA2555" s="44"/>
      <c r="AB2555" s="44"/>
      <c r="AC2555" s="43"/>
      <c r="AD2555" s="43"/>
      <c r="AE2555" s="43"/>
    </row>
    <row r="2556" spans="1:31" x14ac:dyDescent="0.35">
      <c r="C2556" s="33"/>
      <c r="D2556" s="34"/>
      <c r="E2556" s="34"/>
      <c r="F2556" s="34"/>
      <c r="G2556" s="34"/>
      <c r="H2556" s="34"/>
      <c r="I2556" s="34"/>
      <c r="J2556" s="34"/>
      <c r="K2556" s="34"/>
      <c r="L2556" s="34"/>
      <c r="M2556" s="34"/>
      <c r="N2556" s="34"/>
      <c r="O2556" s="34"/>
      <c r="AA2556" s="35"/>
      <c r="AB2556" s="35"/>
      <c r="AC2556" s="34"/>
      <c r="AD2556" s="34"/>
      <c r="AE2556" s="34"/>
    </row>
    <row r="2557" spans="1:31" ht="15" thickBot="1" x14ac:dyDescent="0.4">
      <c r="A2557" s="45"/>
      <c r="B2557" s="45"/>
      <c r="C2557" s="46"/>
      <c r="D2557" s="47"/>
      <c r="E2557" s="47"/>
      <c r="F2557" s="47"/>
      <c r="G2557" s="47"/>
      <c r="H2557" s="47"/>
      <c r="I2557" s="47"/>
      <c r="J2557" s="47"/>
      <c r="K2557" s="47"/>
      <c r="L2557" s="47"/>
      <c r="M2557" s="47"/>
      <c r="N2557" s="47"/>
      <c r="O2557" s="47"/>
      <c r="P2557" s="47"/>
      <c r="Q2557" s="47"/>
      <c r="R2557" s="47"/>
      <c r="S2557" s="47"/>
      <c r="T2557" s="45"/>
      <c r="U2557" s="45"/>
      <c r="V2557" s="45"/>
      <c r="W2557" s="45"/>
      <c r="X2557" s="47"/>
      <c r="Y2557" s="45"/>
      <c r="Z2557" s="45"/>
      <c r="AA2557" s="48"/>
      <c r="AB2557" s="48"/>
      <c r="AC2557" s="47"/>
      <c r="AD2557" s="47"/>
      <c r="AE2557" s="47"/>
    </row>
    <row r="2558" spans="1:31" x14ac:dyDescent="0.35">
      <c r="A2558" s="41"/>
      <c r="B2558" s="41"/>
      <c r="C2558" s="42"/>
      <c r="D2558" s="43"/>
      <c r="E2558" s="43"/>
      <c r="F2558" s="43"/>
      <c r="G2558" s="43"/>
      <c r="H2558" s="43"/>
      <c r="I2558" s="43"/>
      <c r="J2558" s="43"/>
      <c r="K2558" s="43"/>
      <c r="L2558" s="43"/>
      <c r="M2558" s="43"/>
      <c r="N2558" s="43"/>
      <c r="O2558" s="43"/>
      <c r="P2558" s="43"/>
      <c r="Q2558" s="43"/>
      <c r="R2558" s="43"/>
      <c r="S2558" s="43"/>
      <c r="T2558" s="43"/>
      <c r="U2558" s="43"/>
      <c r="V2558" s="41"/>
      <c r="W2558" s="41"/>
      <c r="X2558" s="41"/>
      <c r="Y2558" s="41"/>
      <c r="Z2558" s="41"/>
      <c r="AA2558" s="44"/>
      <c r="AB2558" s="44"/>
      <c r="AC2558" s="43"/>
      <c r="AD2558" s="43"/>
      <c r="AE2558" s="43"/>
    </row>
    <row r="2559" spans="1:31" x14ac:dyDescent="0.35">
      <c r="C2559" s="33"/>
      <c r="D2559" s="34"/>
      <c r="E2559" s="34"/>
      <c r="F2559" s="34"/>
      <c r="G2559" s="34"/>
      <c r="H2559" s="34"/>
      <c r="I2559" s="34"/>
      <c r="J2559" s="34"/>
      <c r="K2559" s="34"/>
      <c r="L2559" s="34"/>
      <c r="M2559" s="34"/>
      <c r="N2559" s="34"/>
      <c r="O2559" s="34"/>
      <c r="AA2559" s="35"/>
      <c r="AB2559" s="35"/>
      <c r="AC2559" s="34"/>
      <c r="AD2559" s="34"/>
      <c r="AE2559" s="34"/>
    </row>
    <row r="2560" spans="1:31" ht="15" thickBot="1" x14ac:dyDescent="0.4">
      <c r="A2560" s="45"/>
      <c r="B2560" s="45"/>
      <c r="C2560" s="46"/>
      <c r="D2560" s="47"/>
      <c r="E2560" s="47"/>
      <c r="F2560" s="47"/>
      <c r="G2560" s="47"/>
      <c r="H2560" s="47"/>
      <c r="I2560" s="47"/>
      <c r="J2560" s="47"/>
      <c r="K2560" s="47"/>
      <c r="L2560" s="47"/>
      <c r="M2560" s="47"/>
      <c r="N2560" s="47"/>
      <c r="O2560" s="47"/>
      <c r="P2560" s="47"/>
      <c r="Q2560" s="47"/>
      <c r="R2560" s="47"/>
      <c r="S2560" s="47"/>
      <c r="T2560" s="45"/>
      <c r="U2560" s="45"/>
      <c r="V2560" s="45"/>
      <c r="W2560" s="45"/>
      <c r="X2560" s="47"/>
      <c r="Y2560" s="45"/>
      <c r="Z2560" s="45"/>
      <c r="AA2560" s="48"/>
      <c r="AB2560" s="48"/>
      <c r="AC2560" s="47"/>
      <c r="AD2560" s="47"/>
      <c r="AE2560" s="47"/>
    </row>
    <row r="2561" spans="1:31" x14ac:dyDescent="0.35">
      <c r="A2561" s="41"/>
      <c r="B2561" s="41"/>
      <c r="C2561" s="42"/>
      <c r="D2561" s="43"/>
      <c r="E2561" s="43"/>
      <c r="F2561" s="43"/>
      <c r="G2561" s="43"/>
      <c r="H2561" s="43"/>
      <c r="I2561" s="43"/>
      <c r="J2561" s="43"/>
      <c r="K2561" s="43"/>
      <c r="L2561" s="43"/>
      <c r="M2561" s="43"/>
      <c r="N2561" s="43"/>
      <c r="O2561" s="43"/>
      <c r="P2561" s="43"/>
      <c r="Q2561" s="43"/>
      <c r="R2561" s="43"/>
      <c r="S2561" s="43"/>
      <c r="T2561" s="43"/>
      <c r="U2561" s="43"/>
      <c r="V2561" s="41"/>
      <c r="W2561" s="41"/>
      <c r="X2561" s="41"/>
      <c r="Y2561" s="41"/>
      <c r="Z2561" s="41"/>
      <c r="AA2561" s="44"/>
      <c r="AB2561" s="44"/>
      <c r="AC2561" s="43"/>
      <c r="AD2561" s="43"/>
      <c r="AE2561" s="43"/>
    </row>
    <row r="2562" spans="1:31" x14ac:dyDescent="0.35">
      <c r="C2562" s="33"/>
      <c r="D2562" s="34"/>
      <c r="E2562" s="34"/>
      <c r="F2562" s="34"/>
      <c r="G2562" s="34"/>
      <c r="H2562" s="34"/>
      <c r="I2562" s="34"/>
      <c r="J2562" s="34"/>
      <c r="K2562" s="34"/>
      <c r="L2562" s="34"/>
      <c r="M2562" s="34"/>
      <c r="N2562" s="34"/>
      <c r="O2562" s="34"/>
      <c r="AA2562" s="35"/>
      <c r="AB2562" s="35"/>
      <c r="AC2562" s="34"/>
      <c r="AD2562" s="34"/>
      <c r="AE2562" s="34"/>
    </row>
    <row r="2563" spans="1:31" ht="15" thickBot="1" x14ac:dyDescent="0.4">
      <c r="A2563" s="45"/>
      <c r="B2563" s="45"/>
      <c r="C2563" s="46"/>
      <c r="D2563" s="47"/>
      <c r="E2563" s="47"/>
      <c r="F2563" s="47"/>
      <c r="G2563" s="47"/>
      <c r="H2563" s="47"/>
      <c r="I2563" s="47"/>
      <c r="J2563" s="47"/>
      <c r="K2563" s="47"/>
      <c r="L2563" s="47"/>
      <c r="M2563" s="47"/>
      <c r="N2563" s="47"/>
      <c r="O2563" s="47"/>
      <c r="P2563" s="47"/>
      <c r="Q2563" s="47"/>
      <c r="R2563" s="47"/>
      <c r="S2563" s="47"/>
      <c r="T2563" s="45"/>
      <c r="U2563" s="45"/>
      <c r="V2563" s="45"/>
      <c r="W2563" s="45"/>
      <c r="X2563" s="47"/>
      <c r="Y2563" s="45"/>
      <c r="Z2563" s="45"/>
      <c r="AA2563" s="48"/>
      <c r="AB2563" s="48"/>
      <c r="AC2563" s="47"/>
      <c r="AD2563" s="47"/>
      <c r="AE2563" s="47"/>
    </row>
    <row r="2564" spans="1:31" x14ac:dyDescent="0.35">
      <c r="A2564" s="41"/>
      <c r="B2564" s="41"/>
      <c r="C2564" s="42"/>
      <c r="D2564" s="43"/>
      <c r="E2564" s="43"/>
      <c r="F2564" s="43"/>
      <c r="G2564" s="43"/>
      <c r="H2564" s="43"/>
      <c r="I2564" s="43"/>
      <c r="J2564" s="43"/>
      <c r="K2564" s="43"/>
      <c r="L2564" s="43"/>
      <c r="M2564" s="43"/>
      <c r="N2564" s="43"/>
      <c r="O2564" s="43"/>
      <c r="P2564" s="43"/>
      <c r="Q2564" s="43"/>
      <c r="R2564" s="43"/>
      <c r="S2564" s="43"/>
      <c r="T2564" s="43"/>
      <c r="U2564" s="43"/>
      <c r="V2564" s="41"/>
      <c r="W2564" s="41"/>
      <c r="X2564" s="41"/>
      <c r="Y2564" s="41"/>
      <c r="Z2564" s="41"/>
      <c r="AA2564" s="44"/>
      <c r="AB2564" s="44"/>
      <c r="AC2564" s="43"/>
      <c r="AD2564" s="43"/>
      <c r="AE2564" s="43"/>
    </row>
    <row r="2565" spans="1:31" x14ac:dyDescent="0.35">
      <c r="C2565" s="33"/>
      <c r="D2565" s="34"/>
      <c r="E2565" s="34"/>
      <c r="F2565" s="34"/>
      <c r="G2565" s="34"/>
      <c r="H2565" s="34"/>
      <c r="I2565" s="34"/>
      <c r="J2565" s="34"/>
      <c r="K2565" s="34"/>
      <c r="L2565" s="34"/>
      <c r="M2565" s="34"/>
      <c r="N2565" s="34"/>
      <c r="O2565" s="34"/>
      <c r="AA2565" s="35"/>
      <c r="AB2565" s="35"/>
      <c r="AC2565" s="34"/>
      <c r="AD2565" s="34"/>
      <c r="AE2565" s="34"/>
    </row>
    <row r="2566" spans="1:31" ht="15" thickBot="1" x14ac:dyDescent="0.4">
      <c r="A2566" s="45"/>
      <c r="B2566" s="45"/>
      <c r="C2566" s="46"/>
      <c r="D2566" s="47"/>
      <c r="E2566" s="47"/>
      <c r="F2566" s="47"/>
      <c r="G2566" s="47"/>
      <c r="H2566" s="47"/>
      <c r="I2566" s="47"/>
      <c r="J2566" s="47"/>
      <c r="K2566" s="47"/>
      <c r="L2566" s="47"/>
      <c r="M2566" s="47"/>
      <c r="N2566" s="47"/>
      <c r="O2566" s="47"/>
      <c r="P2566" s="47"/>
      <c r="Q2566" s="47"/>
      <c r="R2566" s="47"/>
      <c r="S2566" s="47"/>
      <c r="T2566" s="45"/>
      <c r="U2566" s="45"/>
      <c r="V2566" s="45"/>
      <c r="W2566" s="45"/>
      <c r="X2566" s="47"/>
      <c r="Y2566" s="45"/>
      <c r="Z2566" s="45"/>
      <c r="AA2566" s="48"/>
      <c r="AB2566" s="48"/>
      <c r="AC2566" s="47"/>
      <c r="AD2566" s="47"/>
      <c r="AE2566" s="47"/>
    </row>
    <row r="2567" spans="1:31" x14ac:dyDescent="0.35">
      <c r="A2567" s="41"/>
      <c r="B2567" s="41"/>
      <c r="C2567" s="42"/>
      <c r="D2567" s="43"/>
      <c r="E2567" s="43"/>
      <c r="F2567" s="43"/>
      <c r="G2567" s="43"/>
      <c r="H2567" s="43"/>
      <c r="I2567" s="43"/>
      <c r="J2567" s="43"/>
      <c r="K2567" s="43"/>
      <c r="L2567" s="43"/>
      <c r="M2567" s="43"/>
      <c r="N2567" s="43"/>
      <c r="O2567" s="43"/>
      <c r="P2567" s="43"/>
      <c r="Q2567" s="43"/>
      <c r="R2567" s="43"/>
      <c r="S2567" s="43"/>
      <c r="T2567" s="43"/>
      <c r="U2567" s="43"/>
      <c r="V2567" s="41"/>
      <c r="W2567" s="41"/>
      <c r="X2567" s="41"/>
      <c r="Y2567" s="41"/>
      <c r="Z2567" s="41"/>
      <c r="AA2567" s="44"/>
      <c r="AB2567" s="44"/>
      <c r="AC2567" s="43"/>
      <c r="AD2567" s="43"/>
      <c r="AE2567" s="43"/>
    </row>
    <row r="2568" spans="1:31" x14ac:dyDescent="0.35">
      <c r="C2568" s="33"/>
      <c r="D2568" s="34"/>
      <c r="E2568" s="34"/>
      <c r="F2568" s="34"/>
      <c r="G2568" s="34"/>
      <c r="H2568" s="34"/>
      <c r="I2568" s="34"/>
      <c r="J2568" s="34"/>
      <c r="K2568" s="34"/>
      <c r="L2568" s="34"/>
      <c r="M2568" s="34"/>
      <c r="N2568" s="34"/>
      <c r="O2568" s="34"/>
      <c r="AA2568" s="35"/>
      <c r="AB2568" s="35"/>
      <c r="AC2568" s="34"/>
      <c r="AD2568" s="34"/>
      <c r="AE2568" s="34"/>
    </row>
    <row r="2569" spans="1:31" ht="15" thickBot="1" x14ac:dyDescent="0.4">
      <c r="A2569" s="45"/>
      <c r="B2569" s="45"/>
      <c r="C2569" s="46"/>
      <c r="D2569" s="47"/>
      <c r="E2569" s="47"/>
      <c r="F2569" s="47"/>
      <c r="G2569" s="47"/>
      <c r="H2569" s="47"/>
      <c r="I2569" s="47"/>
      <c r="J2569" s="47"/>
      <c r="K2569" s="47"/>
      <c r="L2569" s="47"/>
      <c r="M2569" s="47"/>
      <c r="N2569" s="47"/>
      <c r="O2569" s="47"/>
      <c r="P2569" s="47"/>
      <c r="Q2569" s="47"/>
      <c r="R2569" s="47"/>
      <c r="S2569" s="47"/>
      <c r="T2569" s="45"/>
      <c r="U2569" s="45"/>
      <c r="V2569" s="45"/>
      <c r="W2569" s="45"/>
      <c r="X2569" s="47"/>
      <c r="Y2569" s="45"/>
      <c r="Z2569" s="45"/>
      <c r="AA2569" s="48"/>
      <c r="AB2569" s="48"/>
      <c r="AC2569" s="47"/>
      <c r="AD2569" s="47"/>
      <c r="AE2569" s="47"/>
    </row>
    <row r="2570" spans="1:31" x14ac:dyDescent="0.35">
      <c r="A2570" s="41"/>
      <c r="B2570" s="41"/>
      <c r="C2570" s="42"/>
      <c r="D2570" s="43"/>
      <c r="E2570" s="43"/>
      <c r="F2570" s="43"/>
      <c r="G2570" s="43"/>
      <c r="H2570" s="43"/>
      <c r="I2570" s="43"/>
      <c r="J2570" s="43"/>
      <c r="K2570" s="43"/>
      <c r="L2570" s="43"/>
      <c r="M2570" s="43"/>
      <c r="N2570" s="43"/>
      <c r="O2570" s="43"/>
      <c r="P2570" s="43"/>
      <c r="Q2570" s="43"/>
      <c r="R2570" s="43"/>
      <c r="S2570" s="43"/>
      <c r="T2570" s="43"/>
      <c r="U2570" s="43"/>
      <c r="V2570" s="41"/>
      <c r="W2570" s="41"/>
      <c r="X2570" s="41"/>
      <c r="Y2570" s="41"/>
      <c r="Z2570" s="41"/>
      <c r="AA2570" s="44"/>
      <c r="AB2570" s="44"/>
      <c r="AC2570" s="43"/>
      <c r="AD2570" s="43"/>
      <c r="AE2570" s="43"/>
    </row>
    <row r="2571" spans="1:31" x14ac:dyDescent="0.35">
      <c r="C2571" s="33"/>
      <c r="D2571" s="34"/>
      <c r="E2571" s="34"/>
      <c r="F2571" s="34"/>
      <c r="G2571" s="34"/>
      <c r="H2571" s="34"/>
      <c r="I2571" s="34"/>
      <c r="J2571" s="34"/>
      <c r="K2571" s="34"/>
      <c r="L2571" s="34"/>
      <c r="M2571" s="34"/>
      <c r="N2571" s="34"/>
      <c r="O2571" s="34"/>
      <c r="AA2571" s="35"/>
      <c r="AB2571" s="35"/>
      <c r="AC2571" s="34"/>
      <c r="AD2571" s="34"/>
      <c r="AE2571" s="34"/>
    </row>
    <row r="2572" spans="1:31" ht="15" thickBot="1" x14ac:dyDescent="0.4">
      <c r="A2572" s="45"/>
      <c r="B2572" s="45"/>
      <c r="C2572" s="46"/>
      <c r="D2572" s="47"/>
      <c r="E2572" s="47"/>
      <c r="F2572" s="47"/>
      <c r="G2572" s="47"/>
      <c r="H2572" s="47"/>
      <c r="I2572" s="47"/>
      <c r="J2572" s="47"/>
      <c r="K2572" s="47"/>
      <c r="L2572" s="47"/>
      <c r="M2572" s="47"/>
      <c r="N2572" s="47"/>
      <c r="O2572" s="47"/>
      <c r="P2572" s="47"/>
      <c r="Q2572" s="47"/>
      <c r="R2572" s="47"/>
      <c r="S2572" s="47"/>
      <c r="T2572" s="45"/>
      <c r="U2572" s="45"/>
      <c r="V2572" s="45"/>
      <c r="W2572" s="45"/>
      <c r="X2572" s="47"/>
      <c r="Y2572" s="45"/>
      <c r="Z2572" s="45"/>
      <c r="AA2572" s="48"/>
      <c r="AB2572" s="48"/>
      <c r="AC2572" s="47"/>
      <c r="AD2572" s="47"/>
      <c r="AE2572" s="47"/>
    </row>
    <row r="2573" spans="1:31" x14ac:dyDescent="0.35">
      <c r="A2573" s="41"/>
      <c r="B2573" s="41"/>
      <c r="C2573" s="42"/>
      <c r="D2573" s="43"/>
      <c r="E2573" s="43"/>
      <c r="F2573" s="43"/>
      <c r="G2573" s="43"/>
      <c r="H2573" s="43"/>
      <c r="I2573" s="43"/>
      <c r="J2573" s="43"/>
      <c r="K2573" s="43"/>
      <c r="L2573" s="43"/>
      <c r="M2573" s="43"/>
      <c r="N2573" s="43"/>
      <c r="O2573" s="43"/>
      <c r="P2573" s="43"/>
      <c r="Q2573" s="43"/>
      <c r="R2573" s="43"/>
      <c r="S2573" s="43"/>
      <c r="T2573" s="43"/>
      <c r="U2573" s="43"/>
      <c r="V2573" s="41"/>
      <c r="W2573" s="41"/>
      <c r="X2573" s="41"/>
      <c r="Y2573" s="41"/>
      <c r="Z2573" s="41"/>
      <c r="AA2573" s="44"/>
      <c r="AB2573" s="44"/>
      <c r="AC2573" s="43"/>
      <c r="AD2573" s="43"/>
      <c r="AE2573" s="43"/>
    </row>
    <row r="2574" spans="1:31" x14ac:dyDescent="0.35">
      <c r="C2574" s="33"/>
      <c r="D2574" s="34"/>
      <c r="E2574" s="34"/>
      <c r="F2574" s="34"/>
      <c r="G2574" s="34"/>
      <c r="H2574" s="34"/>
      <c r="I2574" s="34"/>
      <c r="J2574" s="34"/>
      <c r="K2574" s="34"/>
      <c r="L2574" s="34"/>
      <c r="M2574" s="34"/>
      <c r="N2574" s="34"/>
      <c r="O2574" s="34"/>
      <c r="AA2574" s="35"/>
      <c r="AB2574" s="35"/>
      <c r="AC2574" s="34"/>
      <c r="AD2574" s="34"/>
      <c r="AE2574" s="34"/>
    </row>
    <row r="2575" spans="1:31" ht="15" thickBot="1" x14ac:dyDescent="0.4">
      <c r="A2575" s="45"/>
      <c r="B2575" s="45"/>
      <c r="C2575" s="46"/>
      <c r="D2575" s="47"/>
      <c r="E2575" s="47"/>
      <c r="F2575" s="47"/>
      <c r="G2575" s="47"/>
      <c r="H2575" s="47"/>
      <c r="I2575" s="47"/>
      <c r="J2575" s="47"/>
      <c r="K2575" s="47"/>
      <c r="L2575" s="47"/>
      <c r="M2575" s="47"/>
      <c r="N2575" s="47"/>
      <c r="O2575" s="47"/>
      <c r="P2575" s="47"/>
      <c r="Q2575" s="47"/>
      <c r="R2575" s="47"/>
      <c r="S2575" s="47"/>
      <c r="T2575" s="45"/>
      <c r="U2575" s="45"/>
      <c r="V2575" s="45"/>
      <c r="W2575" s="45"/>
      <c r="X2575" s="47"/>
      <c r="Y2575" s="45"/>
      <c r="Z2575" s="45"/>
      <c r="AA2575" s="48"/>
      <c r="AB2575" s="48"/>
      <c r="AC2575" s="47"/>
      <c r="AD2575" s="47"/>
      <c r="AE2575" s="47"/>
    </row>
    <row r="2576" spans="1:31" x14ac:dyDescent="0.35">
      <c r="A2576" s="41"/>
      <c r="B2576" s="41"/>
      <c r="C2576" s="42"/>
      <c r="D2576" s="43"/>
      <c r="E2576" s="43"/>
      <c r="F2576" s="43"/>
      <c r="G2576" s="43"/>
      <c r="H2576" s="43"/>
      <c r="I2576" s="43"/>
      <c r="J2576" s="43"/>
      <c r="K2576" s="43"/>
      <c r="L2576" s="43"/>
      <c r="M2576" s="43"/>
      <c r="N2576" s="43"/>
      <c r="O2576" s="43"/>
      <c r="P2576" s="43"/>
      <c r="Q2576" s="43"/>
      <c r="R2576" s="43"/>
      <c r="S2576" s="43"/>
      <c r="T2576" s="43"/>
      <c r="U2576" s="43"/>
      <c r="V2576" s="41"/>
      <c r="W2576" s="41"/>
      <c r="X2576" s="41"/>
      <c r="Y2576" s="41"/>
      <c r="Z2576" s="41"/>
      <c r="AA2576" s="44"/>
      <c r="AB2576" s="44"/>
      <c r="AC2576" s="43"/>
      <c r="AD2576" s="43"/>
      <c r="AE2576" s="43"/>
    </row>
    <row r="2577" spans="1:31" x14ac:dyDescent="0.35">
      <c r="C2577" s="33"/>
      <c r="D2577" s="34"/>
      <c r="E2577" s="34"/>
      <c r="F2577" s="34"/>
      <c r="G2577" s="34"/>
      <c r="H2577" s="34"/>
      <c r="I2577" s="34"/>
      <c r="J2577" s="34"/>
      <c r="K2577" s="34"/>
      <c r="L2577" s="34"/>
      <c r="M2577" s="34"/>
      <c r="N2577" s="34"/>
      <c r="O2577" s="34"/>
      <c r="AA2577" s="35"/>
      <c r="AB2577" s="35"/>
      <c r="AC2577" s="34"/>
      <c r="AD2577" s="34"/>
      <c r="AE2577" s="34"/>
    </row>
    <row r="2578" spans="1:31" ht="15" thickBot="1" x14ac:dyDescent="0.4">
      <c r="A2578" s="45"/>
      <c r="B2578" s="45"/>
      <c r="C2578" s="46"/>
      <c r="D2578" s="47"/>
      <c r="E2578" s="47"/>
      <c r="F2578" s="47"/>
      <c r="G2578" s="47"/>
      <c r="H2578" s="47"/>
      <c r="I2578" s="47"/>
      <c r="J2578" s="47"/>
      <c r="K2578" s="47"/>
      <c r="L2578" s="47"/>
      <c r="M2578" s="47"/>
      <c r="N2578" s="47"/>
      <c r="O2578" s="47"/>
      <c r="P2578" s="47"/>
      <c r="Q2578" s="47"/>
      <c r="R2578" s="47"/>
      <c r="S2578" s="47"/>
      <c r="T2578" s="45"/>
      <c r="U2578" s="45"/>
      <c r="V2578" s="45"/>
      <c r="W2578" s="45"/>
      <c r="X2578" s="47"/>
      <c r="Y2578" s="45"/>
      <c r="Z2578" s="45"/>
      <c r="AA2578" s="48"/>
      <c r="AB2578" s="48"/>
      <c r="AC2578" s="47"/>
      <c r="AD2578" s="47"/>
      <c r="AE2578" s="47"/>
    </row>
    <row r="2579" spans="1:31" x14ac:dyDescent="0.35">
      <c r="A2579" s="41"/>
      <c r="B2579" s="41"/>
      <c r="C2579" s="42"/>
      <c r="D2579" s="43"/>
      <c r="E2579" s="43"/>
      <c r="F2579" s="43"/>
      <c r="G2579" s="43"/>
      <c r="H2579" s="43"/>
      <c r="I2579" s="43"/>
      <c r="J2579" s="43"/>
      <c r="K2579" s="43"/>
      <c r="L2579" s="43"/>
      <c r="M2579" s="43"/>
      <c r="N2579" s="43"/>
      <c r="O2579" s="43"/>
      <c r="P2579" s="43"/>
      <c r="Q2579" s="43"/>
      <c r="R2579" s="43"/>
      <c r="S2579" s="43"/>
      <c r="T2579" s="43"/>
      <c r="U2579" s="43"/>
      <c r="V2579" s="41"/>
      <c r="W2579" s="41"/>
      <c r="X2579" s="41"/>
      <c r="Y2579" s="41"/>
      <c r="Z2579" s="41"/>
      <c r="AA2579" s="44"/>
      <c r="AB2579" s="44"/>
      <c r="AC2579" s="43"/>
      <c r="AD2579" s="43"/>
      <c r="AE2579" s="43"/>
    </row>
    <row r="2580" spans="1:31" x14ac:dyDescent="0.35">
      <c r="C2580" s="33"/>
      <c r="D2580" s="34"/>
      <c r="E2580" s="34"/>
      <c r="F2580" s="34"/>
      <c r="G2580" s="34"/>
      <c r="H2580" s="34"/>
      <c r="I2580" s="34"/>
      <c r="J2580" s="34"/>
      <c r="K2580" s="34"/>
      <c r="L2580" s="34"/>
      <c r="M2580" s="34"/>
      <c r="N2580" s="34"/>
      <c r="O2580" s="34"/>
      <c r="AA2580" s="35"/>
      <c r="AB2580" s="35"/>
      <c r="AC2580" s="34"/>
      <c r="AD2580" s="34"/>
      <c r="AE2580" s="34"/>
    </row>
    <row r="2581" spans="1:31" ht="15" thickBot="1" x14ac:dyDescent="0.4">
      <c r="A2581" s="45"/>
      <c r="B2581" s="45"/>
      <c r="C2581" s="46"/>
      <c r="D2581" s="47"/>
      <c r="E2581" s="47"/>
      <c r="F2581" s="47"/>
      <c r="G2581" s="47"/>
      <c r="H2581" s="47"/>
      <c r="I2581" s="47"/>
      <c r="J2581" s="47"/>
      <c r="K2581" s="47"/>
      <c r="L2581" s="47"/>
      <c r="M2581" s="47"/>
      <c r="N2581" s="47"/>
      <c r="O2581" s="47"/>
      <c r="P2581" s="47"/>
      <c r="Q2581" s="47"/>
      <c r="R2581" s="47"/>
      <c r="S2581" s="47"/>
      <c r="T2581" s="45"/>
      <c r="U2581" s="45"/>
      <c r="V2581" s="45"/>
      <c r="W2581" s="45"/>
      <c r="X2581" s="47"/>
      <c r="Y2581" s="45"/>
      <c r="Z2581" s="45"/>
      <c r="AA2581" s="48"/>
      <c r="AB2581" s="48"/>
      <c r="AC2581" s="47"/>
      <c r="AD2581" s="47"/>
      <c r="AE2581" s="47"/>
    </row>
    <row r="2582" spans="1:31" x14ac:dyDescent="0.35">
      <c r="A2582" s="41"/>
      <c r="B2582" s="41"/>
      <c r="C2582" s="42"/>
      <c r="D2582" s="43"/>
      <c r="E2582" s="43"/>
      <c r="F2582" s="43"/>
      <c r="G2582" s="43"/>
      <c r="H2582" s="43"/>
      <c r="I2582" s="43"/>
      <c r="J2582" s="43"/>
      <c r="K2582" s="43"/>
      <c r="L2582" s="43"/>
      <c r="M2582" s="43"/>
      <c r="N2582" s="43"/>
      <c r="O2582" s="43"/>
      <c r="P2582" s="43"/>
      <c r="Q2582" s="43"/>
      <c r="R2582" s="43"/>
      <c r="S2582" s="43"/>
      <c r="T2582" s="43"/>
      <c r="U2582" s="43"/>
      <c r="V2582" s="41"/>
      <c r="W2582" s="41"/>
      <c r="X2582" s="41"/>
      <c r="Y2582" s="41"/>
      <c r="Z2582" s="41"/>
      <c r="AA2582" s="44"/>
      <c r="AB2582" s="44"/>
      <c r="AC2582" s="43"/>
      <c r="AD2582" s="43"/>
      <c r="AE2582" s="43"/>
    </row>
    <row r="2583" spans="1:31" x14ac:dyDescent="0.35">
      <c r="C2583" s="33"/>
      <c r="D2583" s="34"/>
      <c r="E2583" s="34"/>
      <c r="F2583" s="34"/>
      <c r="G2583" s="34"/>
      <c r="H2583" s="34"/>
      <c r="I2583" s="34"/>
      <c r="J2583" s="34"/>
      <c r="K2583" s="34"/>
      <c r="L2583" s="34"/>
      <c r="M2583" s="34"/>
      <c r="N2583" s="34"/>
      <c r="O2583" s="34"/>
      <c r="AA2583" s="35"/>
      <c r="AB2583" s="35"/>
      <c r="AC2583" s="34"/>
      <c r="AD2583" s="34"/>
      <c r="AE2583" s="34"/>
    </row>
    <row r="2584" spans="1:31" ht="15" thickBot="1" x14ac:dyDescent="0.4">
      <c r="A2584" s="45"/>
      <c r="B2584" s="45"/>
      <c r="C2584" s="46"/>
      <c r="D2584" s="47"/>
      <c r="E2584" s="47"/>
      <c r="F2584" s="47"/>
      <c r="G2584" s="47"/>
      <c r="H2584" s="47"/>
      <c r="I2584" s="47"/>
      <c r="J2584" s="47"/>
      <c r="K2584" s="47"/>
      <c r="L2584" s="47"/>
      <c r="M2584" s="47"/>
      <c r="N2584" s="47"/>
      <c r="O2584" s="47"/>
      <c r="P2584" s="47"/>
      <c r="Q2584" s="47"/>
      <c r="R2584" s="47"/>
      <c r="S2584" s="47"/>
      <c r="T2584" s="45"/>
      <c r="U2584" s="45"/>
      <c r="V2584" s="45"/>
      <c r="W2584" s="45"/>
      <c r="X2584" s="47"/>
      <c r="Y2584" s="45"/>
      <c r="Z2584" s="45"/>
      <c r="AA2584" s="48"/>
      <c r="AB2584" s="48"/>
      <c r="AC2584" s="47"/>
      <c r="AD2584" s="47"/>
      <c r="AE2584" s="47"/>
    </row>
    <row r="2585" spans="1:31" x14ac:dyDescent="0.35">
      <c r="A2585" s="41"/>
      <c r="B2585" s="41"/>
      <c r="C2585" s="42"/>
      <c r="D2585" s="43"/>
      <c r="E2585" s="43"/>
      <c r="F2585" s="43"/>
      <c r="G2585" s="43"/>
      <c r="H2585" s="43"/>
      <c r="I2585" s="43"/>
      <c r="J2585" s="43"/>
      <c r="K2585" s="43"/>
      <c r="L2585" s="43"/>
      <c r="M2585" s="43"/>
      <c r="N2585" s="43"/>
      <c r="O2585" s="43"/>
      <c r="P2585" s="43"/>
      <c r="Q2585" s="43"/>
      <c r="R2585" s="43"/>
      <c r="S2585" s="43"/>
      <c r="T2585" s="43"/>
      <c r="U2585" s="43"/>
      <c r="V2585" s="41"/>
      <c r="W2585" s="41"/>
      <c r="X2585" s="41"/>
      <c r="Y2585" s="41"/>
      <c r="Z2585" s="41"/>
      <c r="AA2585" s="44"/>
      <c r="AB2585" s="44"/>
      <c r="AC2585" s="43"/>
      <c r="AD2585" s="43"/>
      <c r="AE2585" s="43"/>
    </row>
    <row r="2586" spans="1:31" x14ac:dyDescent="0.35">
      <c r="C2586" s="33"/>
      <c r="D2586" s="34"/>
      <c r="E2586" s="34"/>
      <c r="F2586" s="34"/>
      <c r="G2586" s="34"/>
      <c r="H2586" s="34"/>
      <c r="I2586" s="34"/>
      <c r="J2586" s="34"/>
      <c r="K2586" s="34"/>
      <c r="L2586" s="34"/>
      <c r="M2586" s="34"/>
      <c r="N2586" s="34"/>
      <c r="O2586" s="34"/>
      <c r="AA2586" s="35"/>
      <c r="AB2586" s="35"/>
      <c r="AC2586" s="34"/>
      <c r="AD2586" s="34"/>
      <c r="AE2586" s="34"/>
    </row>
    <row r="2587" spans="1:31" ht="15" thickBot="1" x14ac:dyDescent="0.4">
      <c r="A2587" s="45"/>
      <c r="B2587" s="45"/>
      <c r="C2587" s="46"/>
      <c r="D2587" s="47"/>
      <c r="E2587" s="47"/>
      <c r="F2587" s="47"/>
      <c r="G2587" s="47"/>
      <c r="H2587" s="47"/>
      <c r="I2587" s="47"/>
      <c r="J2587" s="47"/>
      <c r="K2587" s="47"/>
      <c r="L2587" s="47"/>
      <c r="M2587" s="47"/>
      <c r="N2587" s="47"/>
      <c r="O2587" s="47"/>
      <c r="P2587" s="47"/>
      <c r="Q2587" s="47"/>
      <c r="R2587" s="47"/>
      <c r="S2587" s="47"/>
      <c r="T2587" s="45"/>
      <c r="U2587" s="45"/>
      <c r="V2587" s="45"/>
      <c r="W2587" s="45"/>
      <c r="X2587" s="47"/>
      <c r="Y2587" s="45"/>
      <c r="Z2587" s="45"/>
      <c r="AA2587" s="48"/>
      <c r="AB2587" s="48"/>
      <c r="AC2587" s="47"/>
      <c r="AD2587" s="47"/>
      <c r="AE2587" s="47"/>
    </row>
    <row r="2588" spans="1:31" x14ac:dyDescent="0.35">
      <c r="A2588" s="41"/>
      <c r="B2588" s="41"/>
      <c r="C2588" s="42"/>
      <c r="D2588" s="43"/>
      <c r="E2588" s="43"/>
      <c r="F2588" s="43"/>
      <c r="G2588" s="43"/>
      <c r="H2588" s="43"/>
      <c r="I2588" s="43"/>
      <c r="J2588" s="43"/>
      <c r="K2588" s="43"/>
      <c r="L2588" s="43"/>
      <c r="M2588" s="43"/>
      <c r="N2588" s="43"/>
      <c r="O2588" s="43"/>
      <c r="P2588" s="43"/>
      <c r="Q2588" s="43"/>
      <c r="R2588" s="43"/>
      <c r="S2588" s="43"/>
      <c r="T2588" s="43"/>
      <c r="U2588" s="43"/>
      <c r="V2588" s="41"/>
      <c r="W2588" s="41"/>
      <c r="X2588" s="41"/>
      <c r="Y2588" s="41"/>
      <c r="Z2588" s="41"/>
      <c r="AA2588" s="44"/>
      <c r="AB2588" s="44"/>
      <c r="AC2588" s="43"/>
      <c r="AD2588" s="43"/>
      <c r="AE2588" s="43"/>
    </row>
    <row r="2589" spans="1:31" x14ac:dyDescent="0.35">
      <c r="C2589" s="33"/>
      <c r="D2589" s="34"/>
      <c r="E2589" s="34"/>
      <c r="F2589" s="34"/>
      <c r="G2589" s="34"/>
      <c r="H2589" s="34"/>
      <c r="I2589" s="34"/>
      <c r="J2589" s="34"/>
      <c r="K2589" s="34"/>
      <c r="L2589" s="34"/>
      <c r="M2589" s="34"/>
      <c r="N2589" s="34"/>
      <c r="O2589" s="34"/>
      <c r="AA2589" s="35"/>
      <c r="AB2589" s="35"/>
      <c r="AC2589" s="34"/>
      <c r="AD2589" s="34"/>
      <c r="AE2589" s="34"/>
    </row>
    <row r="2590" spans="1:31" ht="15" thickBot="1" x14ac:dyDescent="0.4">
      <c r="A2590" s="45"/>
      <c r="B2590" s="45"/>
      <c r="C2590" s="46"/>
      <c r="D2590" s="47"/>
      <c r="E2590" s="47"/>
      <c r="F2590" s="47"/>
      <c r="G2590" s="47"/>
      <c r="H2590" s="47"/>
      <c r="I2590" s="47"/>
      <c r="J2590" s="47"/>
      <c r="K2590" s="47"/>
      <c r="L2590" s="47"/>
      <c r="M2590" s="47"/>
      <c r="N2590" s="47"/>
      <c r="O2590" s="47"/>
      <c r="P2590" s="47"/>
      <c r="Q2590" s="47"/>
      <c r="R2590" s="47"/>
      <c r="S2590" s="47"/>
      <c r="T2590" s="45"/>
      <c r="U2590" s="45"/>
      <c r="V2590" s="45"/>
      <c r="W2590" s="45"/>
      <c r="X2590" s="47"/>
      <c r="Y2590" s="45"/>
      <c r="Z2590" s="45"/>
      <c r="AA2590" s="48"/>
      <c r="AB2590" s="48"/>
      <c r="AC2590" s="47"/>
      <c r="AD2590" s="47"/>
      <c r="AE2590" s="47"/>
    </row>
    <row r="2591" spans="1:31" x14ac:dyDescent="0.35">
      <c r="A2591" s="41"/>
      <c r="B2591" s="41"/>
      <c r="C2591" s="42"/>
      <c r="D2591" s="43"/>
      <c r="E2591" s="43"/>
      <c r="F2591" s="43"/>
      <c r="G2591" s="43"/>
      <c r="H2591" s="43"/>
      <c r="I2591" s="43"/>
      <c r="J2591" s="43"/>
      <c r="K2591" s="43"/>
      <c r="L2591" s="43"/>
      <c r="M2591" s="43"/>
      <c r="N2591" s="43"/>
      <c r="O2591" s="43"/>
      <c r="P2591" s="43"/>
      <c r="Q2591" s="43"/>
      <c r="R2591" s="43"/>
      <c r="S2591" s="43"/>
      <c r="T2591" s="43"/>
      <c r="U2591" s="43"/>
      <c r="V2591" s="41"/>
      <c r="W2591" s="41"/>
      <c r="X2591" s="41"/>
      <c r="Y2591" s="41"/>
      <c r="Z2591" s="41"/>
      <c r="AA2591" s="44"/>
      <c r="AB2591" s="44"/>
      <c r="AC2591" s="43"/>
      <c r="AD2591" s="43"/>
      <c r="AE2591" s="43"/>
    </row>
    <row r="2592" spans="1:31" x14ac:dyDescent="0.35">
      <c r="C2592" s="33"/>
      <c r="D2592" s="34"/>
      <c r="E2592" s="34"/>
      <c r="F2592" s="34"/>
      <c r="G2592" s="34"/>
      <c r="H2592" s="34"/>
      <c r="I2592" s="34"/>
      <c r="J2592" s="34"/>
      <c r="K2592" s="34"/>
      <c r="L2592" s="34"/>
      <c r="M2592" s="34"/>
      <c r="N2592" s="34"/>
      <c r="O2592" s="34"/>
      <c r="AA2592" s="35"/>
      <c r="AB2592" s="35"/>
      <c r="AC2592" s="34"/>
      <c r="AD2592" s="34"/>
      <c r="AE2592" s="34"/>
    </row>
    <row r="2593" spans="1:31" ht="15" thickBot="1" x14ac:dyDescent="0.4">
      <c r="A2593" s="45"/>
      <c r="B2593" s="45"/>
      <c r="C2593" s="46"/>
      <c r="D2593" s="47"/>
      <c r="E2593" s="47"/>
      <c r="F2593" s="47"/>
      <c r="G2593" s="47"/>
      <c r="H2593" s="47"/>
      <c r="I2593" s="47"/>
      <c r="J2593" s="47"/>
      <c r="K2593" s="47"/>
      <c r="L2593" s="47"/>
      <c r="M2593" s="47"/>
      <c r="N2593" s="47"/>
      <c r="O2593" s="47"/>
      <c r="P2593" s="47"/>
      <c r="Q2593" s="47"/>
      <c r="R2593" s="47"/>
      <c r="S2593" s="47"/>
      <c r="T2593" s="45"/>
      <c r="U2593" s="45"/>
      <c r="V2593" s="45"/>
      <c r="W2593" s="45"/>
      <c r="X2593" s="47"/>
      <c r="Y2593" s="45"/>
      <c r="Z2593" s="45"/>
      <c r="AA2593" s="48"/>
      <c r="AB2593" s="48"/>
      <c r="AC2593" s="47"/>
      <c r="AD2593" s="47"/>
      <c r="AE2593" s="47"/>
    </row>
    <row r="2594" spans="1:31" x14ac:dyDescent="0.35">
      <c r="A2594" s="41"/>
      <c r="B2594" s="41"/>
      <c r="C2594" s="42"/>
      <c r="D2594" s="43"/>
      <c r="E2594" s="43"/>
      <c r="F2594" s="43"/>
      <c r="G2594" s="43"/>
      <c r="H2594" s="43"/>
      <c r="I2594" s="43"/>
      <c r="J2594" s="43"/>
      <c r="K2594" s="43"/>
      <c r="L2594" s="43"/>
      <c r="M2594" s="43"/>
      <c r="N2594" s="43"/>
      <c r="O2594" s="43"/>
      <c r="P2594" s="43"/>
      <c r="Q2594" s="43"/>
      <c r="R2594" s="43"/>
      <c r="S2594" s="43"/>
      <c r="T2594" s="43"/>
      <c r="U2594" s="43"/>
      <c r="V2594" s="41"/>
      <c r="W2594" s="41"/>
      <c r="X2594" s="41"/>
      <c r="Y2594" s="41"/>
      <c r="Z2594" s="41"/>
      <c r="AA2594" s="44"/>
      <c r="AB2594" s="44"/>
      <c r="AC2594" s="43"/>
      <c r="AD2594" s="43"/>
      <c r="AE2594" s="43"/>
    </row>
    <row r="2595" spans="1:31" x14ac:dyDescent="0.35">
      <c r="C2595" s="33"/>
      <c r="D2595" s="34"/>
      <c r="E2595" s="34"/>
      <c r="F2595" s="34"/>
      <c r="G2595" s="34"/>
      <c r="H2595" s="34"/>
      <c r="I2595" s="34"/>
      <c r="J2595" s="34"/>
      <c r="K2595" s="34"/>
      <c r="L2595" s="34"/>
      <c r="M2595" s="34"/>
      <c r="N2595" s="34"/>
      <c r="O2595" s="34"/>
      <c r="AA2595" s="35"/>
      <c r="AB2595" s="35"/>
      <c r="AC2595" s="34"/>
      <c r="AD2595" s="34"/>
      <c r="AE2595" s="34"/>
    </row>
    <row r="2596" spans="1:31" ht="15" thickBot="1" x14ac:dyDescent="0.4">
      <c r="A2596" s="45"/>
      <c r="B2596" s="45"/>
      <c r="C2596" s="46"/>
      <c r="D2596" s="47"/>
      <c r="E2596" s="47"/>
      <c r="F2596" s="47"/>
      <c r="G2596" s="47"/>
      <c r="H2596" s="47"/>
      <c r="I2596" s="47"/>
      <c r="J2596" s="47"/>
      <c r="K2596" s="47"/>
      <c r="L2596" s="47"/>
      <c r="M2596" s="47"/>
      <c r="N2596" s="47"/>
      <c r="O2596" s="47"/>
      <c r="P2596" s="47"/>
      <c r="Q2596" s="47"/>
      <c r="R2596" s="47"/>
      <c r="S2596" s="47"/>
      <c r="T2596" s="45"/>
      <c r="U2596" s="45"/>
      <c r="V2596" s="45"/>
      <c r="W2596" s="45"/>
      <c r="X2596" s="47"/>
      <c r="Y2596" s="45"/>
      <c r="Z2596" s="45"/>
      <c r="AA2596" s="48"/>
      <c r="AB2596" s="48"/>
      <c r="AC2596" s="47"/>
      <c r="AD2596" s="47"/>
      <c r="AE2596" s="47"/>
    </row>
    <row r="2597" spans="1:31" x14ac:dyDescent="0.35">
      <c r="A2597" s="41"/>
      <c r="B2597" s="41"/>
      <c r="C2597" s="42"/>
      <c r="D2597" s="43"/>
      <c r="E2597" s="43"/>
      <c r="F2597" s="43"/>
      <c r="G2597" s="43"/>
      <c r="H2597" s="43"/>
      <c r="I2597" s="43"/>
      <c r="J2597" s="43"/>
      <c r="K2597" s="43"/>
      <c r="L2597" s="43"/>
      <c r="M2597" s="43"/>
      <c r="N2597" s="43"/>
      <c r="O2597" s="43"/>
      <c r="P2597" s="43"/>
      <c r="Q2597" s="43"/>
      <c r="R2597" s="43"/>
      <c r="S2597" s="43"/>
      <c r="T2597" s="43"/>
      <c r="U2597" s="43"/>
      <c r="V2597" s="41"/>
      <c r="W2597" s="41"/>
      <c r="X2597" s="41"/>
      <c r="Y2597" s="41"/>
      <c r="Z2597" s="41"/>
      <c r="AA2597" s="44"/>
      <c r="AB2597" s="44"/>
      <c r="AC2597" s="43"/>
      <c r="AD2597" s="43"/>
      <c r="AE2597" s="43"/>
    </row>
    <row r="2598" spans="1:31" x14ac:dyDescent="0.35">
      <c r="C2598" s="33"/>
      <c r="D2598" s="34"/>
      <c r="E2598" s="34"/>
      <c r="F2598" s="34"/>
      <c r="G2598" s="34"/>
      <c r="H2598" s="34"/>
      <c r="I2598" s="34"/>
      <c r="J2598" s="34"/>
      <c r="K2598" s="34"/>
      <c r="L2598" s="34"/>
      <c r="M2598" s="34"/>
      <c r="N2598" s="34"/>
      <c r="O2598" s="34"/>
      <c r="AA2598" s="35"/>
      <c r="AB2598" s="35"/>
      <c r="AC2598" s="34"/>
      <c r="AD2598" s="34"/>
      <c r="AE2598" s="34"/>
    </row>
    <row r="2599" spans="1:31" ht="15" thickBot="1" x14ac:dyDescent="0.4">
      <c r="A2599" s="45"/>
      <c r="B2599" s="45"/>
      <c r="C2599" s="46"/>
      <c r="D2599" s="47"/>
      <c r="E2599" s="47"/>
      <c r="F2599" s="47"/>
      <c r="G2599" s="47"/>
      <c r="H2599" s="47"/>
      <c r="I2599" s="47"/>
      <c r="J2599" s="47"/>
      <c r="K2599" s="47"/>
      <c r="L2599" s="47"/>
      <c r="M2599" s="47"/>
      <c r="N2599" s="47"/>
      <c r="O2599" s="47"/>
      <c r="P2599" s="47"/>
      <c r="Q2599" s="47"/>
      <c r="R2599" s="47"/>
      <c r="S2599" s="47"/>
      <c r="T2599" s="45"/>
      <c r="U2599" s="45"/>
      <c r="V2599" s="45"/>
      <c r="W2599" s="45"/>
      <c r="X2599" s="47"/>
      <c r="Y2599" s="45"/>
      <c r="Z2599" s="45"/>
      <c r="AA2599" s="48"/>
      <c r="AB2599" s="48"/>
      <c r="AC2599" s="47"/>
      <c r="AD2599" s="47"/>
      <c r="AE2599" s="47"/>
    </row>
    <row r="2600" spans="1:31" x14ac:dyDescent="0.35">
      <c r="A2600" s="41"/>
      <c r="B2600" s="41"/>
      <c r="C2600" s="42"/>
      <c r="D2600" s="43"/>
      <c r="E2600" s="43"/>
      <c r="F2600" s="43"/>
      <c r="G2600" s="43"/>
      <c r="H2600" s="43"/>
      <c r="I2600" s="43"/>
      <c r="J2600" s="43"/>
      <c r="K2600" s="43"/>
      <c r="L2600" s="43"/>
      <c r="M2600" s="43"/>
      <c r="N2600" s="43"/>
      <c r="O2600" s="43"/>
      <c r="P2600" s="43"/>
      <c r="Q2600" s="43"/>
      <c r="R2600" s="43"/>
      <c r="S2600" s="43"/>
      <c r="T2600" s="43"/>
      <c r="U2600" s="43"/>
      <c r="V2600" s="41"/>
      <c r="W2600" s="41"/>
      <c r="X2600" s="41"/>
      <c r="Y2600" s="41"/>
      <c r="Z2600" s="41"/>
      <c r="AA2600" s="44"/>
      <c r="AB2600" s="44"/>
      <c r="AC2600" s="43"/>
      <c r="AD2600" s="43"/>
      <c r="AE2600" s="43"/>
    </row>
    <row r="2601" spans="1:31" x14ac:dyDescent="0.35">
      <c r="C2601" s="33"/>
      <c r="D2601" s="34"/>
      <c r="E2601" s="34"/>
      <c r="F2601" s="34"/>
      <c r="G2601" s="34"/>
      <c r="H2601" s="34"/>
      <c r="I2601" s="34"/>
      <c r="J2601" s="34"/>
      <c r="K2601" s="34"/>
      <c r="L2601" s="34"/>
      <c r="M2601" s="34"/>
      <c r="N2601" s="34"/>
      <c r="O2601" s="34"/>
      <c r="AA2601" s="35"/>
      <c r="AB2601" s="35"/>
      <c r="AC2601" s="34"/>
      <c r="AD2601" s="34"/>
      <c r="AE2601" s="34"/>
    </row>
    <row r="2602" spans="1:31" ht="15" thickBot="1" x14ac:dyDescent="0.4">
      <c r="A2602" s="45"/>
      <c r="B2602" s="45"/>
      <c r="C2602" s="46"/>
      <c r="D2602" s="47"/>
      <c r="E2602" s="47"/>
      <c r="F2602" s="47"/>
      <c r="G2602" s="47"/>
      <c r="H2602" s="47"/>
      <c r="I2602" s="47"/>
      <c r="J2602" s="47"/>
      <c r="K2602" s="47"/>
      <c r="L2602" s="47"/>
      <c r="M2602" s="47"/>
      <c r="N2602" s="47"/>
      <c r="O2602" s="47"/>
      <c r="P2602" s="47"/>
      <c r="Q2602" s="47"/>
      <c r="R2602" s="47"/>
      <c r="S2602" s="47"/>
      <c r="T2602" s="45"/>
      <c r="U2602" s="45"/>
      <c r="V2602" s="45"/>
      <c r="W2602" s="45"/>
      <c r="X2602" s="47"/>
      <c r="Y2602" s="45"/>
      <c r="Z2602" s="45"/>
      <c r="AA2602" s="48"/>
      <c r="AB2602" s="48"/>
      <c r="AC2602" s="47"/>
      <c r="AD2602" s="47"/>
      <c r="AE2602" s="47"/>
    </row>
    <row r="2603" spans="1:31" x14ac:dyDescent="0.35">
      <c r="A2603" s="41"/>
      <c r="B2603" s="41"/>
      <c r="C2603" s="42"/>
      <c r="D2603" s="43"/>
      <c r="E2603" s="43"/>
      <c r="F2603" s="43"/>
      <c r="G2603" s="43"/>
      <c r="H2603" s="43"/>
      <c r="I2603" s="43"/>
      <c r="J2603" s="43"/>
      <c r="K2603" s="43"/>
      <c r="L2603" s="43"/>
      <c r="M2603" s="43"/>
      <c r="N2603" s="43"/>
      <c r="O2603" s="43"/>
      <c r="P2603" s="43"/>
      <c r="Q2603" s="43"/>
      <c r="R2603" s="43"/>
      <c r="S2603" s="43"/>
      <c r="T2603" s="43"/>
      <c r="U2603" s="43"/>
      <c r="V2603" s="41"/>
      <c r="W2603" s="41"/>
      <c r="X2603" s="41"/>
      <c r="Y2603" s="41"/>
      <c r="Z2603" s="41"/>
      <c r="AA2603" s="44"/>
      <c r="AB2603" s="44"/>
      <c r="AC2603" s="43"/>
      <c r="AD2603" s="43"/>
      <c r="AE2603" s="43"/>
    </row>
    <row r="2604" spans="1:31" x14ac:dyDescent="0.35">
      <c r="C2604" s="33"/>
      <c r="D2604" s="34"/>
      <c r="E2604" s="34"/>
      <c r="F2604" s="34"/>
      <c r="G2604" s="34"/>
      <c r="H2604" s="34"/>
      <c r="I2604" s="34"/>
      <c r="J2604" s="34"/>
      <c r="K2604" s="34"/>
      <c r="L2604" s="34"/>
      <c r="M2604" s="34"/>
      <c r="N2604" s="34"/>
      <c r="O2604" s="34"/>
      <c r="AA2604" s="35"/>
      <c r="AB2604" s="35"/>
      <c r="AC2604" s="34"/>
      <c r="AD2604" s="34"/>
      <c r="AE2604" s="34"/>
    </row>
    <row r="2605" spans="1:31" ht="15" thickBot="1" x14ac:dyDescent="0.4">
      <c r="A2605" s="45"/>
      <c r="B2605" s="45"/>
      <c r="C2605" s="46"/>
      <c r="D2605" s="47"/>
      <c r="E2605" s="47"/>
      <c r="F2605" s="47"/>
      <c r="G2605" s="47"/>
      <c r="H2605" s="47"/>
      <c r="I2605" s="47"/>
      <c r="J2605" s="47"/>
      <c r="K2605" s="47"/>
      <c r="L2605" s="47"/>
      <c r="M2605" s="47"/>
      <c r="N2605" s="47"/>
      <c r="O2605" s="47"/>
      <c r="P2605" s="47"/>
      <c r="Q2605" s="47"/>
      <c r="R2605" s="47"/>
      <c r="S2605" s="47"/>
      <c r="T2605" s="45"/>
      <c r="U2605" s="45"/>
      <c r="V2605" s="45"/>
      <c r="W2605" s="45"/>
      <c r="X2605" s="47"/>
      <c r="Y2605" s="45"/>
      <c r="Z2605" s="45"/>
      <c r="AA2605" s="48"/>
      <c r="AB2605" s="48"/>
      <c r="AC2605" s="47"/>
      <c r="AD2605" s="47"/>
      <c r="AE2605" s="47"/>
    </row>
    <row r="2606" spans="1:31" x14ac:dyDescent="0.35">
      <c r="A2606" s="41"/>
      <c r="B2606" s="41"/>
      <c r="C2606" s="42"/>
      <c r="D2606" s="43"/>
      <c r="E2606" s="43"/>
      <c r="F2606" s="43"/>
      <c r="G2606" s="43"/>
      <c r="H2606" s="43"/>
      <c r="I2606" s="43"/>
      <c r="J2606" s="43"/>
      <c r="K2606" s="43"/>
      <c r="L2606" s="43"/>
      <c r="M2606" s="43"/>
      <c r="N2606" s="43"/>
      <c r="O2606" s="43"/>
      <c r="P2606" s="43"/>
      <c r="Q2606" s="43"/>
      <c r="R2606" s="43"/>
      <c r="S2606" s="43"/>
      <c r="T2606" s="43"/>
      <c r="U2606" s="43"/>
      <c r="V2606" s="41"/>
      <c r="W2606" s="41"/>
      <c r="X2606" s="41"/>
      <c r="Y2606" s="41"/>
      <c r="Z2606" s="41"/>
      <c r="AA2606" s="44"/>
      <c r="AB2606" s="44"/>
      <c r="AC2606" s="43"/>
      <c r="AD2606" s="43"/>
      <c r="AE2606" s="43"/>
    </row>
    <row r="2607" spans="1:31" x14ac:dyDescent="0.35">
      <c r="C2607" s="33"/>
      <c r="D2607" s="34"/>
      <c r="E2607" s="34"/>
      <c r="F2607" s="34"/>
      <c r="G2607" s="34"/>
      <c r="H2607" s="34"/>
      <c r="I2607" s="34"/>
      <c r="J2607" s="34"/>
      <c r="K2607" s="34"/>
      <c r="L2607" s="34"/>
      <c r="M2607" s="34"/>
      <c r="N2607" s="34"/>
      <c r="O2607" s="34"/>
      <c r="AA2607" s="35"/>
      <c r="AB2607" s="35"/>
      <c r="AC2607" s="34"/>
      <c r="AD2607" s="34"/>
      <c r="AE2607" s="34"/>
    </row>
    <row r="2608" spans="1:31" ht="15" thickBot="1" x14ac:dyDescent="0.4">
      <c r="A2608" s="45"/>
      <c r="B2608" s="45"/>
      <c r="C2608" s="46"/>
      <c r="D2608" s="47"/>
      <c r="E2608" s="47"/>
      <c r="F2608" s="47"/>
      <c r="G2608" s="47"/>
      <c r="H2608" s="47"/>
      <c r="I2608" s="47"/>
      <c r="J2608" s="47"/>
      <c r="K2608" s="47"/>
      <c r="L2608" s="47"/>
      <c r="M2608" s="47"/>
      <c r="N2608" s="47"/>
      <c r="O2608" s="47"/>
      <c r="P2608" s="47"/>
      <c r="Q2608" s="47"/>
      <c r="R2608" s="47"/>
      <c r="S2608" s="47"/>
      <c r="T2608" s="45"/>
      <c r="U2608" s="45"/>
      <c r="V2608" s="45"/>
      <c r="W2608" s="45"/>
      <c r="X2608" s="47"/>
      <c r="Y2608" s="45"/>
      <c r="Z2608" s="45"/>
      <c r="AA2608" s="48"/>
      <c r="AB2608" s="48"/>
      <c r="AC2608" s="47"/>
      <c r="AD2608" s="47"/>
      <c r="AE2608" s="47"/>
    </row>
    <row r="2609" spans="1:31" x14ac:dyDescent="0.35">
      <c r="A2609" s="41"/>
      <c r="B2609" s="41"/>
      <c r="C2609" s="42"/>
      <c r="D2609" s="43"/>
      <c r="E2609" s="43"/>
      <c r="F2609" s="43"/>
      <c r="G2609" s="43"/>
      <c r="H2609" s="43"/>
      <c r="I2609" s="43"/>
      <c r="J2609" s="43"/>
      <c r="K2609" s="43"/>
      <c r="L2609" s="43"/>
      <c r="M2609" s="43"/>
      <c r="N2609" s="43"/>
      <c r="O2609" s="43"/>
      <c r="P2609" s="43"/>
      <c r="Q2609" s="43"/>
      <c r="R2609" s="43"/>
      <c r="S2609" s="43"/>
      <c r="T2609" s="43"/>
      <c r="U2609" s="43"/>
      <c r="V2609" s="41"/>
      <c r="W2609" s="41"/>
      <c r="X2609" s="41"/>
      <c r="Y2609" s="41"/>
      <c r="Z2609" s="41"/>
      <c r="AA2609" s="44"/>
      <c r="AB2609" s="44"/>
      <c r="AC2609" s="43"/>
      <c r="AD2609" s="43"/>
      <c r="AE2609" s="43"/>
    </row>
    <row r="2610" spans="1:31" x14ac:dyDescent="0.35">
      <c r="C2610" s="33"/>
      <c r="D2610" s="34"/>
      <c r="E2610" s="34"/>
      <c r="F2610" s="34"/>
      <c r="G2610" s="34"/>
      <c r="H2610" s="34"/>
      <c r="I2610" s="34"/>
      <c r="J2610" s="34"/>
      <c r="K2610" s="34"/>
      <c r="L2610" s="34"/>
      <c r="M2610" s="34"/>
      <c r="N2610" s="34"/>
      <c r="O2610" s="34"/>
      <c r="AA2610" s="35"/>
      <c r="AB2610" s="35"/>
      <c r="AC2610" s="34"/>
      <c r="AD2610" s="34"/>
      <c r="AE2610" s="34"/>
    </row>
    <row r="2611" spans="1:31" ht="15" thickBot="1" x14ac:dyDescent="0.4">
      <c r="A2611" s="45"/>
      <c r="B2611" s="45"/>
      <c r="C2611" s="46"/>
      <c r="D2611" s="47"/>
      <c r="E2611" s="47"/>
      <c r="F2611" s="47"/>
      <c r="G2611" s="47"/>
      <c r="H2611" s="47"/>
      <c r="I2611" s="47"/>
      <c r="J2611" s="47"/>
      <c r="K2611" s="47"/>
      <c r="L2611" s="47"/>
      <c r="M2611" s="47"/>
      <c r="N2611" s="47"/>
      <c r="O2611" s="47"/>
      <c r="P2611" s="47"/>
      <c r="Q2611" s="47"/>
      <c r="R2611" s="47"/>
      <c r="S2611" s="47"/>
      <c r="T2611" s="45"/>
      <c r="U2611" s="45"/>
      <c r="V2611" s="45"/>
      <c r="W2611" s="45"/>
      <c r="X2611" s="47"/>
      <c r="Y2611" s="45"/>
      <c r="Z2611" s="45"/>
      <c r="AA2611" s="48"/>
      <c r="AB2611" s="48"/>
      <c r="AC2611" s="47"/>
      <c r="AD2611" s="47"/>
      <c r="AE2611" s="47"/>
    </row>
    <row r="2612" spans="1:31" x14ac:dyDescent="0.35">
      <c r="A2612" s="41"/>
      <c r="B2612" s="41"/>
      <c r="C2612" s="42"/>
      <c r="D2612" s="43"/>
      <c r="E2612" s="43"/>
      <c r="F2612" s="43"/>
      <c r="G2612" s="43"/>
      <c r="H2612" s="43"/>
      <c r="I2612" s="43"/>
      <c r="J2612" s="43"/>
      <c r="K2612" s="43"/>
      <c r="L2612" s="43"/>
      <c r="M2612" s="43"/>
      <c r="N2612" s="43"/>
      <c r="O2612" s="43"/>
      <c r="P2612" s="43"/>
      <c r="Q2612" s="43"/>
      <c r="R2612" s="43"/>
      <c r="S2612" s="43"/>
      <c r="T2612" s="43"/>
      <c r="U2612" s="43"/>
      <c r="V2612" s="41"/>
      <c r="W2612" s="41"/>
      <c r="X2612" s="41"/>
      <c r="Y2612" s="41"/>
      <c r="Z2612" s="41"/>
      <c r="AA2612" s="44"/>
      <c r="AB2612" s="44"/>
      <c r="AC2612" s="43"/>
      <c r="AD2612" s="43"/>
      <c r="AE2612" s="43"/>
    </row>
    <row r="2613" spans="1:31" x14ac:dyDescent="0.35">
      <c r="C2613" s="33"/>
      <c r="D2613" s="34"/>
      <c r="E2613" s="34"/>
      <c r="F2613" s="34"/>
      <c r="G2613" s="34"/>
      <c r="H2613" s="34"/>
      <c r="I2613" s="34"/>
      <c r="J2613" s="34"/>
      <c r="K2613" s="34"/>
      <c r="L2613" s="34"/>
      <c r="M2613" s="34"/>
      <c r="N2613" s="34"/>
      <c r="O2613" s="34"/>
      <c r="AA2613" s="35"/>
      <c r="AB2613" s="35"/>
      <c r="AC2613" s="34"/>
      <c r="AD2613" s="34"/>
      <c r="AE2613" s="34"/>
    </row>
    <row r="2614" spans="1:31" ht="15" thickBot="1" x14ac:dyDescent="0.4">
      <c r="A2614" s="45"/>
      <c r="B2614" s="45"/>
      <c r="C2614" s="46"/>
      <c r="D2614" s="47"/>
      <c r="E2614" s="47"/>
      <c r="F2614" s="47"/>
      <c r="G2614" s="47"/>
      <c r="H2614" s="47"/>
      <c r="I2614" s="47"/>
      <c r="J2614" s="47"/>
      <c r="K2614" s="47"/>
      <c r="L2614" s="47"/>
      <c r="M2614" s="47"/>
      <c r="N2614" s="47"/>
      <c r="O2614" s="47"/>
      <c r="P2614" s="47"/>
      <c r="Q2614" s="47"/>
      <c r="R2614" s="47"/>
      <c r="S2614" s="47"/>
      <c r="T2614" s="45"/>
      <c r="U2614" s="45"/>
      <c r="V2614" s="45"/>
      <c r="W2614" s="45"/>
      <c r="X2614" s="47"/>
      <c r="Y2614" s="45"/>
      <c r="Z2614" s="45"/>
      <c r="AA2614" s="48"/>
      <c r="AB2614" s="48"/>
      <c r="AC2614" s="47"/>
      <c r="AD2614" s="47"/>
      <c r="AE2614" s="47"/>
    </row>
    <row r="2615" spans="1:31" x14ac:dyDescent="0.35">
      <c r="A2615" s="41"/>
      <c r="B2615" s="41"/>
      <c r="C2615" s="42"/>
      <c r="D2615" s="43"/>
      <c r="E2615" s="43"/>
      <c r="F2615" s="43"/>
      <c r="G2615" s="43"/>
      <c r="H2615" s="43"/>
      <c r="I2615" s="43"/>
      <c r="J2615" s="43"/>
      <c r="K2615" s="43"/>
      <c r="L2615" s="43"/>
      <c r="M2615" s="43"/>
      <c r="N2615" s="43"/>
      <c r="O2615" s="43"/>
      <c r="P2615" s="43"/>
      <c r="Q2615" s="43"/>
      <c r="R2615" s="43"/>
      <c r="S2615" s="43"/>
      <c r="T2615" s="43"/>
      <c r="U2615" s="43"/>
      <c r="V2615" s="41"/>
      <c r="W2615" s="41"/>
      <c r="X2615" s="41"/>
      <c r="Y2615" s="41"/>
      <c r="Z2615" s="41"/>
      <c r="AA2615" s="44"/>
      <c r="AB2615" s="44"/>
      <c r="AC2615" s="43"/>
      <c r="AD2615" s="43"/>
      <c r="AE2615" s="43"/>
    </row>
    <row r="2616" spans="1:31" x14ac:dyDescent="0.35">
      <c r="C2616" s="33"/>
      <c r="D2616" s="34"/>
      <c r="E2616" s="34"/>
      <c r="F2616" s="34"/>
      <c r="G2616" s="34"/>
      <c r="H2616" s="34"/>
      <c r="I2616" s="34"/>
      <c r="J2616" s="34"/>
      <c r="K2616" s="34"/>
      <c r="L2616" s="34"/>
      <c r="M2616" s="34"/>
      <c r="N2616" s="34"/>
      <c r="O2616" s="34"/>
      <c r="AA2616" s="35"/>
      <c r="AB2616" s="35"/>
      <c r="AC2616" s="34"/>
      <c r="AD2616" s="34"/>
      <c r="AE2616" s="34"/>
    </row>
    <row r="2617" spans="1:31" ht="15" thickBot="1" x14ac:dyDescent="0.4">
      <c r="A2617" s="45"/>
      <c r="B2617" s="45"/>
      <c r="C2617" s="46"/>
      <c r="D2617" s="47"/>
      <c r="E2617" s="47"/>
      <c r="F2617" s="47"/>
      <c r="G2617" s="47"/>
      <c r="H2617" s="47"/>
      <c r="I2617" s="47"/>
      <c r="J2617" s="47"/>
      <c r="K2617" s="47"/>
      <c r="L2617" s="47"/>
      <c r="M2617" s="47"/>
      <c r="N2617" s="47"/>
      <c r="O2617" s="47"/>
      <c r="P2617" s="47"/>
      <c r="Q2617" s="47"/>
      <c r="R2617" s="47"/>
      <c r="S2617" s="47"/>
      <c r="T2617" s="45"/>
      <c r="U2617" s="45"/>
      <c r="V2617" s="45"/>
      <c r="W2617" s="45"/>
      <c r="X2617" s="47"/>
      <c r="Y2617" s="45"/>
      <c r="Z2617" s="45"/>
      <c r="AA2617" s="48"/>
      <c r="AB2617" s="48"/>
      <c r="AC2617" s="47"/>
      <c r="AD2617" s="47"/>
      <c r="AE2617" s="47"/>
    </row>
    <row r="2618" spans="1:31" x14ac:dyDescent="0.35">
      <c r="A2618" s="41"/>
      <c r="B2618" s="41"/>
      <c r="C2618" s="42"/>
      <c r="D2618" s="43"/>
      <c r="E2618" s="43"/>
      <c r="F2618" s="43"/>
      <c r="G2618" s="43"/>
      <c r="H2618" s="43"/>
      <c r="I2618" s="43"/>
      <c r="J2618" s="43"/>
      <c r="K2618" s="43"/>
      <c r="L2618" s="43"/>
      <c r="M2618" s="43"/>
      <c r="N2618" s="43"/>
      <c r="O2618" s="43"/>
      <c r="P2618" s="43"/>
      <c r="Q2618" s="43"/>
      <c r="R2618" s="43"/>
      <c r="S2618" s="43"/>
      <c r="T2618" s="43"/>
      <c r="U2618" s="43"/>
      <c r="V2618" s="41"/>
      <c r="W2618" s="41"/>
      <c r="X2618" s="41"/>
      <c r="Y2618" s="41"/>
      <c r="Z2618" s="41"/>
      <c r="AA2618" s="44"/>
      <c r="AB2618" s="44"/>
      <c r="AC2618" s="43"/>
      <c r="AD2618" s="43"/>
      <c r="AE2618" s="43"/>
    </row>
    <row r="2619" spans="1:31" x14ac:dyDescent="0.35">
      <c r="C2619" s="33"/>
      <c r="D2619" s="34"/>
      <c r="E2619" s="34"/>
      <c r="F2619" s="34"/>
      <c r="G2619" s="34"/>
      <c r="H2619" s="34"/>
      <c r="I2619" s="34"/>
      <c r="J2619" s="34"/>
      <c r="K2619" s="34"/>
      <c r="L2619" s="34"/>
      <c r="M2619" s="34"/>
      <c r="N2619" s="34"/>
      <c r="O2619" s="34"/>
      <c r="AA2619" s="35"/>
      <c r="AB2619" s="35"/>
      <c r="AC2619" s="34"/>
      <c r="AD2619" s="34"/>
      <c r="AE2619" s="34"/>
    </row>
    <row r="2620" spans="1:31" ht="15" thickBot="1" x14ac:dyDescent="0.4">
      <c r="A2620" s="45"/>
      <c r="B2620" s="45"/>
      <c r="C2620" s="46"/>
      <c r="D2620" s="47"/>
      <c r="E2620" s="47"/>
      <c r="F2620" s="47"/>
      <c r="G2620" s="47"/>
      <c r="H2620" s="47"/>
      <c r="I2620" s="47"/>
      <c r="J2620" s="47"/>
      <c r="K2620" s="47"/>
      <c r="L2620" s="47"/>
      <c r="M2620" s="47"/>
      <c r="N2620" s="47"/>
      <c r="O2620" s="47"/>
      <c r="P2620" s="47"/>
      <c r="Q2620" s="47"/>
      <c r="R2620" s="47"/>
      <c r="S2620" s="47"/>
      <c r="T2620" s="45"/>
      <c r="U2620" s="45"/>
      <c r="V2620" s="45"/>
      <c r="W2620" s="45"/>
      <c r="X2620" s="47"/>
      <c r="Y2620" s="45"/>
      <c r="Z2620" s="45"/>
      <c r="AA2620" s="48"/>
      <c r="AB2620" s="48"/>
      <c r="AC2620" s="47"/>
      <c r="AD2620" s="47"/>
      <c r="AE2620" s="47"/>
    </row>
    <row r="2621" spans="1:31" x14ac:dyDescent="0.35">
      <c r="A2621" s="41"/>
      <c r="B2621" s="41"/>
      <c r="C2621" s="42"/>
      <c r="D2621" s="43"/>
      <c r="E2621" s="43"/>
      <c r="F2621" s="43"/>
      <c r="G2621" s="43"/>
      <c r="H2621" s="43"/>
      <c r="I2621" s="43"/>
      <c r="J2621" s="43"/>
      <c r="K2621" s="43"/>
      <c r="L2621" s="43"/>
      <c r="M2621" s="43"/>
      <c r="N2621" s="43"/>
      <c r="O2621" s="43"/>
      <c r="P2621" s="43"/>
      <c r="Q2621" s="43"/>
      <c r="R2621" s="43"/>
      <c r="S2621" s="43"/>
      <c r="T2621" s="43"/>
      <c r="U2621" s="43"/>
      <c r="V2621" s="41"/>
      <c r="W2621" s="41"/>
      <c r="X2621" s="41"/>
      <c r="Y2621" s="41"/>
      <c r="Z2621" s="41"/>
      <c r="AA2621" s="44"/>
      <c r="AB2621" s="44"/>
      <c r="AC2621" s="43"/>
      <c r="AD2621" s="43"/>
      <c r="AE2621" s="43"/>
    </row>
    <row r="2622" spans="1:31" x14ac:dyDescent="0.35">
      <c r="C2622" s="33"/>
      <c r="D2622" s="34"/>
      <c r="E2622" s="34"/>
      <c r="F2622" s="34"/>
      <c r="G2622" s="34"/>
      <c r="H2622" s="34"/>
      <c r="I2622" s="34"/>
      <c r="J2622" s="34"/>
      <c r="K2622" s="34"/>
      <c r="L2622" s="34"/>
      <c r="M2622" s="34"/>
      <c r="N2622" s="34"/>
      <c r="O2622" s="34"/>
      <c r="AA2622" s="35"/>
      <c r="AB2622" s="35"/>
      <c r="AC2622" s="34"/>
      <c r="AD2622" s="34"/>
      <c r="AE2622" s="34"/>
    </row>
    <row r="2623" spans="1:31" ht="15" thickBot="1" x14ac:dyDescent="0.4">
      <c r="A2623" s="45"/>
      <c r="B2623" s="45"/>
      <c r="C2623" s="46"/>
      <c r="D2623" s="47"/>
      <c r="E2623" s="47"/>
      <c r="F2623" s="47"/>
      <c r="G2623" s="47"/>
      <c r="H2623" s="47"/>
      <c r="I2623" s="47"/>
      <c r="J2623" s="47"/>
      <c r="K2623" s="47"/>
      <c r="L2623" s="47"/>
      <c r="M2623" s="47"/>
      <c r="N2623" s="47"/>
      <c r="O2623" s="47"/>
      <c r="P2623" s="47"/>
      <c r="Q2623" s="47"/>
      <c r="R2623" s="47"/>
      <c r="S2623" s="47"/>
      <c r="T2623" s="45"/>
      <c r="U2623" s="45"/>
      <c r="V2623" s="45"/>
      <c r="W2623" s="45"/>
      <c r="X2623" s="47"/>
      <c r="Y2623" s="45"/>
      <c r="Z2623" s="45"/>
      <c r="AA2623" s="48"/>
      <c r="AB2623" s="48"/>
      <c r="AC2623" s="47"/>
      <c r="AD2623" s="47"/>
      <c r="AE2623" s="47"/>
    </row>
    <row r="2624" spans="1:31" x14ac:dyDescent="0.35">
      <c r="A2624" s="41"/>
      <c r="B2624" s="41"/>
      <c r="C2624" s="42"/>
      <c r="D2624" s="43"/>
      <c r="E2624" s="43"/>
      <c r="F2624" s="43"/>
      <c r="G2624" s="43"/>
      <c r="H2624" s="43"/>
      <c r="I2624" s="43"/>
      <c r="J2624" s="43"/>
      <c r="K2624" s="43"/>
      <c r="L2624" s="43"/>
      <c r="M2624" s="43"/>
      <c r="N2624" s="43"/>
      <c r="O2624" s="43"/>
      <c r="P2624" s="43"/>
      <c r="Q2624" s="43"/>
      <c r="R2624" s="43"/>
      <c r="S2624" s="43"/>
      <c r="T2624" s="43"/>
      <c r="U2624" s="43"/>
      <c r="V2624" s="41"/>
      <c r="W2624" s="41"/>
      <c r="X2624" s="41"/>
      <c r="Y2624" s="41"/>
      <c r="Z2624" s="41"/>
      <c r="AA2624" s="44"/>
      <c r="AB2624" s="44"/>
      <c r="AC2624" s="43"/>
      <c r="AD2624" s="43"/>
      <c r="AE2624" s="43"/>
    </row>
    <row r="2625" spans="1:31" x14ac:dyDescent="0.35">
      <c r="C2625" s="33"/>
      <c r="D2625" s="34"/>
      <c r="E2625" s="34"/>
      <c r="F2625" s="34"/>
      <c r="G2625" s="34"/>
      <c r="H2625" s="34"/>
      <c r="I2625" s="34"/>
      <c r="J2625" s="34"/>
      <c r="K2625" s="34"/>
      <c r="L2625" s="34"/>
      <c r="M2625" s="34"/>
      <c r="N2625" s="34"/>
      <c r="O2625" s="34"/>
      <c r="AA2625" s="35"/>
      <c r="AB2625" s="35"/>
      <c r="AC2625" s="34"/>
      <c r="AD2625" s="34"/>
      <c r="AE2625" s="34"/>
    </row>
    <row r="2626" spans="1:31" ht="15" thickBot="1" x14ac:dyDescent="0.4">
      <c r="A2626" s="45"/>
      <c r="B2626" s="45"/>
      <c r="C2626" s="46"/>
      <c r="D2626" s="47"/>
      <c r="E2626" s="47"/>
      <c r="F2626" s="47"/>
      <c r="G2626" s="47"/>
      <c r="H2626" s="47"/>
      <c r="I2626" s="47"/>
      <c r="J2626" s="47"/>
      <c r="K2626" s="47"/>
      <c r="L2626" s="47"/>
      <c r="M2626" s="47"/>
      <c r="N2626" s="47"/>
      <c r="O2626" s="47"/>
      <c r="P2626" s="47"/>
      <c r="Q2626" s="47"/>
      <c r="R2626" s="47"/>
      <c r="S2626" s="47"/>
      <c r="T2626" s="45"/>
      <c r="U2626" s="45"/>
      <c r="V2626" s="45"/>
      <c r="W2626" s="45"/>
      <c r="X2626" s="47"/>
      <c r="Y2626" s="45"/>
      <c r="Z2626" s="45"/>
      <c r="AA2626" s="48"/>
      <c r="AB2626" s="48"/>
      <c r="AC2626" s="47"/>
      <c r="AD2626" s="47"/>
      <c r="AE2626" s="47"/>
    </row>
    <row r="2627" spans="1:31" x14ac:dyDescent="0.35">
      <c r="A2627" s="41"/>
      <c r="B2627" s="41"/>
      <c r="C2627" s="42"/>
      <c r="D2627" s="43"/>
      <c r="E2627" s="43"/>
      <c r="F2627" s="43"/>
      <c r="G2627" s="43"/>
      <c r="H2627" s="43"/>
      <c r="I2627" s="43"/>
      <c r="J2627" s="43"/>
      <c r="K2627" s="43"/>
      <c r="L2627" s="43"/>
      <c r="M2627" s="43"/>
      <c r="N2627" s="43"/>
      <c r="O2627" s="43"/>
      <c r="P2627" s="43"/>
      <c r="Q2627" s="43"/>
      <c r="R2627" s="43"/>
      <c r="S2627" s="43"/>
      <c r="T2627" s="43"/>
      <c r="U2627" s="43"/>
      <c r="V2627" s="41"/>
      <c r="W2627" s="41"/>
      <c r="X2627" s="41"/>
      <c r="Y2627" s="41"/>
      <c r="Z2627" s="41"/>
      <c r="AA2627" s="44"/>
      <c r="AB2627" s="44"/>
      <c r="AC2627" s="43"/>
      <c r="AD2627" s="43"/>
      <c r="AE2627" s="43"/>
    </row>
    <row r="2628" spans="1:31" x14ac:dyDescent="0.35">
      <c r="C2628" s="33"/>
      <c r="D2628" s="34"/>
      <c r="E2628" s="34"/>
      <c r="F2628" s="34"/>
      <c r="G2628" s="34"/>
      <c r="H2628" s="34"/>
      <c r="I2628" s="34"/>
      <c r="J2628" s="34"/>
      <c r="K2628" s="34"/>
      <c r="L2628" s="34"/>
      <c r="M2628" s="34"/>
      <c r="N2628" s="34"/>
      <c r="O2628" s="34"/>
      <c r="AA2628" s="35"/>
      <c r="AB2628" s="35"/>
      <c r="AC2628" s="34"/>
      <c r="AD2628" s="34"/>
      <c r="AE2628" s="34"/>
    </row>
    <row r="2629" spans="1:31" ht="15" thickBot="1" x14ac:dyDescent="0.4">
      <c r="A2629" s="45"/>
      <c r="B2629" s="45"/>
      <c r="C2629" s="46"/>
      <c r="D2629" s="47"/>
      <c r="E2629" s="47"/>
      <c r="F2629" s="47"/>
      <c r="G2629" s="47"/>
      <c r="H2629" s="47"/>
      <c r="I2629" s="47"/>
      <c r="J2629" s="47"/>
      <c r="K2629" s="47"/>
      <c r="L2629" s="47"/>
      <c r="M2629" s="47"/>
      <c r="N2629" s="47"/>
      <c r="O2629" s="47"/>
      <c r="P2629" s="47"/>
      <c r="Q2629" s="47"/>
      <c r="R2629" s="47"/>
      <c r="S2629" s="47"/>
      <c r="T2629" s="45"/>
      <c r="U2629" s="45"/>
      <c r="V2629" s="45"/>
      <c r="W2629" s="45"/>
      <c r="X2629" s="47"/>
      <c r="Y2629" s="45"/>
      <c r="Z2629" s="45"/>
      <c r="AA2629" s="48"/>
      <c r="AB2629" s="48"/>
      <c r="AC2629" s="47"/>
      <c r="AD2629" s="47"/>
      <c r="AE2629" s="47"/>
    </row>
    <row r="2630" spans="1:31" x14ac:dyDescent="0.35">
      <c r="A2630" s="41"/>
      <c r="B2630" s="41"/>
      <c r="C2630" s="42"/>
      <c r="D2630" s="43"/>
      <c r="E2630" s="43"/>
      <c r="F2630" s="43"/>
      <c r="G2630" s="43"/>
      <c r="H2630" s="43"/>
      <c r="I2630" s="43"/>
      <c r="J2630" s="43"/>
      <c r="K2630" s="43"/>
      <c r="L2630" s="43"/>
      <c r="M2630" s="43"/>
      <c r="N2630" s="43"/>
      <c r="O2630" s="43"/>
      <c r="P2630" s="43"/>
      <c r="Q2630" s="43"/>
      <c r="R2630" s="43"/>
      <c r="S2630" s="43"/>
      <c r="T2630" s="43"/>
      <c r="U2630" s="43"/>
      <c r="V2630" s="41"/>
      <c r="W2630" s="41"/>
      <c r="X2630" s="41"/>
      <c r="Y2630" s="41"/>
      <c r="Z2630" s="41"/>
      <c r="AA2630" s="44"/>
      <c r="AB2630" s="44"/>
      <c r="AC2630" s="43"/>
      <c r="AD2630" s="43"/>
      <c r="AE2630" s="43"/>
    </row>
    <row r="2631" spans="1:31" x14ac:dyDescent="0.35">
      <c r="C2631" s="33"/>
      <c r="D2631" s="34"/>
      <c r="E2631" s="34"/>
      <c r="F2631" s="34"/>
      <c r="G2631" s="34"/>
      <c r="H2631" s="34"/>
      <c r="I2631" s="34"/>
      <c r="J2631" s="34"/>
      <c r="K2631" s="34"/>
      <c r="L2631" s="34"/>
      <c r="M2631" s="34"/>
      <c r="N2631" s="34"/>
      <c r="O2631" s="34"/>
      <c r="AA2631" s="35"/>
      <c r="AB2631" s="35"/>
      <c r="AC2631" s="34"/>
      <c r="AD2631" s="34"/>
      <c r="AE2631" s="34"/>
    </row>
    <row r="2632" spans="1:31" ht="15" thickBot="1" x14ac:dyDescent="0.4">
      <c r="A2632" s="45"/>
      <c r="B2632" s="45"/>
      <c r="C2632" s="46"/>
      <c r="D2632" s="47"/>
      <c r="E2632" s="47"/>
      <c r="F2632" s="47"/>
      <c r="G2632" s="47"/>
      <c r="H2632" s="47"/>
      <c r="I2632" s="47"/>
      <c r="J2632" s="47"/>
      <c r="K2632" s="47"/>
      <c r="L2632" s="47"/>
      <c r="M2632" s="47"/>
      <c r="N2632" s="47"/>
      <c r="O2632" s="47"/>
      <c r="P2632" s="47"/>
      <c r="Q2632" s="47"/>
      <c r="R2632" s="47"/>
      <c r="S2632" s="47"/>
      <c r="T2632" s="45"/>
      <c r="U2632" s="45"/>
      <c r="V2632" s="45"/>
      <c r="W2632" s="45"/>
      <c r="X2632" s="47"/>
      <c r="Y2632" s="45"/>
      <c r="Z2632" s="45"/>
      <c r="AA2632" s="48"/>
      <c r="AB2632" s="48"/>
      <c r="AC2632" s="47"/>
      <c r="AD2632" s="47"/>
      <c r="AE2632" s="47"/>
    </row>
    <row r="2633" spans="1:31" x14ac:dyDescent="0.35">
      <c r="A2633" s="41"/>
      <c r="B2633" s="41"/>
      <c r="C2633" s="42"/>
      <c r="D2633" s="43"/>
      <c r="E2633" s="43"/>
      <c r="F2633" s="43"/>
      <c r="G2633" s="43"/>
      <c r="H2633" s="43"/>
      <c r="I2633" s="43"/>
      <c r="J2633" s="43"/>
      <c r="K2633" s="43"/>
      <c r="L2633" s="43"/>
      <c r="M2633" s="43"/>
      <c r="N2633" s="43"/>
      <c r="O2633" s="43"/>
      <c r="P2633" s="43"/>
      <c r="Q2633" s="43"/>
      <c r="R2633" s="43"/>
      <c r="S2633" s="43"/>
      <c r="T2633" s="43"/>
      <c r="U2633" s="43"/>
      <c r="V2633" s="41"/>
      <c r="W2633" s="41"/>
      <c r="X2633" s="41"/>
      <c r="Y2633" s="41"/>
      <c r="Z2633" s="41"/>
      <c r="AA2633" s="44"/>
      <c r="AB2633" s="44"/>
      <c r="AC2633" s="43"/>
      <c r="AD2633" s="43"/>
      <c r="AE2633" s="43"/>
    </row>
    <row r="2634" spans="1:31" x14ac:dyDescent="0.35">
      <c r="C2634" s="33"/>
      <c r="D2634" s="34"/>
      <c r="E2634" s="34"/>
      <c r="F2634" s="34"/>
      <c r="G2634" s="34"/>
      <c r="H2634" s="34"/>
      <c r="I2634" s="34"/>
      <c r="J2634" s="34"/>
      <c r="K2634" s="34"/>
      <c r="L2634" s="34"/>
      <c r="M2634" s="34"/>
      <c r="N2634" s="34"/>
      <c r="O2634" s="34"/>
      <c r="AA2634" s="35"/>
      <c r="AB2634" s="35"/>
      <c r="AC2634" s="34"/>
      <c r="AD2634" s="34"/>
      <c r="AE2634" s="34"/>
    </row>
    <row r="2635" spans="1:31" ht="15" thickBot="1" x14ac:dyDescent="0.4">
      <c r="A2635" s="45"/>
      <c r="B2635" s="45"/>
      <c r="C2635" s="46"/>
      <c r="D2635" s="47"/>
      <c r="E2635" s="47"/>
      <c r="F2635" s="47"/>
      <c r="G2635" s="47"/>
      <c r="H2635" s="47"/>
      <c r="I2635" s="47"/>
      <c r="J2635" s="47"/>
      <c r="K2635" s="47"/>
      <c r="L2635" s="47"/>
      <c r="M2635" s="47"/>
      <c r="N2635" s="47"/>
      <c r="O2635" s="47"/>
      <c r="P2635" s="47"/>
      <c r="Q2635" s="47"/>
      <c r="R2635" s="47"/>
      <c r="S2635" s="47"/>
      <c r="T2635" s="45"/>
      <c r="U2635" s="45"/>
      <c r="V2635" s="45"/>
      <c r="W2635" s="45"/>
      <c r="X2635" s="47"/>
      <c r="Y2635" s="45"/>
      <c r="Z2635" s="45"/>
      <c r="AA2635" s="48"/>
      <c r="AB2635" s="48"/>
      <c r="AC2635" s="47"/>
      <c r="AD2635" s="47"/>
      <c r="AE2635" s="47"/>
    </row>
    <row r="2636" spans="1:31" x14ac:dyDescent="0.35">
      <c r="A2636" s="41"/>
      <c r="B2636" s="41"/>
      <c r="C2636" s="42"/>
      <c r="D2636" s="43"/>
      <c r="E2636" s="43"/>
      <c r="F2636" s="43"/>
      <c r="G2636" s="43"/>
      <c r="H2636" s="43"/>
      <c r="I2636" s="43"/>
      <c r="J2636" s="43"/>
      <c r="K2636" s="43"/>
      <c r="L2636" s="43"/>
      <c r="M2636" s="43"/>
      <c r="N2636" s="43"/>
      <c r="O2636" s="43"/>
      <c r="P2636" s="43"/>
      <c r="Q2636" s="43"/>
      <c r="R2636" s="43"/>
      <c r="S2636" s="43"/>
      <c r="T2636" s="43"/>
      <c r="U2636" s="43"/>
      <c r="V2636" s="41"/>
      <c r="W2636" s="41"/>
      <c r="X2636" s="41"/>
      <c r="Y2636" s="41"/>
      <c r="Z2636" s="41"/>
      <c r="AA2636" s="44"/>
      <c r="AB2636" s="44"/>
      <c r="AC2636" s="43"/>
      <c r="AD2636" s="43"/>
      <c r="AE2636" s="43"/>
    </row>
    <row r="2637" spans="1:31" x14ac:dyDescent="0.35">
      <c r="C2637" s="33"/>
      <c r="D2637" s="34"/>
      <c r="E2637" s="34"/>
      <c r="F2637" s="34"/>
      <c r="G2637" s="34"/>
      <c r="H2637" s="34"/>
      <c r="I2637" s="34"/>
      <c r="J2637" s="34"/>
      <c r="K2637" s="34"/>
      <c r="L2637" s="34"/>
      <c r="M2637" s="34"/>
      <c r="N2637" s="34"/>
      <c r="O2637" s="34"/>
      <c r="AA2637" s="35"/>
      <c r="AB2637" s="35"/>
      <c r="AC2637" s="34"/>
      <c r="AD2637" s="34"/>
      <c r="AE2637" s="34"/>
    </row>
    <row r="2638" spans="1:31" ht="15" thickBot="1" x14ac:dyDescent="0.4">
      <c r="A2638" s="45"/>
      <c r="B2638" s="45"/>
      <c r="C2638" s="46"/>
      <c r="D2638" s="47"/>
      <c r="E2638" s="47"/>
      <c r="F2638" s="47"/>
      <c r="G2638" s="47"/>
      <c r="H2638" s="47"/>
      <c r="I2638" s="47"/>
      <c r="J2638" s="47"/>
      <c r="K2638" s="47"/>
      <c r="L2638" s="47"/>
      <c r="M2638" s="47"/>
      <c r="N2638" s="47"/>
      <c r="O2638" s="47"/>
      <c r="P2638" s="47"/>
      <c r="Q2638" s="47"/>
      <c r="R2638" s="47"/>
      <c r="S2638" s="47"/>
      <c r="T2638" s="45"/>
      <c r="U2638" s="45"/>
      <c r="V2638" s="45"/>
      <c r="W2638" s="45"/>
      <c r="X2638" s="47"/>
      <c r="Y2638" s="45"/>
      <c r="Z2638" s="45"/>
      <c r="AA2638" s="48"/>
      <c r="AB2638" s="48"/>
      <c r="AC2638" s="47"/>
      <c r="AD2638" s="47"/>
      <c r="AE2638" s="47"/>
    </row>
    <row r="2639" spans="1:31" x14ac:dyDescent="0.35">
      <c r="A2639" s="41"/>
      <c r="B2639" s="41"/>
      <c r="C2639" s="42"/>
      <c r="D2639" s="43"/>
      <c r="E2639" s="43"/>
      <c r="F2639" s="43"/>
      <c r="G2639" s="43"/>
      <c r="H2639" s="43"/>
      <c r="I2639" s="43"/>
      <c r="J2639" s="43"/>
      <c r="K2639" s="43"/>
      <c r="L2639" s="43"/>
      <c r="M2639" s="43"/>
      <c r="N2639" s="43"/>
      <c r="O2639" s="43"/>
      <c r="P2639" s="43"/>
      <c r="Q2639" s="43"/>
      <c r="R2639" s="43"/>
      <c r="S2639" s="43"/>
      <c r="T2639" s="43"/>
      <c r="U2639" s="43"/>
      <c r="V2639" s="41"/>
      <c r="W2639" s="41"/>
      <c r="X2639" s="41"/>
      <c r="Y2639" s="41"/>
      <c r="Z2639" s="41"/>
      <c r="AA2639" s="44"/>
      <c r="AB2639" s="44"/>
      <c r="AC2639" s="43"/>
      <c r="AD2639" s="43"/>
      <c r="AE2639" s="43"/>
    </row>
    <row r="2640" spans="1:31" x14ac:dyDescent="0.35">
      <c r="C2640" s="33"/>
      <c r="D2640" s="34"/>
      <c r="E2640" s="34"/>
      <c r="F2640" s="34"/>
      <c r="G2640" s="34"/>
      <c r="H2640" s="34"/>
      <c r="I2640" s="34"/>
      <c r="J2640" s="34"/>
      <c r="K2640" s="34"/>
      <c r="L2640" s="34"/>
      <c r="M2640" s="34"/>
      <c r="N2640" s="34"/>
      <c r="O2640" s="34"/>
      <c r="AA2640" s="35"/>
      <c r="AB2640" s="35"/>
      <c r="AC2640" s="34"/>
      <c r="AD2640" s="34"/>
      <c r="AE2640" s="34"/>
    </row>
    <row r="2641" spans="1:31" ht="15" thickBot="1" x14ac:dyDescent="0.4">
      <c r="A2641" s="45"/>
      <c r="B2641" s="45"/>
      <c r="C2641" s="46"/>
      <c r="D2641" s="47"/>
      <c r="E2641" s="47"/>
      <c r="F2641" s="47"/>
      <c r="G2641" s="47"/>
      <c r="H2641" s="47"/>
      <c r="I2641" s="47"/>
      <c r="J2641" s="47"/>
      <c r="K2641" s="47"/>
      <c r="L2641" s="47"/>
      <c r="M2641" s="47"/>
      <c r="N2641" s="47"/>
      <c r="O2641" s="47"/>
      <c r="P2641" s="47"/>
      <c r="Q2641" s="47"/>
      <c r="R2641" s="47"/>
      <c r="S2641" s="47"/>
      <c r="T2641" s="45"/>
      <c r="U2641" s="45"/>
      <c r="V2641" s="45"/>
      <c r="W2641" s="45"/>
      <c r="X2641" s="47"/>
      <c r="Y2641" s="45"/>
      <c r="Z2641" s="45"/>
      <c r="AA2641" s="48"/>
      <c r="AB2641" s="48"/>
      <c r="AC2641" s="47"/>
      <c r="AD2641" s="47"/>
      <c r="AE2641" s="47"/>
    </row>
    <row r="2642" spans="1:31" x14ac:dyDescent="0.35">
      <c r="A2642" s="41"/>
      <c r="B2642" s="41"/>
      <c r="C2642" s="42"/>
      <c r="D2642" s="43"/>
      <c r="E2642" s="43"/>
      <c r="F2642" s="43"/>
      <c r="G2642" s="43"/>
      <c r="H2642" s="43"/>
      <c r="I2642" s="43"/>
      <c r="J2642" s="43"/>
      <c r="K2642" s="43"/>
      <c r="L2642" s="43"/>
      <c r="M2642" s="43"/>
      <c r="N2642" s="43"/>
      <c r="O2642" s="43"/>
      <c r="P2642" s="43"/>
      <c r="Q2642" s="43"/>
      <c r="R2642" s="43"/>
      <c r="S2642" s="43"/>
      <c r="T2642" s="43"/>
      <c r="U2642" s="43"/>
      <c r="V2642" s="41"/>
      <c r="W2642" s="41"/>
      <c r="X2642" s="41"/>
      <c r="Y2642" s="41"/>
      <c r="Z2642" s="41"/>
      <c r="AA2642" s="44"/>
      <c r="AB2642" s="44"/>
      <c r="AC2642" s="43"/>
      <c r="AD2642" s="43"/>
      <c r="AE2642" s="43"/>
    </row>
    <row r="2643" spans="1:31" x14ac:dyDescent="0.35">
      <c r="C2643" s="33"/>
      <c r="D2643" s="34"/>
      <c r="E2643" s="34"/>
      <c r="F2643" s="34"/>
      <c r="G2643" s="34"/>
      <c r="H2643" s="34"/>
      <c r="I2643" s="34"/>
      <c r="J2643" s="34"/>
      <c r="K2643" s="34"/>
      <c r="L2643" s="34"/>
      <c r="M2643" s="34"/>
      <c r="N2643" s="34"/>
      <c r="O2643" s="34"/>
      <c r="AA2643" s="35"/>
      <c r="AB2643" s="35"/>
      <c r="AC2643" s="34"/>
      <c r="AD2643" s="34"/>
      <c r="AE2643" s="34"/>
    </row>
    <row r="2644" spans="1:31" ht="15" thickBot="1" x14ac:dyDescent="0.4">
      <c r="A2644" s="45"/>
      <c r="B2644" s="45"/>
      <c r="C2644" s="46"/>
      <c r="D2644" s="47"/>
      <c r="E2644" s="47"/>
      <c r="F2644" s="47"/>
      <c r="G2644" s="47"/>
      <c r="H2644" s="47"/>
      <c r="I2644" s="47"/>
      <c r="J2644" s="47"/>
      <c r="K2644" s="47"/>
      <c r="L2644" s="47"/>
      <c r="M2644" s="47"/>
      <c r="N2644" s="47"/>
      <c r="O2644" s="47"/>
      <c r="P2644" s="47"/>
      <c r="Q2644" s="47"/>
      <c r="R2644" s="47"/>
      <c r="S2644" s="47"/>
      <c r="T2644" s="45"/>
      <c r="U2644" s="45"/>
      <c r="V2644" s="45"/>
      <c r="W2644" s="45"/>
      <c r="X2644" s="47"/>
      <c r="Y2644" s="45"/>
      <c r="Z2644" s="45"/>
      <c r="AA2644" s="48"/>
      <c r="AB2644" s="48"/>
      <c r="AC2644" s="47"/>
      <c r="AD2644" s="47"/>
      <c r="AE2644" s="47"/>
    </row>
    <row r="2645" spans="1:31" x14ac:dyDescent="0.35">
      <c r="A2645" s="41"/>
      <c r="B2645" s="41"/>
      <c r="C2645" s="42"/>
      <c r="D2645" s="43"/>
      <c r="E2645" s="43"/>
      <c r="F2645" s="43"/>
      <c r="G2645" s="43"/>
      <c r="H2645" s="43"/>
      <c r="I2645" s="43"/>
      <c r="J2645" s="43"/>
      <c r="K2645" s="43"/>
      <c r="L2645" s="43"/>
      <c r="M2645" s="43"/>
      <c r="N2645" s="43"/>
      <c r="O2645" s="43"/>
      <c r="P2645" s="43"/>
      <c r="Q2645" s="43"/>
      <c r="R2645" s="43"/>
      <c r="S2645" s="43"/>
      <c r="T2645" s="43"/>
      <c r="U2645" s="43"/>
      <c r="V2645" s="41"/>
      <c r="W2645" s="41"/>
      <c r="X2645" s="41"/>
      <c r="Y2645" s="41"/>
      <c r="Z2645" s="41"/>
      <c r="AA2645" s="44"/>
      <c r="AB2645" s="44"/>
      <c r="AC2645" s="43"/>
      <c r="AD2645" s="43"/>
      <c r="AE2645" s="43"/>
    </row>
    <row r="2646" spans="1:31" x14ac:dyDescent="0.35">
      <c r="C2646" s="33"/>
      <c r="D2646" s="34"/>
      <c r="E2646" s="34"/>
      <c r="F2646" s="34"/>
      <c r="G2646" s="34"/>
      <c r="H2646" s="34"/>
      <c r="I2646" s="34"/>
      <c r="J2646" s="34"/>
      <c r="K2646" s="34"/>
      <c r="L2646" s="34"/>
      <c r="M2646" s="34"/>
      <c r="N2646" s="34"/>
      <c r="O2646" s="34"/>
      <c r="AA2646" s="35"/>
      <c r="AB2646" s="35"/>
      <c r="AC2646" s="34"/>
      <c r="AD2646" s="34"/>
      <c r="AE2646" s="34"/>
    </row>
    <row r="2647" spans="1:31" ht="15" thickBot="1" x14ac:dyDescent="0.4">
      <c r="A2647" s="45"/>
      <c r="B2647" s="45"/>
      <c r="C2647" s="46"/>
      <c r="D2647" s="47"/>
      <c r="E2647" s="47"/>
      <c r="F2647" s="47"/>
      <c r="G2647" s="47"/>
      <c r="H2647" s="47"/>
      <c r="I2647" s="47"/>
      <c r="J2647" s="47"/>
      <c r="K2647" s="47"/>
      <c r="L2647" s="47"/>
      <c r="M2647" s="47"/>
      <c r="N2647" s="47"/>
      <c r="O2647" s="47"/>
      <c r="P2647" s="47"/>
      <c r="Q2647" s="47"/>
      <c r="R2647" s="47"/>
      <c r="S2647" s="47"/>
      <c r="T2647" s="45"/>
      <c r="U2647" s="45"/>
      <c r="V2647" s="45"/>
      <c r="W2647" s="45"/>
      <c r="X2647" s="47"/>
      <c r="Y2647" s="45"/>
      <c r="Z2647" s="45"/>
      <c r="AA2647" s="48"/>
      <c r="AB2647" s="48"/>
      <c r="AC2647" s="47"/>
      <c r="AD2647" s="47"/>
      <c r="AE2647" s="47"/>
    </row>
    <row r="2648" spans="1:31" x14ac:dyDescent="0.35">
      <c r="A2648" s="41"/>
      <c r="B2648" s="41"/>
      <c r="C2648" s="42"/>
      <c r="D2648" s="43"/>
      <c r="E2648" s="43"/>
      <c r="F2648" s="43"/>
      <c r="G2648" s="43"/>
      <c r="H2648" s="43"/>
      <c r="I2648" s="43"/>
      <c r="J2648" s="43"/>
      <c r="K2648" s="43"/>
      <c r="L2648" s="43"/>
      <c r="M2648" s="43"/>
      <c r="N2648" s="43"/>
      <c r="O2648" s="43"/>
      <c r="P2648" s="43"/>
      <c r="Q2648" s="43"/>
      <c r="R2648" s="43"/>
      <c r="S2648" s="43"/>
      <c r="T2648" s="43"/>
      <c r="U2648" s="43"/>
      <c r="V2648" s="41"/>
      <c r="W2648" s="41"/>
      <c r="X2648" s="41"/>
      <c r="Y2648" s="41"/>
      <c r="Z2648" s="41"/>
      <c r="AA2648" s="44"/>
      <c r="AB2648" s="44"/>
      <c r="AC2648" s="43"/>
      <c r="AD2648" s="43"/>
      <c r="AE2648" s="43"/>
    </row>
    <row r="2649" spans="1:31" x14ac:dyDescent="0.35">
      <c r="C2649" s="33"/>
      <c r="D2649" s="34"/>
      <c r="E2649" s="34"/>
      <c r="F2649" s="34"/>
      <c r="G2649" s="34"/>
      <c r="H2649" s="34"/>
      <c r="I2649" s="34"/>
      <c r="J2649" s="34"/>
      <c r="K2649" s="34"/>
      <c r="L2649" s="34"/>
      <c r="M2649" s="34"/>
      <c r="N2649" s="34"/>
      <c r="O2649" s="34"/>
      <c r="AA2649" s="35"/>
      <c r="AB2649" s="35"/>
      <c r="AC2649" s="34"/>
      <c r="AD2649" s="34"/>
      <c r="AE2649" s="34"/>
    </row>
    <row r="2650" spans="1:31" ht="15" thickBot="1" x14ac:dyDescent="0.4">
      <c r="A2650" s="45"/>
      <c r="B2650" s="45"/>
      <c r="C2650" s="46"/>
      <c r="D2650" s="47"/>
      <c r="E2650" s="47"/>
      <c r="F2650" s="47"/>
      <c r="G2650" s="47"/>
      <c r="H2650" s="47"/>
      <c r="I2650" s="47"/>
      <c r="J2650" s="47"/>
      <c r="K2650" s="47"/>
      <c r="L2650" s="47"/>
      <c r="M2650" s="47"/>
      <c r="N2650" s="47"/>
      <c r="O2650" s="47"/>
      <c r="P2650" s="47"/>
      <c r="Q2650" s="47"/>
      <c r="R2650" s="47"/>
      <c r="S2650" s="47"/>
      <c r="T2650" s="45"/>
      <c r="U2650" s="45"/>
      <c r="V2650" s="45"/>
      <c r="W2650" s="45"/>
      <c r="X2650" s="47"/>
      <c r="Y2650" s="45"/>
      <c r="Z2650" s="45"/>
      <c r="AA2650" s="48"/>
      <c r="AB2650" s="48"/>
      <c r="AC2650" s="47"/>
      <c r="AD2650" s="47"/>
      <c r="AE2650" s="47"/>
    </row>
    <row r="2651" spans="1:31" x14ac:dyDescent="0.35">
      <c r="A2651" s="41"/>
      <c r="B2651" s="41"/>
      <c r="C2651" s="42"/>
      <c r="D2651" s="43"/>
      <c r="E2651" s="43"/>
      <c r="F2651" s="43"/>
      <c r="G2651" s="43"/>
      <c r="H2651" s="43"/>
      <c r="I2651" s="43"/>
      <c r="J2651" s="43"/>
      <c r="K2651" s="43"/>
      <c r="L2651" s="43"/>
      <c r="M2651" s="43"/>
      <c r="N2651" s="43"/>
      <c r="O2651" s="43"/>
      <c r="P2651" s="43"/>
      <c r="Q2651" s="43"/>
      <c r="R2651" s="43"/>
      <c r="S2651" s="43"/>
      <c r="T2651" s="43"/>
      <c r="U2651" s="43"/>
      <c r="V2651" s="41"/>
      <c r="W2651" s="41"/>
      <c r="X2651" s="41"/>
      <c r="Y2651" s="41"/>
      <c r="Z2651" s="41"/>
      <c r="AA2651" s="44"/>
      <c r="AB2651" s="44"/>
      <c r="AC2651" s="43"/>
      <c r="AD2651" s="43"/>
      <c r="AE2651" s="43"/>
    </row>
    <row r="2652" spans="1:31" x14ac:dyDescent="0.35">
      <c r="C2652" s="33"/>
      <c r="D2652" s="34"/>
      <c r="E2652" s="34"/>
      <c r="F2652" s="34"/>
      <c r="G2652" s="34"/>
      <c r="H2652" s="34"/>
      <c r="I2652" s="34"/>
      <c r="J2652" s="34"/>
      <c r="K2652" s="34"/>
      <c r="L2652" s="34"/>
      <c r="M2652" s="34"/>
      <c r="N2652" s="34"/>
      <c r="O2652" s="34"/>
      <c r="AA2652" s="35"/>
      <c r="AB2652" s="35"/>
      <c r="AC2652" s="34"/>
      <c r="AD2652" s="34"/>
      <c r="AE2652" s="34"/>
    </row>
    <row r="2653" spans="1:31" ht="15" thickBot="1" x14ac:dyDescent="0.4">
      <c r="A2653" s="45"/>
      <c r="B2653" s="45"/>
      <c r="C2653" s="46"/>
      <c r="D2653" s="47"/>
      <c r="E2653" s="47"/>
      <c r="F2653" s="47"/>
      <c r="G2653" s="47"/>
      <c r="H2653" s="47"/>
      <c r="I2653" s="47"/>
      <c r="J2653" s="47"/>
      <c r="K2653" s="47"/>
      <c r="L2653" s="47"/>
      <c r="M2653" s="47"/>
      <c r="N2653" s="47"/>
      <c r="O2653" s="47"/>
      <c r="P2653" s="47"/>
      <c r="Q2653" s="47"/>
      <c r="R2653" s="47"/>
      <c r="S2653" s="47"/>
      <c r="T2653" s="45"/>
      <c r="U2653" s="45"/>
      <c r="V2653" s="45"/>
      <c r="W2653" s="45"/>
      <c r="X2653" s="47"/>
      <c r="Y2653" s="45"/>
      <c r="Z2653" s="45"/>
      <c r="AA2653" s="48"/>
      <c r="AB2653" s="48"/>
      <c r="AC2653" s="47"/>
      <c r="AD2653" s="47"/>
      <c r="AE2653" s="47"/>
    </row>
    <row r="2654" spans="1:31" x14ac:dyDescent="0.35">
      <c r="A2654" s="41"/>
      <c r="B2654" s="41"/>
      <c r="C2654" s="42"/>
      <c r="D2654" s="43"/>
      <c r="E2654" s="43"/>
      <c r="F2654" s="43"/>
      <c r="G2654" s="43"/>
      <c r="H2654" s="43"/>
      <c r="I2654" s="43"/>
      <c r="J2654" s="43"/>
      <c r="K2654" s="43"/>
      <c r="L2654" s="43"/>
      <c r="M2654" s="43"/>
      <c r="N2654" s="43"/>
      <c r="O2654" s="43"/>
      <c r="P2654" s="43"/>
      <c r="Q2654" s="43"/>
      <c r="R2654" s="43"/>
      <c r="S2654" s="43"/>
      <c r="T2654" s="43"/>
      <c r="U2654" s="43"/>
      <c r="V2654" s="41"/>
      <c r="W2654" s="41"/>
      <c r="X2654" s="41"/>
      <c r="Y2654" s="41"/>
      <c r="Z2654" s="41"/>
      <c r="AA2654" s="44"/>
      <c r="AB2654" s="44"/>
      <c r="AC2654" s="43"/>
      <c r="AD2654" s="43"/>
      <c r="AE2654" s="43"/>
    </row>
    <row r="2655" spans="1:31" x14ac:dyDescent="0.35">
      <c r="C2655" s="33"/>
      <c r="D2655" s="34"/>
      <c r="E2655" s="34"/>
      <c r="F2655" s="34"/>
      <c r="G2655" s="34"/>
      <c r="H2655" s="34"/>
      <c r="I2655" s="34"/>
      <c r="J2655" s="34"/>
      <c r="K2655" s="34"/>
      <c r="L2655" s="34"/>
      <c r="M2655" s="34"/>
      <c r="N2655" s="34"/>
      <c r="O2655" s="34"/>
      <c r="AA2655" s="35"/>
      <c r="AB2655" s="35"/>
      <c r="AC2655" s="34"/>
      <c r="AD2655" s="34"/>
      <c r="AE2655" s="34"/>
    </row>
    <row r="2656" spans="1:31" ht="15" thickBot="1" x14ac:dyDescent="0.4">
      <c r="A2656" s="45"/>
      <c r="B2656" s="45"/>
      <c r="C2656" s="46"/>
      <c r="D2656" s="47"/>
      <c r="E2656" s="47"/>
      <c r="F2656" s="47"/>
      <c r="G2656" s="47"/>
      <c r="H2656" s="47"/>
      <c r="I2656" s="47"/>
      <c r="J2656" s="47"/>
      <c r="K2656" s="47"/>
      <c r="L2656" s="47"/>
      <c r="M2656" s="47"/>
      <c r="N2656" s="47"/>
      <c r="O2656" s="47"/>
      <c r="P2656" s="47"/>
      <c r="Q2656" s="47"/>
      <c r="R2656" s="47"/>
      <c r="S2656" s="47"/>
      <c r="T2656" s="45"/>
      <c r="U2656" s="45"/>
      <c r="V2656" s="45"/>
      <c r="W2656" s="45"/>
      <c r="X2656" s="47"/>
      <c r="Y2656" s="45"/>
      <c r="Z2656" s="45"/>
      <c r="AA2656" s="48"/>
      <c r="AB2656" s="48"/>
      <c r="AC2656" s="47"/>
      <c r="AD2656" s="47"/>
      <c r="AE2656" s="47"/>
    </row>
    <row r="2657" spans="1:31" x14ac:dyDescent="0.35">
      <c r="A2657" s="41"/>
      <c r="B2657" s="41"/>
      <c r="C2657" s="42"/>
      <c r="D2657" s="43"/>
      <c r="E2657" s="43"/>
      <c r="F2657" s="43"/>
      <c r="G2657" s="43"/>
      <c r="H2657" s="43"/>
      <c r="I2657" s="43"/>
      <c r="J2657" s="43"/>
      <c r="K2657" s="43"/>
      <c r="L2657" s="43"/>
      <c r="M2657" s="43"/>
      <c r="N2657" s="43"/>
      <c r="O2657" s="43"/>
      <c r="P2657" s="43"/>
      <c r="Q2657" s="43"/>
      <c r="R2657" s="43"/>
      <c r="S2657" s="43"/>
      <c r="T2657" s="43"/>
      <c r="U2657" s="43"/>
      <c r="V2657" s="41"/>
      <c r="W2657" s="41"/>
      <c r="X2657" s="41"/>
      <c r="Y2657" s="41"/>
      <c r="Z2657" s="41"/>
      <c r="AA2657" s="44"/>
      <c r="AB2657" s="44"/>
      <c r="AC2657" s="43"/>
      <c r="AD2657" s="43"/>
      <c r="AE2657" s="43"/>
    </row>
    <row r="2658" spans="1:31" x14ac:dyDescent="0.35">
      <c r="C2658" s="33"/>
      <c r="D2658" s="34"/>
      <c r="E2658" s="34"/>
      <c r="F2658" s="34"/>
      <c r="G2658" s="34"/>
      <c r="H2658" s="34"/>
      <c r="I2658" s="34"/>
      <c r="J2658" s="34"/>
      <c r="K2658" s="34"/>
      <c r="L2658" s="34"/>
      <c r="M2658" s="34"/>
      <c r="N2658" s="34"/>
      <c r="O2658" s="34"/>
      <c r="AA2658" s="35"/>
      <c r="AB2658" s="35"/>
      <c r="AC2658" s="34"/>
      <c r="AD2658" s="34"/>
      <c r="AE2658" s="34"/>
    </row>
    <row r="2659" spans="1:31" ht="15" thickBot="1" x14ac:dyDescent="0.4">
      <c r="A2659" s="45"/>
      <c r="B2659" s="45"/>
      <c r="C2659" s="46"/>
      <c r="D2659" s="47"/>
      <c r="E2659" s="47"/>
      <c r="F2659" s="47"/>
      <c r="G2659" s="47"/>
      <c r="H2659" s="47"/>
      <c r="I2659" s="47"/>
      <c r="J2659" s="47"/>
      <c r="K2659" s="47"/>
      <c r="L2659" s="47"/>
      <c r="M2659" s="47"/>
      <c r="N2659" s="47"/>
      <c r="O2659" s="47"/>
      <c r="P2659" s="47"/>
      <c r="Q2659" s="47"/>
      <c r="R2659" s="47"/>
      <c r="S2659" s="47"/>
      <c r="T2659" s="45"/>
      <c r="U2659" s="45"/>
      <c r="V2659" s="45"/>
      <c r="W2659" s="45"/>
      <c r="X2659" s="47"/>
      <c r="Y2659" s="45"/>
      <c r="Z2659" s="45"/>
      <c r="AA2659" s="48"/>
      <c r="AB2659" s="48"/>
      <c r="AC2659" s="47"/>
      <c r="AD2659" s="47"/>
      <c r="AE2659" s="47"/>
    </row>
    <row r="2660" spans="1:31" x14ac:dyDescent="0.35">
      <c r="A2660" s="41"/>
      <c r="B2660" s="41"/>
      <c r="C2660" s="42"/>
      <c r="D2660" s="43"/>
      <c r="E2660" s="43"/>
      <c r="F2660" s="43"/>
      <c r="G2660" s="43"/>
      <c r="H2660" s="43"/>
      <c r="I2660" s="43"/>
      <c r="J2660" s="43"/>
      <c r="K2660" s="43"/>
      <c r="L2660" s="43"/>
      <c r="M2660" s="43"/>
      <c r="N2660" s="43"/>
      <c r="O2660" s="43"/>
      <c r="P2660" s="43"/>
      <c r="Q2660" s="43"/>
      <c r="R2660" s="43"/>
      <c r="S2660" s="43"/>
      <c r="T2660" s="43"/>
      <c r="U2660" s="43"/>
      <c r="V2660" s="41"/>
      <c r="W2660" s="41"/>
      <c r="X2660" s="41"/>
      <c r="Y2660" s="41"/>
      <c r="Z2660" s="41"/>
      <c r="AA2660" s="44"/>
      <c r="AB2660" s="44"/>
      <c r="AC2660" s="43"/>
      <c r="AD2660" s="43"/>
      <c r="AE2660" s="43"/>
    </row>
    <row r="2661" spans="1:31" x14ac:dyDescent="0.35">
      <c r="C2661" s="33"/>
      <c r="D2661" s="34"/>
      <c r="E2661" s="34"/>
      <c r="F2661" s="34"/>
      <c r="G2661" s="34"/>
      <c r="H2661" s="34"/>
      <c r="I2661" s="34"/>
      <c r="J2661" s="34"/>
      <c r="K2661" s="34"/>
      <c r="L2661" s="34"/>
      <c r="M2661" s="34"/>
      <c r="N2661" s="34"/>
      <c r="O2661" s="34"/>
      <c r="AA2661" s="35"/>
      <c r="AB2661" s="35"/>
      <c r="AC2661" s="34"/>
      <c r="AD2661" s="34"/>
      <c r="AE2661" s="34"/>
    </row>
    <row r="2662" spans="1:31" ht="15" thickBot="1" x14ac:dyDescent="0.4">
      <c r="A2662" s="45"/>
      <c r="B2662" s="45"/>
      <c r="C2662" s="46"/>
      <c r="D2662" s="47"/>
      <c r="E2662" s="47"/>
      <c r="F2662" s="47"/>
      <c r="G2662" s="47"/>
      <c r="H2662" s="47"/>
      <c r="I2662" s="47"/>
      <c r="J2662" s="47"/>
      <c r="K2662" s="47"/>
      <c r="L2662" s="47"/>
      <c r="M2662" s="47"/>
      <c r="N2662" s="47"/>
      <c r="O2662" s="47"/>
      <c r="P2662" s="47"/>
      <c r="Q2662" s="47"/>
      <c r="R2662" s="47"/>
      <c r="S2662" s="47"/>
      <c r="T2662" s="45"/>
      <c r="U2662" s="45"/>
      <c r="V2662" s="45"/>
      <c r="W2662" s="45"/>
      <c r="X2662" s="47"/>
      <c r="Y2662" s="45"/>
      <c r="Z2662" s="45"/>
      <c r="AA2662" s="48"/>
      <c r="AB2662" s="48"/>
      <c r="AC2662" s="47"/>
      <c r="AD2662" s="47"/>
      <c r="AE2662" s="47"/>
    </row>
    <row r="2663" spans="1:31" x14ac:dyDescent="0.35">
      <c r="A2663" s="41"/>
      <c r="B2663" s="41"/>
      <c r="C2663" s="42"/>
      <c r="D2663" s="43"/>
      <c r="E2663" s="43"/>
      <c r="F2663" s="43"/>
      <c r="G2663" s="43"/>
      <c r="H2663" s="43"/>
      <c r="I2663" s="43"/>
      <c r="J2663" s="43"/>
      <c r="K2663" s="43"/>
      <c r="L2663" s="43"/>
      <c r="M2663" s="43"/>
      <c r="N2663" s="43"/>
      <c r="O2663" s="43"/>
      <c r="P2663" s="43"/>
      <c r="Q2663" s="43"/>
      <c r="R2663" s="43"/>
      <c r="S2663" s="43"/>
      <c r="T2663" s="43"/>
      <c r="U2663" s="43"/>
      <c r="V2663" s="41"/>
      <c r="W2663" s="41"/>
      <c r="X2663" s="41"/>
      <c r="Y2663" s="41"/>
      <c r="Z2663" s="41"/>
      <c r="AA2663" s="44"/>
      <c r="AB2663" s="44"/>
      <c r="AC2663" s="43"/>
      <c r="AD2663" s="43"/>
      <c r="AE2663" s="43"/>
    </row>
    <row r="2664" spans="1:31" x14ac:dyDescent="0.35">
      <c r="C2664" s="33"/>
      <c r="D2664" s="34"/>
      <c r="E2664" s="34"/>
      <c r="F2664" s="34"/>
      <c r="G2664" s="34"/>
      <c r="H2664" s="34"/>
      <c r="I2664" s="34"/>
      <c r="J2664" s="34"/>
      <c r="K2664" s="34"/>
      <c r="L2664" s="34"/>
      <c r="M2664" s="34"/>
      <c r="N2664" s="34"/>
      <c r="O2664" s="34"/>
      <c r="AA2664" s="35"/>
      <c r="AB2664" s="35"/>
      <c r="AC2664" s="34"/>
      <c r="AD2664" s="34"/>
      <c r="AE2664" s="34"/>
    </row>
    <row r="2665" spans="1:31" ht="15" thickBot="1" x14ac:dyDescent="0.4">
      <c r="A2665" s="45"/>
      <c r="B2665" s="45"/>
      <c r="C2665" s="46"/>
      <c r="D2665" s="47"/>
      <c r="E2665" s="47"/>
      <c r="F2665" s="47"/>
      <c r="G2665" s="47"/>
      <c r="H2665" s="47"/>
      <c r="I2665" s="47"/>
      <c r="J2665" s="47"/>
      <c r="K2665" s="47"/>
      <c r="L2665" s="47"/>
      <c r="M2665" s="47"/>
      <c r="N2665" s="47"/>
      <c r="O2665" s="47"/>
      <c r="P2665" s="47"/>
      <c r="Q2665" s="47"/>
      <c r="R2665" s="47"/>
      <c r="S2665" s="47"/>
      <c r="T2665" s="45"/>
      <c r="U2665" s="45"/>
      <c r="V2665" s="45"/>
      <c r="W2665" s="45"/>
      <c r="X2665" s="47"/>
      <c r="Y2665" s="45"/>
      <c r="Z2665" s="45"/>
      <c r="AA2665" s="48"/>
      <c r="AB2665" s="48"/>
      <c r="AC2665" s="47"/>
      <c r="AD2665" s="47"/>
      <c r="AE2665" s="47"/>
    </row>
    <row r="2666" spans="1:31" x14ac:dyDescent="0.35">
      <c r="A2666" s="41"/>
      <c r="B2666" s="41"/>
      <c r="C2666" s="42"/>
      <c r="D2666" s="43"/>
      <c r="E2666" s="43"/>
      <c r="F2666" s="43"/>
      <c r="G2666" s="43"/>
      <c r="H2666" s="43"/>
      <c r="I2666" s="43"/>
      <c r="J2666" s="43"/>
      <c r="K2666" s="43"/>
      <c r="L2666" s="43"/>
      <c r="M2666" s="43"/>
      <c r="N2666" s="43"/>
      <c r="O2666" s="43"/>
      <c r="P2666" s="43"/>
      <c r="Q2666" s="43"/>
      <c r="R2666" s="43"/>
      <c r="S2666" s="43"/>
      <c r="T2666" s="43"/>
      <c r="U2666" s="43"/>
      <c r="V2666" s="41"/>
      <c r="W2666" s="41"/>
      <c r="X2666" s="41"/>
      <c r="Y2666" s="41"/>
      <c r="Z2666" s="41"/>
      <c r="AA2666" s="44"/>
      <c r="AB2666" s="44"/>
      <c r="AC2666" s="43"/>
      <c r="AD2666" s="43"/>
      <c r="AE2666" s="43"/>
    </row>
    <row r="2667" spans="1:31" x14ac:dyDescent="0.35">
      <c r="C2667" s="33"/>
      <c r="D2667" s="34"/>
      <c r="E2667" s="34"/>
      <c r="F2667" s="34"/>
      <c r="G2667" s="34"/>
      <c r="H2667" s="34"/>
      <c r="I2667" s="34"/>
      <c r="J2667" s="34"/>
      <c r="K2667" s="34"/>
      <c r="L2667" s="34"/>
      <c r="M2667" s="34"/>
      <c r="N2667" s="34"/>
      <c r="O2667" s="34"/>
      <c r="AA2667" s="35"/>
      <c r="AB2667" s="35"/>
      <c r="AC2667" s="34"/>
      <c r="AD2667" s="34"/>
      <c r="AE2667" s="34"/>
    </row>
    <row r="2668" spans="1:31" ht="15" thickBot="1" x14ac:dyDescent="0.4">
      <c r="A2668" s="45"/>
      <c r="B2668" s="45"/>
      <c r="C2668" s="46"/>
      <c r="D2668" s="47"/>
      <c r="E2668" s="47"/>
      <c r="F2668" s="47"/>
      <c r="G2668" s="47"/>
      <c r="H2668" s="47"/>
      <c r="I2668" s="47"/>
      <c r="J2668" s="47"/>
      <c r="K2668" s="47"/>
      <c r="L2668" s="47"/>
      <c r="M2668" s="47"/>
      <c r="N2668" s="47"/>
      <c r="O2668" s="47"/>
      <c r="P2668" s="47"/>
      <c r="Q2668" s="47"/>
      <c r="R2668" s="47"/>
      <c r="S2668" s="47"/>
      <c r="T2668" s="45"/>
      <c r="U2668" s="45"/>
      <c r="V2668" s="45"/>
      <c r="W2668" s="45"/>
      <c r="X2668" s="47"/>
      <c r="Y2668" s="45"/>
      <c r="Z2668" s="45"/>
      <c r="AA2668" s="48"/>
      <c r="AB2668" s="48"/>
      <c r="AC2668" s="47"/>
      <c r="AD2668" s="47"/>
      <c r="AE2668" s="47"/>
    </row>
    <row r="2669" spans="1:31" x14ac:dyDescent="0.35">
      <c r="A2669" s="41"/>
      <c r="B2669" s="41"/>
      <c r="C2669" s="42"/>
      <c r="D2669" s="43"/>
      <c r="E2669" s="43"/>
      <c r="F2669" s="43"/>
      <c r="G2669" s="43"/>
      <c r="H2669" s="43"/>
      <c r="I2669" s="43"/>
      <c r="J2669" s="43"/>
      <c r="K2669" s="43"/>
      <c r="L2669" s="43"/>
      <c r="M2669" s="43"/>
      <c r="N2669" s="43"/>
      <c r="O2669" s="43"/>
      <c r="P2669" s="43"/>
      <c r="Q2669" s="43"/>
      <c r="R2669" s="43"/>
      <c r="S2669" s="43"/>
      <c r="T2669" s="43"/>
      <c r="U2669" s="43"/>
      <c r="V2669" s="41"/>
      <c r="W2669" s="41"/>
      <c r="X2669" s="41"/>
      <c r="Y2669" s="41"/>
      <c r="Z2669" s="41"/>
      <c r="AA2669" s="44"/>
      <c r="AB2669" s="44"/>
      <c r="AC2669" s="43"/>
      <c r="AD2669" s="43"/>
      <c r="AE2669" s="43"/>
    </row>
    <row r="2670" spans="1:31" x14ac:dyDescent="0.35">
      <c r="C2670" s="33"/>
      <c r="D2670" s="34"/>
      <c r="E2670" s="34"/>
      <c r="F2670" s="34"/>
      <c r="G2670" s="34"/>
      <c r="H2670" s="34"/>
      <c r="I2670" s="34"/>
      <c r="J2670" s="34"/>
      <c r="K2670" s="34"/>
      <c r="L2670" s="34"/>
      <c r="M2670" s="34"/>
      <c r="N2670" s="34"/>
      <c r="O2670" s="34"/>
      <c r="AA2670" s="35"/>
      <c r="AB2670" s="35"/>
      <c r="AC2670" s="34"/>
      <c r="AD2670" s="34"/>
      <c r="AE2670" s="34"/>
    </row>
    <row r="2671" spans="1:31" ht="15" thickBot="1" x14ac:dyDescent="0.4">
      <c r="A2671" s="45"/>
      <c r="B2671" s="45"/>
      <c r="C2671" s="46"/>
      <c r="D2671" s="47"/>
      <c r="E2671" s="47"/>
      <c r="F2671" s="47"/>
      <c r="G2671" s="47"/>
      <c r="H2671" s="47"/>
      <c r="I2671" s="47"/>
      <c r="J2671" s="47"/>
      <c r="K2671" s="47"/>
      <c r="L2671" s="47"/>
      <c r="M2671" s="47"/>
      <c r="N2671" s="47"/>
      <c r="O2671" s="47"/>
      <c r="P2671" s="47"/>
      <c r="Q2671" s="47"/>
      <c r="R2671" s="47"/>
      <c r="S2671" s="47"/>
      <c r="T2671" s="45"/>
      <c r="U2671" s="45"/>
      <c r="V2671" s="45"/>
      <c r="W2671" s="45"/>
      <c r="X2671" s="47"/>
      <c r="Y2671" s="45"/>
      <c r="Z2671" s="45"/>
      <c r="AA2671" s="48"/>
      <c r="AB2671" s="48"/>
      <c r="AC2671" s="47"/>
      <c r="AD2671" s="47"/>
      <c r="AE2671" s="47"/>
    </row>
    <row r="2672" spans="1:31" x14ac:dyDescent="0.35">
      <c r="A2672" s="41"/>
      <c r="B2672" s="41"/>
      <c r="C2672" s="42"/>
      <c r="D2672" s="43"/>
      <c r="E2672" s="43"/>
      <c r="F2672" s="43"/>
      <c r="G2672" s="43"/>
      <c r="H2672" s="43"/>
      <c r="I2672" s="43"/>
      <c r="J2672" s="43"/>
      <c r="K2672" s="43"/>
      <c r="L2672" s="43"/>
      <c r="M2672" s="43"/>
      <c r="N2672" s="43"/>
      <c r="O2672" s="43"/>
      <c r="P2672" s="43"/>
      <c r="Q2672" s="43"/>
      <c r="R2672" s="43"/>
      <c r="S2672" s="43"/>
      <c r="T2672" s="43"/>
      <c r="U2672" s="43"/>
      <c r="V2672" s="41"/>
      <c r="W2672" s="41"/>
      <c r="X2672" s="41"/>
      <c r="Y2672" s="41"/>
      <c r="Z2672" s="41"/>
      <c r="AA2672" s="44"/>
      <c r="AB2672" s="44"/>
      <c r="AC2672" s="43"/>
      <c r="AD2672" s="43"/>
      <c r="AE2672" s="43"/>
    </row>
    <row r="2673" spans="1:31" x14ac:dyDescent="0.35">
      <c r="C2673" s="33"/>
      <c r="D2673" s="34"/>
      <c r="E2673" s="34"/>
      <c r="F2673" s="34"/>
      <c r="G2673" s="34"/>
      <c r="H2673" s="34"/>
      <c r="I2673" s="34"/>
      <c r="J2673" s="34"/>
      <c r="K2673" s="34"/>
      <c r="L2673" s="34"/>
      <c r="M2673" s="34"/>
      <c r="N2673" s="34"/>
      <c r="O2673" s="34"/>
      <c r="AA2673" s="35"/>
      <c r="AB2673" s="35"/>
      <c r="AC2673" s="34"/>
      <c r="AD2673" s="34"/>
      <c r="AE2673" s="34"/>
    </row>
    <row r="2674" spans="1:31" ht="15" thickBot="1" x14ac:dyDescent="0.4">
      <c r="A2674" s="45"/>
      <c r="B2674" s="45"/>
      <c r="C2674" s="46"/>
      <c r="D2674" s="47"/>
      <c r="E2674" s="47"/>
      <c r="F2674" s="47"/>
      <c r="G2674" s="47"/>
      <c r="H2674" s="47"/>
      <c r="I2674" s="47"/>
      <c r="J2674" s="47"/>
      <c r="K2674" s="47"/>
      <c r="L2674" s="47"/>
      <c r="M2674" s="47"/>
      <c r="N2674" s="47"/>
      <c r="O2674" s="47"/>
      <c r="P2674" s="47"/>
      <c r="Q2674" s="47"/>
      <c r="R2674" s="47"/>
      <c r="S2674" s="47"/>
      <c r="T2674" s="45"/>
      <c r="U2674" s="45"/>
      <c r="V2674" s="45"/>
      <c r="W2674" s="45"/>
      <c r="X2674" s="47"/>
      <c r="Y2674" s="45"/>
      <c r="Z2674" s="45"/>
      <c r="AA2674" s="48"/>
      <c r="AB2674" s="48"/>
      <c r="AC2674" s="47"/>
      <c r="AD2674" s="47"/>
      <c r="AE2674" s="47"/>
    </row>
    <row r="2675" spans="1:31" x14ac:dyDescent="0.35">
      <c r="A2675" s="41"/>
      <c r="B2675" s="41"/>
      <c r="C2675" s="42"/>
      <c r="D2675" s="43"/>
      <c r="E2675" s="43"/>
      <c r="F2675" s="43"/>
      <c r="G2675" s="43"/>
      <c r="H2675" s="43"/>
      <c r="I2675" s="43"/>
      <c r="J2675" s="43"/>
      <c r="K2675" s="43"/>
      <c r="L2675" s="43"/>
      <c r="M2675" s="43"/>
      <c r="N2675" s="43"/>
      <c r="O2675" s="43"/>
      <c r="P2675" s="43"/>
      <c r="Q2675" s="43"/>
      <c r="R2675" s="43"/>
      <c r="S2675" s="43"/>
      <c r="T2675" s="43"/>
      <c r="U2675" s="43"/>
      <c r="V2675" s="41"/>
      <c r="W2675" s="41"/>
      <c r="X2675" s="41"/>
      <c r="Y2675" s="41"/>
      <c r="Z2675" s="41"/>
      <c r="AA2675" s="44"/>
      <c r="AB2675" s="44"/>
      <c r="AC2675" s="43"/>
      <c r="AD2675" s="43"/>
      <c r="AE2675" s="43"/>
    </row>
    <row r="2676" spans="1:31" x14ac:dyDescent="0.35">
      <c r="C2676" s="33"/>
      <c r="D2676" s="34"/>
      <c r="E2676" s="34"/>
      <c r="F2676" s="34"/>
      <c r="G2676" s="34"/>
      <c r="H2676" s="34"/>
      <c r="I2676" s="34"/>
      <c r="J2676" s="34"/>
      <c r="K2676" s="34"/>
      <c r="L2676" s="34"/>
      <c r="M2676" s="34"/>
      <c r="N2676" s="34"/>
      <c r="O2676" s="34"/>
      <c r="AA2676" s="35"/>
      <c r="AB2676" s="35"/>
      <c r="AC2676" s="34"/>
      <c r="AD2676" s="34"/>
      <c r="AE2676" s="34"/>
    </row>
    <row r="2677" spans="1:31" ht="15" thickBot="1" x14ac:dyDescent="0.4">
      <c r="A2677" s="45"/>
      <c r="B2677" s="45"/>
      <c r="C2677" s="46"/>
      <c r="D2677" s="47"/>
      <c r="E2677" s="47"/>
      <c r="F2677" s="47"/>
      <c r="G2677" s="47"/>
      <c r="H2677" s="47"/>
      <c r="I2677" s="47"/>
      <c r="J2677" s="47"/>
      <c r="K2677" s="47"/>
      <c r="L2677" s="47"/>
      <c r="M2677" s="47"/>
      <c r="N2677" s="47"/>
      <c r="O2677" s="47"/>
      <c r="P2677" s="47"/>
      <c r="Q2677" s="47"/>
      <c r="R2677" s="47"/>
      <c r="S2677" s="47"/>
      <c r="T2677" s="45"/>
      <c r="U2677" s="45"/>
      <c r="V2677" s="45"/>
      <c r="W2677" s="45"/>
      <c r="X2677" s="47"/>
      <c r="Y2677" s="45"/>
      <c r="Z2677" s="45"/>
      <c r="AA2677" s="48"/>
      <c r="AB2677" s="48"/>
      <c r="AC2677" s="47"/>
      <c r="AD2677" s="47"/>
      <c r="AE2677" s="47"/>
    </row>
    <row r="2678" spans="1:31" x14ac:dyDescent="0.35">
      <c r="A2678" s="41"/>
      <c r="B2678" s="41"/>
      <c r="C2678" s="42"/>
      <c r="D2678" s="43"/>
      <c r="E2678" s="43"/>
      <c r="F2678" s="43"/>
      <c r="G2678" s="43"/>
      <c r="H2678" s="43"/>
      <c r="I2678" s="43"/>
      <c r="J2678" s="43"/>
      <c r="K2678" s="43"/>
      <c r="L2678" s="43"/>
      <c r="M2678" s="43"/>
      <c r="N2678" s="43"/>
      <c r="O2678" s="43"/>
      <c r="P2678" s="43"/>
      <c r="Q2678" s="43"/>
      <c r="R2678" s="43"/>
      <c r="S2678" s="43"/>
      <c r="T2678" s="43"/>
      <c r="U2678" s="43"/>
      <c r="V2678" s="41"/>
      <c r="W2678" s="41"/>
      <c r="X2678" s="41"/>
      <c r="Y2678" s="41"/>
      <c r="Z2678" s="41"/>
      <c r="AA2678" s="44"/>
      <c r="AB2678" s="44"/>
      <c r="AC2678" s="43"/>
      <c r="AD2678" s="43"/>
      <c r="AE2678" s="43"/>
    </row>
    <row r="2679" spans="1:31" x14ac:dyDescent="0.35">
      <c r="C2679" s="33"/>
      <c r="D2679" s="34"/>
      <c r="E2679" s="34"/>
      <c r="F2679" s="34"/>
      <c r="G2679" s="34"/>
      <c r="H2679" s="34"/>
      <c r="I2679" s="34"/>
      <c r="J2679" s="34"/>
      <c r="K2679" s="34"/>
      <c r="L2679" s="34"/>
      <c r="M2679" s="34"/>
      <c r="N2679" s="34"/>
      <c r="O2679" s="34"/>
      <c r="AA2679" s="35"/>
      <c r="AB2679" s="35"/>
      <c r="AC2679" s="34"/>
      <c r="AD2679" s="34"/>
      <c r="AE2679" s="34"/>
    </row>
    <row r="2680" spans="1:31" ht="15" thickBot="1" x14ac:dyDescent="0.4">
      <c r="A2680" s="45"/>
      <c r="B2680" s="45"/>
      <c r="C2680" s="46"/>
      <c r="D2680" s="47"/>
      <c r="E2680" s="47"/>
      <c r="F2680" s="47"/>
      <c r="G2680" s="47"/>
      <c r="H2680" s="47"/>
      <c r="I2680" s="47"/>
      <c r="J2680" s="47"/>
      <c r="K2680" s="47"/>
      <c r="L2680" s="47"/>
      <c r="M2680" s="47"/>
      <c r="N2680" s="47"/>
      <c r="O2680" s="47"/>
      <c r="P2680" s="47"/>
      <c r="Q2680" s="47"/>
      <c r="R2680" s="47"/>
      <c r="S2680" s="47"/>
      <c r="T2680" s="45"/>
      <c r="U2680" s="45"/>
      <c r="V2680" s="45"/>
      <c r="W2680" s="45"/>
      <c r="X2680" s="47"/>
      <c r="Y2680" s="45"/>
      <c r="Z2680" s="45"/>
      <c r="AA2680" s="48"/>
      <c r="AB2680" s="48"/>
      <c r="AC2680" s="47"/>
      <c r="AD2680" s="47"/>
      <c r="AE2680" s="47"/>
    </row>
    <row r="2681" spans="1:31" x14ac:dyDescent="0.35">
      <c r="A2681" s="41"/>
      <c r="B2681" s="41"/>
      <c r="C2681" s="42"/>
      <c r="D2681" s="43"/>
      <c r="E2681" s="43"/>
      <c r="F2681" s="43"/>
      <c r="G2681" s="43"/>
      <c r="H2681" s="43"/>
      <c r="I2681" s="43"/>
      <c r="J2681" s="43"/>
      <c r="K2681" s="43"/>
      <c r="L2681" s="43"/>
      <c r="M2681" s="43"/>
      <c r="N2681" s="43"/>
      <c r="O2681" s="43"/>
      <c r="P2681" s="43"/>
      <c r="Q2681" s="43"/>
      <c r="R2681" s="43"/>
      <c r="S2681" s="43"/>
      <c r="T2681" s="43"/>
      <c r="U2681" s="43"/>
      <c r="V2681" s="41"/>
      <c r="W2681" s="41"/>
      <c r="X2681" s="41"/>
      <c r="Y2681" s="41"/>
      <c r="Z2681" s="41"/>
      <c r="AA2681" s="44"/>
      <c r="AB2681" s="44"/>
      <c r="AC2681" s="43"/>
      <c r="AD2681" s="43"/>
      <c r="AE2681" s="43"/>
    </row>
    <row r="2682" spans="1:31" x14ac:dyDescent="0.35">
      <c r="C2682" s="33"/>
      <c r="D2682" s="34"/>
      <c r="E2682" s="34"/>
      <c r="F2682" s="34"/>
      <c r="G2682" s="34"/>
      <c r="H2682" s="34"/>
      <c r="I2682" s="34"/>
      <c r="J2682" s="34"/>
      <c r="K2682" s="34"/>
      <c r="L2682" s="34"/>
      <c r="M2682" s="34"/>
      <c r="N2682" s="34"/>
      <c r="O2682" s="34"/>
      <c r="AA2682" s="35"/>
      <c r="AB2682" s="35"/>
      <c r="AC2682" s="34"/>
      <c r="AD2682" s="34"/>
      <c r="AE2682" s="34"/>
    </row>
    <row r="2683" spans="1:31" ht="15" thickBot="1" x14ac:dyDescent="0.4">
      <c r="A2683" s="45"/>
      <c r="B2683" s="45"/>
      <c r="C2683" s="46"/>
      <c r="D2683" s="47"/>
      <c r="E2683" s="47"/>
      <c r="F2683" s="47"/>
      <c r="G2683" s="47"/>
      <c r="H2683" s="47"/>
      <c r="I2683" s="47"/>
      <c r="J2683" s="47"/>
      <c r="K2683" s="47"/>
      <c r="L2683" s="47"/>
      <c r="M2683" s="47"/>
      <c r="N2683" s="47"/>
      <c r="O2683" s="47"/>
      <c r="P2683" s="47"/>
      <c r="Q2683" s="47"/>
      <c r="R2683" s="47"/>
      <c r="S2683" s="47"/>
      <c r="T2683" s="45"/>
      <c r="U2683" s="45"/>
      <c r="V2683" s="45"/>
      <c r="W2683" s="45"/>
      <c r="X2683" s="47"/>
      <c r="Y2683" s="45"/>
      <c r="Z2683" s="45"/>
      <c r="AA2683" s="48"/>
      <c r="AB2683" s="48"/>
      <c r="AC2683" s="47"/>
      <c r="AD2683" s="47"/>
      <c r="AE2683" s="47"/>
    </row>
    <row r="2684" spans="1:31" x14ac:dyDescent="0.35">
      <c r="A2684" s="41"/>
      <c r="B2684" s="41"/>
      <c r="C2684" s="42"/>
      <c r="D2684" s="43"/>
      <c r="E2684" s="43"/>
      <c r="F2684" s="43"/>
      <c r="G2684" s="43"/>
      <c r="H2684" s="43"/>
      <c r="I2684" s="43"/>
      <c r="J2684" s="43"/>
      <c r="K2684" s="43"/>
      <c r="L2684" s="43"/>
      <c r="M2684" s="43"/>
      <c r="N2684" s="43"/>
      <c r="O2684" s="43"/>
      <c r="P2684" s="43"/>
      <c r="Q2684" s="43"/>
      <c r="R2684" s="43"/>
      <c r="S2684" s="43"/>
      <c r="T2684" s="43"/>
      <c r="U2684" s="43"/>
      <c r="V2684" s="41"/>
      <c r="W2684" s="41"/>
      <c r="X2684" s="41"/>
      <c r="Y2684" s="41"/>
      <c r="Z2684" s="41"/>
      <c r="AA2684" s="44"/>
      <c r="AB2684" s="44"/>
      <c r="AC2684" s="43"/>
      <c r="AD2684" s="43"/>
      <c r="AE2684" s="43"/>
    </row>
    <row r="2685" spans="1:31" x14ac:dyDescent="0.35">
      <c r="C2685" s="33"/>
      <c r="D2685" s="34"/>
      <c r="E2685" s="34"/>
      <c r="F2685" s="34"/>
      <c r="G2685" s="34"/>
      <c r="H2685" s="34"/>
      <c r="I2685" s="34"/>
      <c r="J2685" s="34"/>
      <c r="K2685" s="34"/>
      <c r="L2685" s="34"/>
      <c r="M2685" s="34"/>
      <c r="N2685" s="34"/>
      <c r="O2685" s="34"/>
      <c r="AA2685" s="35"/>
      <c r="AB2685" s="35"/>
      <c r="AC2685" s="34"/>
      <c r="AD2685" s="34"/>
      <c r="AE2685" s="34"/>
    </row>
    <row r="2686" spans="1:31" ht="15" thickBot="1" x14ac:dyDescent="0.4">
      <c r="A2686" s="45"/>
      <c r="B2686" s="45"/>
      <c r="C2686" s="46"/>
      <c r="D2686" s="47"/>
      <c r="E2686" s="47"/>
      <c r="F2686" s="47"/>
      <c r="G2686" s="47"/>
      <c r="H2686" s="47"/>
      <c r="I2686" s="47"/>
      <c r="J2686" s="47"/>
      <c r="K2686" s="47"/>
      <c r="L2686" s="47"/>
      <c r="M2686" s="47"/>
      <c r="N2686" s="47"/>
      <c r="O2686" s="47"/>
      <c r="P2686" s="47"/>
      <c r="Q2686" s="47"/>
      <c r="R2686" s="47"/>
      <c r="S2686" s="47"/>
      <c r="T2686" s="45"/>
      <c r="U2686" s="45"/>
      <c r="V2686" s="45"/>
      <c r="W2686" s="45"/>
      <c r="X2686" s="47"/>
      <c r="Y2686" s="45"/>
      <c r="Z2686" s="45"/>
      <c r="AA2686" s="48"/>
      <c r="AB2686" s="48"/>
      <c r="AC2686" s="47"/>
      <c r="AD2686" s="47"/>
      <c r="AE2686" s="47"/>
    </row>
    <row r="2687" spans="1:31" x14ac:dyDescent="0.35">
      <c r="A2687" s="41"/>
      <c r="B2687" s="41"/>
      <c r="C2687" s="42"/>
      <c r="D2687" s="43"/>
      <c r="E2687" s="43"/>
      <c r="F2687" s="43"/>
      <c r="G2687" s="43"/>
      <c r="H2687" s="43"/>
      <c r="I2687" s="43"/>
      <c r="J2687" s="43"/>
      <c r="K2687" s="43"/>
      <c r="L2687" s="43"/>
      <c r="M2687" s="43"/>
      <c r="N2687" s="43"/>
      <c r="O2687" s="43"/>
      <c r="P2687" s="43"/>
      <c r="Q2687" s="43"/>
      <c r="R2687" s="43"/>
      <c r="S2687" s="43"/>
      <c r="T2687" s="43"/>
      <c r="U2687" s="43"/>
      <c r="V2687" s="41"/>
      <c r="W2687" s="41"/>
      <c r="X2687" s="41"/>
      <c r="Y2687" s="41"/>
      <c r="Z2687" s="41"/>
      <c r="AA2687" s="44"/>
      <c r="AB2687" s="44"/>
      <c r="AC2687" s="43"/>
      <c r="AD2687" s="43"/>
      <c r="AE2687" s="43"/>
    </row>
    <row r="2688" spans="1:31" x14ac:dyDescent="0.35">
      <c r="C2688" s="33"/>
      <c r="D2688" s="34"/>
      <c r="E2688" s="34"/>
      <c r="F2688" s="34"/>
      <c r="G2688" s="34"/>
      <c r="H2688" s="34"/>
      <c r="I2688" s="34"/>
      <c r="J2688" s="34"/>
      <c r="K2688" s="34"/>
      <c r="L2688" s="34"/>
      <c r="M2688" s="34"/>
      <c r="N2688" s="34"/>
      <c r="O2688" s="34"/>
      <c r="AA2688" s="35"/>
      <c r="AB2688" s="35"/>
      <c r="AC2688" s="34"/>
      <c r="AD2688" s="34"/>
      <c r="AE2688" s="34"/>
    </row>
    <row r="2689" spans="1:31" ht="15" thickBot="1" x14ac:dyDescent="0.4">
      <c r="A2689" s="45"/>
      <c r="B2689" s="45"/>
      <c r="C2689" s="46"/>
      <c r="D2689" s="47"/>
      <c r="E2689" s="47"/>
      <c r="F2689" s="47"/>
      <c r="G2689" s="47"/>
      <c r="H2689" s="47"/>
      <c r="I2689" s="47"/>
      <c r="J2689" s="47"/>
      <c r="K2689" s="47"/>
      <c r="L2689" s="47"/>
      <c r="M2689" s="47"/>
      <c r="N2689" s="47"/>
      <c r="O2689" s="47"/>
      <c r="P2689" s="47"/>
      <c r="Q2689" s="47"/>
      <c r="R2689" s="47"/>
      <c r="S2689" s="47"/>
      <c r="T2689" s="45"/>
      <c r="U2689" s="45"/>
      <c r="V2689" s="45"/>
      <c r="W2689" s="45"/>
      <c r="X2689" s="47"/>
      <c r="Y2689" s="45"/>
      <c r="Z2689" s="45"/>
      <c r="AA2689" s="48"/>
      <c r="AB2689" s="48"/>
      <c r="AC2689" s="47"/>
      <c r="AD2689" s="47"/>
      <c r="AE2689" s="47"/>
    </row>
    <row r="2690" spans="1:31" x14ac:dyDescent="0.35">
      <c r="A2690" s="41"/>
      <c r="B2690" s="41"/>
      <c r="C2690" s="42"/>
      <c r="D2690" s="43"/>
      <c r="E2690" s="43"/>
      <c r="F2690" s="43"/>
      <c r="G2690" s="43"/>
      <c r="H2690" s="43"/>
      <c r="I2690" s="43"/>
      <c r="J2690" s="43"/>
      <c r="K2690" s="43"/>
      <c r="L2690" s="43"/>
      <c r="M2690" s="43"/>
      <c r="N2690" s="43"/>
      <c r="O2690" s="43"/>
      <c r="P2690" s="43"/>
      <c r="Q2690" s="43"/>
      <c r="R2690" s="43"/>
      <c r="S2690" s="43"/>
      <c r="T2690" s="43"/>
      <c r="U2690" s="43"/>
      <c r="V2690" s="41"/>
      <c r="W2690" s="41"/>
      <c r="X2690" s="41"/>
      <c r="Y2690" s="41"/>
      <c r="Z2690" s="41"/>
      <c r="AA2690" s="44"/>
      <c r="AB2690" s="44"/>
      <c r="AC2690" s="43"/>
      <c r="AD2690" s="43"/>
      <c r="AE2690" s="43"/>
    </row>
    <row r="2691" spans="1:31" x14ac:dyDescent="0.35">
      <c r="C2691" s="33"/>
      <c r="D2691" s="34"/>
      <c r="E2691" s="34"/>
      <c r="F2691" s="34"/>
      <c r="G2691" s="34"/>
      <c r="H2691" s="34"/>
      <c r="I2691" s="34"/>
      <c r="J2691" s="34"/>
      <c r="K2691" s="34"/>
      <c r="L2691" s="34"/>
      <c r="M2691" s="34"/>
      <c r="N2691" s="34"/>
      <c r="O2691" s="34"/>
      <c r="AA2691" s="35"/>
      <c r="AB2691" s="35"/>
      <c r="AC2691" s="34"/>
      <c r="AD2691" s="34"/>
      <c r="AE2691" s="34"/>
    </row>
    <row r="2692" spans="1:31" ht="15" thickBot="1" x14ac:dyDescent="0.4">
      <c r="A2692" s="45"/>
      <c r="B2692" s="45"/>
      <c r="C2692" s="46"/>
      <c r="D2692" s="47"/>
      <c r="E2692" s="47"/>
      <c r="F2692" s="47"/>
      <c r="G2692" s="47"/>
      <c r="H2692" s="47"/>
      <c r="I2692" s="47"/>
      <c r="J2692" s="47"/>
      <c r="K2692" s="47"/>
      <c r="L2692" s="47"/>
      <c r="M2692" s="47"/>
      <c r="N2692" s="47"/>
      <c r="O2692" s="47"/>
      <c r="P2692" s="47"/>
      <c r="Q2692" s="47"/>
      <c r="R2692" s="47"/>
      <c r="S2692" s="47"/>
      <c r="T2692" s="45"/>
      <c r="U2692" s="45"/>
      <c r="V2692" s="45"/>
      <c r="W2692" s="45"/>
      <c r="X2692" s="47"/>
      <c r="Y2692" s="45"/>
      <c r="Z2692" s="45"/>
      <c r="AA2692" s="48"/>
      <c r="AB2692" s="48"/>
      <c r="AC2692" s="47"/>
      <c r="AD2692" s="47"/>
      <c r="AE2692" s="47"/>
    </row>
    <row r="2693" spans="1:31" x14ac:dyDescent="0.35">
      <c r="A2693" s="41"/>
      <c r="B2693" s="41"/>
      <c r="C2693" s="42"/>
      <c r="D2693" s="43"/>
      <c r="E2693" s="43"/>
      <c r="F2693" s="43"/>
      <c r="G2693" s="43"/>
      <c r="H2693" s="43"/>
      <c r="I2693" s="43"/>
      <c r="J2693" s="43"/>
      <c r="K2693" s="43"/>
      <c r="L2693" s="43"/>
      <c r="M2693" s="43"/>
      <c r="N2693" s="43"/>
      <c r="O2693" s="43"/>
      <c r="P2693" s="43"/>
      <c r="Q2693" s="43"/>
      <c r="R2693" s="43"/>
      <c r="S2693" s="43"/>
      <c r="T2693" s="43"/>
      <c r="U2693" s="43"/>
      <c r="V2693" s="41"/>
      <c r="W2693" s="41"/>
      <c r="X2693" s="41"/>
      <c r="Y2693" s="41"/>
      <c r="Z2693" s="41"/>
      <c r="AA2693" s="44"/>
      <c r="AB2693" s="44"/>
      <c r="AC2693" s="43"/>
      <c r="AD2693" s="43"/>
      <c r="AE2693" s="43"/>
    </row>
    <row r="2694" spans="1:31" x14ac:dyDescent="0.35">
      <c r="C2694" s="33"/>
      <c r="D2694" s="34"/>
      <c r="E2694" s="34"/>
      <c r="F2694" s="34"/>
      <c r="G2694" s="34"/>
      <c r="H2694" s="34"/>
      <c r="I2694" s="34"/>
      <c r="J2694" s="34"/>
      <c r="K2694" s="34"/>
      <c r="L2694" s="34"/>
      <c r="M2694" s="34"/>
      <c r="N2694" s="34"/>
      <c r="O2694" s="34"/>
      <c r="AA2694" s="35"/>
      <c r="AB2694" s="35"/>
      <c r="AC2694" s="34"/>
      <c r="AD2694" s="34"/>
      <c r="AE2694" s="34"/>
    </row>
    <row r="2695" spans="1:31" ht="15" thickBot="1" x14ac:dyDescent="0.4">
      <c r="A2695" s="45"/>
      <c r="B2695" s="45"/>
      <c r="C2695" s="46"/>
      <c r="D2695" s="47"/>
      <c r="E2695" s="47"/>
      <c r="F2695" s="47"/>
      <c r="G2695" s="47"/>
      <c r="H2695" s="47"/>
      <c r="I2695" s="47"/>
      <c r="J2695" s="47"/>
      <c r="K2695" s="47"/>
      <c r="L2695" s="47"/>
      <c r="M2695" s="47"/>
      <c r="N2695" s="47"/>
      <c r="O2695" s="47"/>
      <c r="P2695" s="47"/>
      <c r="Q2695" s="47"/>
      <c r="R2695" s="47"/>
      <c r="S2695" s="47"/>
      <c r="T2695" s="45"/>
      <c r="U2695" s="45"/>
      <c r="V2695" s="45"/>
      <c r="W2695" s="45"/>
      <c r="X2695" s="47"/>
      <c r="Y2695" s="45"/>
      <c r="Z2695" s="45"/>
      <c r="AA2695" s="48"/>
      <c r="AB2695" s="48"/>
      <c r="AC2695" s="47"/>
      <c r="AD2695" s="47"/>
      <c r="AE2695" s="47"/>
    </row>
    <row r="2696" spans="1:31" x14ac:dyDescent="0.35">
      <c r="A2696" s="41"/>
      <c r="B2696" s="41"/>
      <c r="C2696" s="42"/>
      <c r="D2696" s="43"/>
      <c r="E2696" s="43"/>
      <c r="F2696" s="43"/>
      <c r="G2696" s="43"/>
      <c r="H2696" s="43"/>
      <c r="I2696" s="43"/>
      <c r="J2696" s="43"/>
      <c r="K2696" s="43"/>
      <c r="L2696" s="43"/>
      <c r="M2696" s="43"/>
      <c r="N2696" s="43"/>
      <c r="O2696" s="43"/>
      <c r="P2696" s="43"/>
      <c r="Q2696" s="43"/>
      <c r="R2696" s="43"/>
      <c r="S2696" s="43"/>
      <c r="T2696" s="43"/>
      <c r="U2696" s="43"/>
      <c r="V2696" s="41"/>
      <c r="W2696" s="41"/>
      <c r="X2696" s="41"/>
      <c r="Y2696" s="41"/>
      <c r="Z2696" s="41"/>
      <c r="AA2696" s="44"/>
      <c r="AB2696" s="44"/>
      <c r="AC2696" s="43"/>
      <c r="AD2696" s="43"/>
      <c r="AE2696" s="43"/>
    </row>
    <row r="2697" spans="1:31" x14ac:dyDescent="0.35">
      <c r="C2697" s="33"/>
      <c r="D2697" s="34"/>
      <c r="E2697" s="34"/>
      <c r="F2697" s="34"/>
      <c r="G2697" s="34"/>
      <c r="H2697" s="34"/>
      <c r="I2697" s="34"/>
      <c r="J2697" s="34"/>
      <c r="K2697" s="34"/>
      <c r="L2697" s="34"/>
      <c r="M2697" s="34"/>
      <c r="N2697" s="34"/>
      <c r="O2697" s="34"/>
      <c r="AA2697" s="35"/>
      <c r="AB2697" s="35"/>
      <c r="AC2697" s="34"/>
      <c r="AD2697" s="34"/>
      <c r="AE2697" s="34"/>
    </row>
    <row r="2698" spans="1:31" ht="15" thickBot="1" x14ac:dyDescent="0.4">
      <c r="A2698" s="45"/>
      <c r="B2698" s="45"/>
      <c r="C2698" s="46"/>
      <c r="D2698" s="47"/>
      <c r="E2698" s="47"/>
      <c r="F2698" s="47"/>
      <c r="G2698" s="47"/>
      <c r="H2698" s="47"/>
      <c r="I2698" s="47"/>
      <c r="J2698" s="47"/>
      <c r="K2698" s="47"/>
      <c r="L2698" s="47"/>
      <c r="M2698" s="47"/>
      <c r="N2698" s="47"/>
      <c r="O2698" s="47"/>
      <c r="P2698" s="47"/>
      <c r="Q2698" s="47"/>
      <c r="R2698" s="47"/>
      <c r="S2698" s="47"/>
      <c r="T2698" s="45"/>
      <c r="U2698" s="45"/>
      <c r="V2698" s="45"/>
      <c r="W2698" s="45"/>
      <c r="X2698" s="47"/>
      <c r="Y2698" s="45"/>
      <c r="Z2698" s="45"/>
      <c r="AA2698" s="48"/>
      <c r="AB2698" s="48"/>
      <c r="AC2698" s="47"/>
      <c r="AD2698" s="47"/>
      <c r="AE2698" s="47"/>
    </row>
    <row r="2699" spans="1:31" x14ac:dyDescent="0.35">
      <c r="A2699" s="41"/>
      <c r="B2699" s="41"/>
      <c r="C2699" s="42"/>
      <c r="D2699" s="43"/>
      <c r="E2699" s="43"/>
      <c r="F2699" s="43"/>
      <c r="G2699" s="43"/>
      <c r="H2699" s="43"/>
      <c r="I2699" s="43"/>
      <c r="J2699" s="43"/>
      <c r="K2699" s="43"/>
      <c r="L2699" s="43"/>
      <c r="M2699" s="43"/>
      <c r="N2699" s="43"/>
      <c r="O2699" s="43"/>
      <c r="P2699" s="43"/>
      <c r="Q2699" s="43"/>
      <c r="R2699" s="43"/>
      <c r="S2699" s="43"/>
      <c r="T2699" s="43"/>
      <c r="U2699" s="43"/>
      <c r="V2699" s="41"/>
      <c r="W2699" s="41"/>
      <c r="X2699" s="41"/>
      <c r="Y2699" s="41"/>
      <c r="Z2699" s="41"/>
      <c r="AA2699" s="44"/>
      <c r="AB2699" s="44"/>
      <c r="AC2699" s="43"/>
      <c r="AD2699" s="43"/>
      <c r="AE2699" s="43"/>
    </row>
    <row r="2700" spans="1:31" x14ac:dyDescent="0.35">
      <c r="C2700" s="33"/>
      <c r="D2700" s="34"/>
      <c r="E2700" s="34"/>
      <c r="F2700" s="34"/>
      <c r="G2700" s="34"/>
      <c r="H2700" s="34"/>
      <c r="I2700" s="34"/>
      <c r="J2700" s="34"/>
      <c r="K2700" s="34"/>
      <c r="L2700" s="34"/>
      <c r="M2700" s="34"/>
      <c r="N2700" s="34"/>
      <c r="O2700" s="34"/>
      <c r="AA2700" s="35"/>
      <c r="AB2700" s="35"/>
      <c r="AC2700" s="34"/>
      <c r="AD2700" s="34"/>
      <c r="AE2700" s="34"/>
    </row>
    <row r="2701" spans="1:31" ht="15" thickBot="1" x14ac:dyDescent="0.4">
      <c r="A2701" s="45"/>
      <c r="B2701" s="45"/>
      <c r="C2701" s="46"/>
      <c r="D2701" s="47"/>
      <c r="E2701" s="47"/>
      <c r="F2701" s="47"/>
      <c r="G2701" s="47"/>
      <c r="H2701" s="47"/>
      <c r="I2701" s="47"/>
      <c r="J2701" s="47"/>
      <c r="K2701" s="47"/>
      <c r="L2701" s="47"/>
      <c r="M2701" s="47"/>
      <c r="N2701" s="47"/>
      <c r="O2701" s="47"/>
      <c r="P2701" s="47"/>
      <c r="Q2701" s="47"/>
      <c r="R2701" s="47"/>
      <c r="S2701" s="47"/>
      <c r="T2701" s="45"/>
      <c r="U2701" s="45"/>
      <c r="V2701" s="45"/>
      <c r="W2701" s="45"/>
      <c r="X2701" s="47"/>
      <c r="Y2701" s="45"/>
      <c r="Z2701" s="45"/>
      <c r="AA2701" s="48"/>
      <c r="AB2701" s="48"/>
      <c r="AC2701" s="47"/>
      <c r="AD2701" s="47"/>
      <c r="AE2701" s="47"/>
    </row>
    <row r="2702" spans="1:31" x14ac:dyDescent="0.35">
      <c r="A2702" s="41"/>
      <c r="B2702" s="41"/>
      <c r="C2702" s="42"/>
      <c r="D2702" s="43"/>
      <c r="E2702" s="43"/>
      <c r="F2702" s="43"/>
      <c r="G2702" s="43"/>
      <c r="H2702" s="43"/>
      <c r="I2702" s="43"/>
      <c r="J2702" s="43"/>
      <c r="K2702" s="43"/>
      <c r="L2702" s="43"/>
      <c r="M2702" s="43"/>
      <c r="N2702" s="43"/>
      <c r="O2702" s="43"/>
      <c r="P2702" s="43"/>
      <c r="Q2702" s="43"/>
      <c r="R2702" s="43"/>
      <c r="S2702" s="43"/>
      <c r="T2702" s="43"/>
      <c r="U2702" s="43"/>
      <c r="V2702" s="41"/>
      <c r="W2702" s="41"/>
      <c r="X2702" s="41"/>
      <c r="Y2702" s="41"/>
      <c r="Z2702" s="41"/>
      <c r="AA2702" s="44"/>
      <c r="AB2702" s="44"/>
      <c r="AC2702" s="43"/>
      <c r="AD2702" s="43"/>
      <c r="AE2702" s="43"/>
    </row>
    <row r="2703" spans="1:31" x14ac:dyDescent="0.35">
      <c r="C2703" s="33"/>
      <c r="D2703" s="34"/>
      <c r="E2703" s="34"/>
      <c r="F2703" s="34"/>
      <c r="G2703" s="34"/>
      <c r="H2703" s="34"/>
      <c r="I2703" s="34"/>
      <c r="J2703" s="34"/>
      <c r="K2703" s="34"/>
      <c r="L2703" s="34"/>
      <c r="M2703" s="34"/>
      <c r="N2703" s="34"/>
      <c r="O2703" s="34"/>
      <c r="AA2703" s="35"/>
      <c r="AB2703" s="35"/>
      <c r="AC2703" s="34"/>
      <c r="AD2703" s="34"/>
      <c r="AE2703" s="34"/>
    </row>
    <row r="2704" spans="1:31" ht="15" thickBot="1" x14ac:dyDescent="0.4">
      <c r="A2704" s="45"/>
      <c r="B2704" s="45"/>
      <c r="C2704" s="46"/>
      <c r="D2704" s="47"/>
      <c r="E2704" s="47"/>
      <c r="F2704" s="47"/>
      <c r="G2704" s="47"/>
      <c r="H2704" s="47"/>
      <c r="I2704" s="47"/>
      <c r="J2704" s="47"/>
      <c r="K2704" s="47"/>
      <c r="L2704" s="47"/>
      <c r="M2704" s="47"/>
      <c r="N2704" s="47"/>
      <c r="O2704" s="47"/>
      <c r="P2704" s="47"/>
      <c r="Q2704" s="47"/>
      <c r="R2704" s="47"/>
      <c r="S2704" s="47"/>
      <c r="T2704" s="45"/>
      <c r="U2704" s="45"/>
      <c r="V2704" s="45"/>
      <c r="W2704" s="45"/>
      <c r="X2704" s="47"/>
      <c r="Y2704" s="45"/>
      <c r="Z2704" s="45"/>
      <c r="AA2704" s="48"/>
      <c r="AB2704" s="48"/>
      <c r="AC2704" s="47"/>
      <c r="AD2704" s="47"/>
      <c r="AE2704" s="47"/>
    </row>
    <row r="2705" spans="1:31" x14ac:dyDescent="0.35">
      <c r="A2705" s="41"/>
      <c r="B2705" s="41"/>
      <c r="C2705" s="42"/>
      <c r="D2705" s="43"/>
      <c r="E2705" s="43"/>
      <c r="F2705" s="43"/>
      <c r="G2705" s="43"/>
      <c r="H2705" s="43"/>
      <c r="I2705" s="43"/>
      <c r="J2705" s="43"/>
      <c r="K2705" s="43"/>
      <c r="L2705" s="43"/>
      <c r="M2705" s="43"/>
      <c r="N2705" s="43"/>
      <c r="O2705" s="43"/>
      <c r="P2705" s="43"/>
      <c r="Q2705" s="43"/>
      <c r="R2705" s="43"/>
      <c r="S2705" s="43"/>
      <c r="T2705" s="43"/>
      <c r="U2705" s="43"/>
      <c r="V2705" s="41"/>
      <c r="W2705" s="41"/>
      <c r="X2705" s="41"/>
      <c r="Y2705" s="41"/>
      <c r="Z2705" s="41"/>
      <c r="AA2705" s="44"/>
      <c r="AB2705" s="44"/>
      <c r="AC2705" s="43"/>
      <c r="AD2705" s="43"/>
      <c r="AE2705" s="43"/>
    </row>
    <row r="2706" spans="1:31" x14ac:dyDescent="0.35">
      <c r="C2706" s="33"/>
      <c r="D2706" s="34"/>
      <c r="E2706" s="34"/>
      <c r="F2706" s="34"/>
      <c r="G2706" s="34"/>
      <c r="H2706" s="34"/>
      <c r="I2706" s="34"/>
      <c r="J2706" s="34"/>
      <c r="K2706" s="34"/>
      <c r="L2706" s="34"/>
      <c r="M2706" s="34"/>
      <c r="N2706" s="34"/>
      <c r="O2706" s="34"/>
      <c r="AA2706" s="35"/>
      <c r="AB2706" s="35"/>
      <c r="AC2706" s="34"/>
      <c r="AD2706" s="34"/>
      <c r="AE2706" s="34"/>
    </row>
    <row r="2707" spans="1:31" ht="15" thickBot="1" x14ac:dyDescent="0.4">
      <c r="A2707" s="45"/>
      <c r="B2707" s="45"/>
      <c r="C2707" s="46"/>
      <c r="D2707" s="47"/>
      <c r="E2707" s="47"/>
      <c r="F2707" s="47"/>
      <c r="G2707" s="47"/>
      <c r="H2707" s="47"/>
      <c r="I2707" s="47"/>
      <c r="J2707" s="47"/>
      <c r="K2707" s="47"/>
      <c r="L2707" s="47"/>
      <c r="M2707" s="47"/>
      <c r="N2707" s="47"/>
      <c r="O2707" s="47"/>
      <c r="P2707" s="47"/>
      <c r="Q2707" s="47"/>
      <c r="R2707" s="47"/>
      <c r="S2707" s="47"/>
      <c r="T2707" s="45"/>
      <c r="U2707" s="45"/>
      <c r="V2707" s="45"/>
      <c r="W2707" s="45"/>
      <c r="X2707" s="47"/>
      <c r="Y2707" s="45"/>
      <c r="Z2707" s="45"/>
      <c r="AA2707" s="48"/>
      <c r="AB2707" s="48"/>
      <c r="AC2707" s="47"/>
      <c r="AD2707" s="47"/>
      <c r="AE2707" s="47"/>
    </row>
    <row r="2708" spans="1:31" x14ac:dyDescent="0.35">
      <c r="A2708" s="41"/>
      <c r="B2708" s="41"/>
      <c r="C2708" s="42"/>
      <c r="D2708" s="43"/>
      <c r="E2708" s="43"/>
      <c r="F2708" s="43"/>
      <c r="G2708" s="43"/>
      <c r="H2708" s="43"/>
      <c r="I2708" s="43"/>
      <c r="J2708" s="43"/>
      <c r="K2708" s="43"/>
      <c r="L2708" s="43"/>
      <c r="M2708" s="43"/>
      <c r="N2708" s="43"/>
      <c r="O2708" s="43"/>
      <c r="P2708" s="43"/>
      <c r="Q2708" s="43"/>
      <c r="R2708" s="43"/>
      <c r="S2708" s="43"/>
      <c r="T2708" s="43"/>
      <c r="U2708" s="43"/>
      <c r="V2708" s="41"/>
      <c r="W2708" s="41"/>
      <c r="X2708" s="41"/>
      <c r="Y2708" s="41"/>
      <c r="Z2708" s="41"/>
      <c r="AA2708" s="44"/>
      <c r="AB2708" s="44"/>
      <c r="AC2708" s="43"/>
      <c r="AD2708" s="43"/>
      <c r="AE2708" s="43"/>
    </row>
    <row r="2709" spans="1:31" x14ac:dyDescent="0.35">
      <c r="C2709" s="33"/>
      <c r="D2709" s="34"/>
      <c r="E2709" s="34"/>
      <c r="F2709" s="34"/>
      <c r="G2709" s="34"/>
      <c r="H2709" s="34"/>
      <c r="I2709" s="34"/>
      <c r="J2709" s="34"/>
      <c r="K2709" s="34"/>
      <c r="L2709" s="34"/>
      <c r="M2709" s="34"/>
      <c r="N2709" s="34"/>
      <c r="O2709" s="34"/>
      <c r="AA2709" s="35"/>
      <c r="AB2709" s="35"/>
      <c r="AC2709" s="34"/>
      <c r="AD2709" s="34"/>
      <c r="AE2709" s="34"/>
    </row>
    <row r="2710" spans="1:31" ht="15" thickBot="1" x14ac:dyDescent="0.4">
      <c r="A2710" s="45"/>
      <c r="B2710" s="45"/>
      <c r="C2710" s="46"/>
      <c r="D2710" s="47"/>
      <c r="E2710" s="47"/>
      <c r="F2710" s="47"/>
      <c r="G2710" s="47"/>
      <c r="H2710" s="47"/>
      <c r="I2710" s="47"/>
      <c r="J2710" s="47"/>
      <c r="K2710" s="47"/>
      <c r="L2710" s="47"/>
      <c r="M2710" s="47"/>
      <c r="N2710" s="47"/>
      <c r="O2710" s="47"/>
      <c r="P2710" s="47"/>
      <c r="Q2710" s="47"/>
      <c r="R2710" s="47"/>
      <c r="S2710" s="47"/>
      <c r="T2710" s="45"/>
      <c r="U2710" s="45"/>
      <c r="V2710" s="45"/>
      <c r="W2710" s="45"/>
      <c r="X2710" s="47"/>
      <c r="Y2710" s="45"/>
      <c r="Z2710" s="45"/>
      <c r="AA2710" s="48"/>
      <c r="AB2710" s="48"/>
      <c r="AC2710" s="47"/>
      <c r="AD2710" s="47"/>
      <c r="AE2710" s="47"/>
    </row>
    <row r="2711" spans="1:31" x14ac:dyDescent="0.35">
      <c r="A2711" s="41"/>
      <c r="B2711" s="41"/>
      <c r="C2711" s="42"/>
      <c r="D2711" s="43"/>
      <c r="E2711" s="43"/>
      <c r="F2711" s="43"/>
      <c r="G2711" s="43"/>
      <c r="H2711" s="43"/>
      <c r="I2711" s="43"/>
      <c r="J2711" s="43"/>
      <c r="K2711" s="43"/>
      <c r="L2711" s="43"/>
      <c r="M2711" s="43"/>
      <c r="N2711" s="43"/>
      <c r="O2711" s="43"/>
      <c r="P2711" s="43"/>
      <c r="Q2711" s="43"/>
      <c r="R2711" s="43"/>
      <c r="S2711" s="43"/>
      <c r="T2711" s="43"/>
      <c r="U2711" s="43"/>
      <c r="V2711" s="41"/>
      <c r="W2711" s="41"/>
      <c r="X2711" s="41"/>
      <c r="Y2711" s="41"/>
      <c r="Z2711" s="41"/>
      <c r="AA2711" s="44"/>
      <c r="AB2711" s="44"/>
      <c r="AC2711" s="43"/>
      <c r="AD2711" s="43"/>
      <c r="AE2711" s="43"/>
    </row>
    <row r="2712" spans="1:31" x14ac:dyDescent="0.35">
      <c r="C2712" s="33"/>
      <c r="D2712" s="34"/>
      <c r="E2712" s="34"/>
      <c r="F2712" s="34"/>
      <c r="G2712" s="34"/>
      <c r="H2712" s="34"/>
      <c r="I2712" s="34"/>
      <c r="J2712" s="34"/>
      <c r="K2712" s="34"/>
      <c r="L2712" s="34"/>
      <c r="M2712" s="34"/>
      <c r="N2712" s="34"/>
      <c r="O2712" s="34"/>
      <c r="AA2712" s="35"/>
      <c r="AB2712" s="35"/>
      <c r="AC2712" s="34"/>
      <c r="AD2712" s="34"/>
      <c r="AE2712" s="34"/>
    </row>
    <row r="2713" spans="1:31" ht="15" thickBot="1" x14ac:dyDescent="0.4">
      <c r="A2713" s="45"/>
      <c r="B2713" s="45"/>
      <c r="C2713" s="46"/>
      <c r="D2713" s="47"/>
      <c r="E2713" s="47"/>
      <c r="F2713" s="47"/>
      <c r="G2713" s="47"/>
      <c r="H2713" s="47"/>
      <c r="I2713" s="47"/>
      <c r="J2713" s="47"/>
      <c r="K2713" s="47"/>
      <c r="L2713" s="47"/>
      <c r="M2713" s="47"/>
      <c r="N2713" s="47"/>
      <c r="O2713" s="47"/>
      <c r="P2713" s="47"/>
      <c r="Q2713" s="47"/>
      <c r="R2713" s="47"/>
      <c r="S2713" s="47"/>
      <c r="T2713" s="45"/>
      <c r="U2713" s="45"/>
      <c r="V2713" s="45"/>
      <c r="W2713" s="45"/>
      <c r="X2713" s="47"/>
      <c r="Y2713" s="45"/>
      <c r="Z2713" s="45"/>
      <c r="AA2713" s="48"/>
      <c r="AB2713" s="48"/>
      <c r="AC2713" s="47"/>
      <c r="AD2713" s="47"/>
      <c r="AE2713" s="47"/>
    </row>
    <row r="2714" spans="1:31" x14ac:dyDescent="0.35">
      <c r="A2714" s="41"/>
      <c r="B2714" s="41"/>
      <c r="C2714" s="42"/>
      <c r="D2714" s="43"/>
      <c r="E2714" s="43"/>
      <c r="F2714" s="43"/>
      <c r="G2714" s="43"/>
      <c r="H2714" s="43"/>
      <c r="I2714" s="43"/>
      <c r="J2714" s="43"/>
      <c r="K2714" s="43"/>
      <c r="L2714" s="43"/>
      <c r="M2714" s="43"/>
      <c r="N2714" s="43"/>
      <c r="O2714" s="43"/>
      <c r="P2714" s="43"/>
      <c r="Q2714" s="43"/>
      <c r="R2714" s="43"/>
      <c r="S2714" s="43"/>
      <c r="T2714" s="43"/>
      <c r="U2714" s="43"/>
      <c r="V2714" s="41"/>
      <c r="W2714" s="41"/>
      <c r="X2714" s="41"/>
      <c r="Y2714" s="41"/>
      <c r="Z2714" s="41"/>
      <c r="AA2714" s="44"/>
      <c r="AB2714" s="44"/>
      <c r="AC2714" s="43"/>
      <c r="AD2714" s="43"/>
      <c r="AE2714" s="43"/>
    </row>
    <row r="2715" spans="1:31" x14ac:dyDescent="0.35">
      <c r="C2715" s="33"/>
      <c r="D2715" s="34"/>
      <c r="E2715" s="34"/>
      <c r="F2715" s="34"/>
      <c r="G2715" s="34"/>
      <c r="H2715" s="34"/>
      <c r="I2715" s="34"/>
      <c r="J2715" s="34"/>
      <c r="K2715" s="34"/>
      <c r="L2715" s="34"/>
      <c r="M2715" s="34"/>
      <c r="N2715" s="34"/>
      <c r="O2715" s="34"/>
      <c r="AA2715" s="35"/>
      <c r="AB2715" s="35"/>
      <c r="AC2715" s="34"/>
      <c r="AD2715" s="34"/>
      <c r="AE2715" s="34"/>
    </row>
    <row r="2716" spans="1:31" ht="15" thickBot="1" x14ac:dyDescent="0.4">
      <c r="A2716" s="45"/>
      <c r="B2716" s="45"/>
      <c r="C2716" s="46"/>
      <c r="D2716" s="47"/>
      <c r="E2716" s="47"/>
      <c r="F2716" s="47"/>
      <c r="G2716" s="47"/>
      <c r="H2716" s="47"/>
      <c r="I2716" s="47"/>
      <c r="J2716" s="47"/>
      <c r="K2716" s="47"/>
      <c r="L2716" s="47"/>
      <c r="M2716" s="47"/>
      <c r="N2716" s="47"/>
      <c r="O2716" s="47"/>
      <c r="P2716" s="47"/>
      <c r="Q2716" s="47"/>
      <c r="R2716" s="47"/>
      <c r="S2716" s="47"/>
      <c r="T2716" s="45"/>
      <c r="U2716" s="45"/>
      <c r="V2716" s="45"/>
      <c r="W2716" s="45"/>
      <c r="X2716" s="47"/>
      <c r="Y2716" s="45"/>
      <c r="Z2716" s="45"/>
      <c r="AA2716" s="48"/>
      <c r="AB2716" s="48"/>
      <c r="AC2716" s="47"/>
      <c r="AD2716" s="47"/>
      <c r="AE2716" s="47"/>
    </row>
    <row r="2717" spans="1:31" x14ac:dyDescent="0.35">
      <c r="A2717" s="41"/>
      <c r="B2717" s="41"/>
      <c r="C2717" s="42"/>
      <c r="D2717" s="43"/>
      <c r="E2717" s="43"/>
      <c r="F2717" s="43"/>
      <c r="G2717" s="43"/>
      <c r="H2717" s="43"/>
      <c r="I2717" s="43"/>
      <c r="J2717" s="43"/>
      <c r="K2717" s="43"/>
      <c r="L2717" s="43"/>
      <c r="M2717" s="43"/>
      <c r="N2717" s="43"/>
      <c r="O2717" s="43"/>
      <c r="P2717" s="43"/>
      <c r="Q2717" s="43"/>
      <c r="R2717" s="43"/>
      <c r="S2717" s="43"/>
      <c r="T2717" s="43"/>
      <c r="U2717" s="43"/>
      <c r="V2717" s="41"/>
      <c r="W2717" s="41"/>
      <c r="X2717" s="41"/>
      <c r="Y2717" s="41"/>
      <c r="Z2717" s="41"/>
      <c r="AA2717" s="44"/>
      <c r="AB2717" s="44"/>
      <c r="AC2717" s="43"/>
      <c r="AD2717" s="43"/>
      <c r="AE2717" s="43"/>
    </row>
    <row r="2718" spans="1:31" x14ac:dyDescent="0.35">
      <c r="C2718" s="33"/>
      <c r="D2718" s="34"/>
      <c r="E2718" s="34"/>
      <c r="F2718" s="34"/>
      <c r="G2718" s="34"/>
      <c r="H2718" s="34"/>
      <c r="I2718" s="34"/>
      <c r="J2718" s="34"/>
      <c r="K2718" s="34"/>
      <c r="L2718" s="34"/>
      <c r="M2718" s="34"/>
      <c r="N2718" s="34"/>
      <c r="O2718" s="34"/>
      <c r="AA2718" s="35"/>
      <c r="AB2718" s="35"/>
      <c r="AC2718" s="34"/>
      <c r="AD2718" s="34"/>
      <c r="AE2718" s="34"/>
    </row>
    <row r="2719" spans="1:31" ht="15" thickBot="1" x14ac:dyDescent="0.4">
      <c r="A2719" s="45"/>
      <c r="B2719" s="45"/>
      <c r="C2719" s="46"/>
      <c r="D2719" s="47"/>
      <c r="E2719" s="47"/>
      <c r="F2719" s="47"/>
      <c r="G2719" s="47"/>
      <c r="H2719" s="47"/>
      <c r="I2719" s="47"/>
      <c r="J2719" s="47"/>
      <c r="K2719" s="47"/>
      <c r="L2719" s="47"/>
      <c r="M2719" s="47"/>
      <c r="N2719" s="47"/>
      <c r="O2719" s="47"/>
      <c r="P2719" s="47"/>
      <c r="Q2719" s="47"/>
      <c r="R2719" s="47"/>
      <c r="S2719" s="47"/>
      <c r="T2719" s="45"/>
      <c r="U2719" s="45"/>
      <c r="V2719" s="45"/>
      <c r="W2719" s="45"/>
      <c r="X2719" s="47"/>
      <c r="Y2719" s="45"/>
      <c r="Z2719" s="45"/>
      <c r="AA2719" s="48"/>
      <c r="AB2719" s="48"/>
      <c r="AC2719" s="47"/>
      <c r="AD2719" s="47"/>
      <c r="AE2719" s="47"/>
    </row>
    <row r="2720" spans="1:31" x14ac:dyDescent="0.35">
      <c r="A2720" s="41"/>
      <c r="B2720" s="41"/>
      <c r="C2720" s="42"/>
      <c r="D2720" s="43"/>
      <c r="E2720" s="43"/>
      <c r="F2720" s="43"/>
      <c r="G2720" s="43"/>
      <c r="H2720" s="43"/>
      <c r="I2720" s="43"/>
      <c r="J2720" s="43"/>
      <c r="K2720" s="43"/>
      <c r="L2720" s="43"/>
      <c r="M2720" s="43"/>
      <c r="N2720" s="43"/>
      <c r="O2720" s="43"/>
      <c r="P2720" s="43"/>
      <c r="Q2720" s="43"/>
      <c r="R2720" s="43"/>
      <c r="S2720" s="43"/>
      <c r="T2720" s="43"/>
      <c r="U2720" s="43"/>
      <c r="V2720" s="41"/>
      <c r="W2720" s="41"/>
      <c r="X2720" s="41"/>
      <c r="Y2720" s="41"/>
      <c r="Z2720" s="41"/>
      <c r="AA2720" s="44"/>
      <c r="AB2720" s="44"/>
      <c r="AC2720" s="43"/>
      <c r="AD2720" s="43"/>
      <c r="AE2720" s="43"/>
    </row>
    <row r="2721" spans="1:31" x14ac:dyDescent="0.35">
      <c r="C2721" s="33"/>
      <c r="D2721" s="34"/>
      <c r="E2721" s="34"/>
      <c r="F2721" s="34"/>
      <c r="G2721" s="34"/>
      <c r="H2721" s="34"/>
      <c r="I2721" s="34"/>
      <c r="J2721" s="34"/>
      <c r="K2721" s="34"/>
      <c r="L2721" s="34"/>
      <c r="M2721" s="34"/>
      <c r="N2721" s="34"/>
      <c r="O2721" s="34"/>
      <c r="AA2721" s="35"/>
      <c r="AB2721" s="35"/>
      <c r="AC2721" s="34"/>
      <c r="AD2721" s="34"/>
      <c r="AE2721" s="34"/>
    </row>
    <row r="2722" spans="1:31" ht="15" thickBot="1" x14ac:dyDescent="0.4">
      <c r="A2722" s="45"/>
      <c r="B2722" s="45"/>
      <c r="C2722" s="46"/>
      <c r="D2722" s="47"/>
      <c r="E2722" s="47"/>
      <c r="F2722" s="47"/>
      <c r="G2722" s="47"/>
      <c r="H2722" s="47"/>
      <c r="I2722" s="47"/>
      <c r="J2722" s="47"/>
      <c r="K2722" s="47"/>
      <c r="L2722" s="47"/>
      <c r="M2722" s="47"/>
      <c r="N2722" s="47"/>
      <c r="O2722" s="47"/>
      <c r="P2722" s="47"/>
      <c r="Q2722" s="47"/>
      <c r="R2722" s="47"/>
      <c r="S2722" s="47"/>
      <c r="T2722" s="45"/>
      <c r="U2722" s="45"/>
      <c r="V2722" s="45"/>
      <c r="W2722" s="45"/>
      <c r="X2722" s="47"/>
      <c r="Y2722" s="45"/>
      <c r="Z2722" s="45"/>
      <c r="AA2722" s="48"/>
      <c r="AB2722" s="48"/>
      <c r="AC2722" s="47"/>
      <c r="AD2722" s="47"/>
      <c r="AE2722" s="47"/>
    </row>
    <row r="2723" spans="1:31" x14ac:dyDescent="0.35">
      <c r="A2723" s="41"/>
      <c r="B2723" s="41"/>
      <c r="C2723" s="42"/>
      <c r="D2723" s="43"/>
      <c r="E2723" s="43"/>
      <c r="F2723" s="43"/>
      <c r="G2723" s="43"/>
      <c r="H2723" s="43"/>
      <c r="I2723" s="43"/>
      <c r="J2723" s="43"/>
      <c r="K2723" s="43"/>
      <c r="L2723" s="43"/>
      <c r="M2723" s="43"/>
      <c r="N2723" s="43"/>
      <c r="O2723" s="43"/>
      <c r="P2723" s="43"/>
      <c r="Q2723" s="43"/>
      <c r="R2723" s="43"/>
      <c r="S2723" s="43"/>
      <c r="T2723" s="43"/>
      <c r="U2723" s="43"/>
      <c r="V2723" s="41"/>
      <c r="W2723" s="41"/>
      <c r="X2723" s="41"/>
      <c r="Y2723" s="41"/>
      <c r="Z2723" s="41"/>
      <c r="AA2723" s="44"/>
      <c r="AB2723" s="44"/>
      <c r="AC2723" s="43"/>
      <c r="AD2723" s="43"/>
      <c r="AE2723" s="43"/>
    </row>
    <row r="2724" spans="1:31" x14ac:dyDescent="0.35">
      <c r="C2724" s="33"/>
      <c r="D2724" s="34"/>
      <c r="E2724" s="34"/>
      <c r="F2724" s="34"/>
      <c r="G2724" s="34"/>
      <c r="H2724" s="34"/>
      <c r="I2724" s="34"/>
      <c r="J2724" s="34"/>
      <c r="K2724" s="34"/>
      <c r="L2724" s="34"/>
      <c r="M2724" s="34"/>
      <c r="N2724" s="34"/>
      <c r="O2724" s="34"/>
      <c r="AA2724" s="35"/>
      <c r="AB2724" s="35"/>
      <c r="AC2724" s="34"/>
      <c r="AD2724" s="34"/>
      <c r="AE2724" s="34"/>
    </row>
    <row r="2725" spans="1:31" ht="15" thickBot="1" x14ac:dyDescent="0.4">
      <c r="A2725" s="45"/>
      <c r="B2725" s="45"/>
      <c r="C2725" s="46"/>
      <c r="D2725" s="47"/>
      <c r="E2725" s="47"/>
      <c r="F2725" s="47"/>
      <c r="G2725" s="47"/>
      <c r="H2725" s="47"/>
      <c r="I2725" s="47"/>
      <c r="J2725" s="47"/>
      <c r="K2725" s="47"/>
      <c r="L2725" s="47"/>
      <c r="M2725" s="47"/>
      <c r="N2725" s="47"/>
      <c r="O2725" s="47"/>
      <c r="P2725" s="47"/>
      <c r="Q2725" s="47"/>
      <c r="R2725" s="47"/>
      <c r="S2725" s="47"/>
      <c r="T2725" s="45"/>
      <c r="U2725" s="45"/>
      <c r="V2725" s="45"/>
      <c r="W2725" s="45"/>
      <c r="X2725" s="47"/>
      <c r="Y2725" s="45"/>
      <c r="Z2725" s="45"/>
      <c r="AA2725" s="48"/>
      <c r="AB2725" s="48"/>
      <c r="AC2725" s="47"/>
      <c r="AD2725" s="47"/>
      <c r="AE2725" s="47"/>
    </row>
    <row r="2726" spans="1:31" x14ac:dyDescent="0.35">
      <c r="A2726" s="41"/>
      <c r="B2726" s="41"/>
      <c r="C2726" s="42"/>
      <c r="D2726" s="43"/>
      <c r="E2726" s="43"/>
      <c r="F2726" s="43"/>
      <c r="G2726" s="43"/>
      <c r="H2726" s="43"/>
      <c r="I2726" s="43"/>
      <c r="J2726" s="43"/>
      <c r="K2726" s="43"/>
      <c r="L2726" s="43"/>
      <c r="M2726" s="43"/>
      <c r="N2726" s="43"/>
      <c r="O2726" s="43"/>
      <c r="P2726" s="43"/>
      <c r="Q2726" s="43"/>
      <c r="R2726" s="43"/>
      <c r="S2726" s="43"/>
      <c r="T2726" s="43"/>
      <c r="U2726" s="43"/>
      <c r="V2726" s="41"/>
      <c r="W2726" s="41"/>
      <c r="X2726" s="41"/>
      <c r="Y2726" s="41"/>
      <c r="Z2726" s="41"/>
      <c r="AA2726" s="44"/>
      <c r="AB2726" s="44"/>
      <c r="AC2726" s="43"/>
      <c r="AD2726" s="43"/>
      <c r="AE2726" s="43"/>
    </row>
    <row r="2727" spans="1:31" x14ac:dyDescent="0.35">
      <c r="C2727" s="33"/>
      <c r="D2727" s="34"/>
      <c r="E2727" s="34"/>
      <c r="F2727" s="34"/>
      <c r="G2727" s="34"/>
      <c r="H2727" s="34"/>
      <c r="I2727" s="34"/>
      <c r="J2727" s="34"/>
      <c r="K2727" s="34"/>
      <c r="L2727" s="34"/>
      <c r="M2727" s="34"/>
      <c r="N2727" s="34"/>
      <c r="O2727" s="34"/>
      <c r="AA2727" s="35"/>
      <c r="AB2727" s="35"/>
      <c r="AC2727" s="34"/>
      <c r="AD2727" s="34"/>
      <c r="AE2727" s="34"/>
    </row>
    <row r="2728" spans="1:31" ht="15" thickBot="1" x14ac:dyDescent="0.4">
      <c r="A2728" s="45"/>
      <c r="B2728" s="45"/>
      <c r="C2728" s="46"/>
      <c r="D2728" s="47"/>
      <c r="E2728" s="47"/>
      <c r="F2728" s="47"/>
      <c r="G2728" s="47"/>
      <c r="H2728" s="47"/>
      <c r="I2728" s="47"/>
      <c r="J2728" s="47"/>
      <c r="K2728" s="47"/>
      <c r="L2728" s="47"/>
      <c r="M2728" s="47"/>
      <c r="N2728" s="47"/>
      <c r="O2728" s="47"/>
      <c r="P2728" s="47"/>
      <c r="Q2728" s="47"/>
      <c r="R2728" s="47"/>
      <c r="S2728" s="47"/>
      <c r="T2728" s="45"/>
      <c r="U2728" s="45"/>
      <c r="V2728" s="45"/>
      <c r="W2728" s="45"/>
      <c r="X2728" s="47"/>
      <c r="Y2728" s="45"/>
      <c r="Z2728" s="45"/>
      <c r="AA2728" s="48"/>
      <c r="AB2728" s="48"/>
      <c r="AC2728" s="47"/>
      <c r="AD2728" s="47"/>
      <c r="AE2728" s="47"/>
    </row>
    <row r="2729" spans="1:31" x14ac:dyDescent="0.35">
      <c r="A2729" s="41"/>
      <c r="B2729" s="41"/>
      <c r="C2729" s="42"/>
      <c r="D2729" s="43"/>
      <c r="E2729" s="43"/>
      <c r="F2729" s="43"/>
      <c r="G2729" s="43"/>
      <c r="H2729" s="43"/>
      <c r="I2729" s="43"/>
      <c r="J2729" s="43"/>
      <c r="K2729" s="43"/>
      <c r="L2729" s="43"/>
      <c r="M2729" s="43"/>
      <c r="N2729" s="43"/>
      <c r="O2729" s="43"/>
      <c r="P2729" s="43"/>
      <c r="Q2729" s="43"/>
      <c r="R2729" s="43"/>
      <c r="S2729" s="43"/>
      <c r="T2729" s="43"/>
      <c r="U2729" s="43"/>
      <c r="V2729" s="41"/>
      <c r="W2729" s="41"/>
      <c r="X2729" s="41"/>
      <c r="Y2729" s="41"/>
      <c r="Z2729" s="41"/>
      <c r="AA2729" s="44"/>
      <c r="AB2729" s="44"/>
      <c r="AC2729" s="43"/>
      <c r="AD2729" s="43"/>
      <c r="AE2729" s="43"/>
    </row>
    <row r="2730" spans="1:31" x14ac:dyDescent="0.35">
      <c r="C2730" s="33"/>
      <c r="D2730" s="34"/>
      <c r="E2730" s="34"/>
      <c r="F2730" s="34"/>
      <c r="G2730" s="34"/>
      <c r="H2730" s="34"/>
      <c r="I2730" s="34"/>
      <c r="J2730" s="34"/>
      <c r="K2730" s="34"/>
      <c r="L2730" s="34"/>
      <c r="M2730" s="34"/>
      <c r="N2730" s="34"/>
      <c r="O2730" s="34"/>
      <c r="AA2730" s="35"/>
      <c r="AB2730" s="35"/>
      <c r="AC2730" s="34"/>
      <c r="AD2730" s="34"/>
      <c r="AE2730" s="34"/>
    </row>
    <row r="2731" spans="1:31" ht="15" thickBot="1" x14ac:dyDescent="0.4">
      <c r="A2731" s="45"/>
      <c r="B2731" s="45"/>
      <c r="C2731" s="46"/>
      <c r="D2731" s="47"/>
      <c r="E2731" s="47"/>
      <c r="F2731" s="47"/>
      <c r="G2731" s="47"/>
      <c r="H2731" s="47"/>
      <c r="I2731" s="47"/>
      <c r="J2731" s="47"/>
      <c r="K2731" s="47"/>
      <c r="L2731" s="47"/>
      <c r="M2731" s="47"/>
      <c r="N2731" s="47"/>
      <c r="O2731" s="47"/>
      <c r="P2731" s="47"/>
      <c r="Q2731" s="47"/>
      <c r="R2731" s="47"/>
      <c r="S2731" s="47"/>
      <c r="T2731" s="45"/>
      <c r="U2731" s="45"/>
      <c r="V2731" s="45"/>
      <c r="W2731" s="45"/>
      <c r="X2731" s="47"/>
      <c r="Y2731" s="45"/>
      <c r="Z2731" s="45"/>
      <c r="AA2731" s="48"/>
      <c r="AB2731" s="48"/>
      <c r="AC2731" s="47"/>
      <c r="AD2731" s="47"/>
      <c r="AE2731" s="47"/>
    </row>
    <row r="2732" spans="1:31" x14ac:dyDescent="0.35">
      <c r="A2732" s="41"/>
      <c r="B2732" s="41"/>
      <c r="C2732" s="42"/>
      <c r="D2732" s="43"/>
      <c r="E2732" s="43"/>
      <c r="F2732" s="43"/>
      <c r="G2732" s="43"/>
      <c r="H2732" s="43"/>
      <c r="I2732" s="43"/>
      <c r="J2732" s="43"/>
      <c r="K2732" s="43"/>
      <c r="L2732" s="43"/>
      <c r="M2732" s="43"/>
      <c r="N2732" s="43"/>
      <c r="O2732" s="43"/>
      <c r="P2732" s="43"/>
      <c r="Q2732" s="43"/>
      <c r="R2732" s="43"/>
      <c r="S2732" s="43"/>
      <c r="T2732" s="43"/>
      <c r="U2732" s="43"/>
      <c r="V2732" s="41"/>
      <c r="W2732" s="41"/>
      <c r="X2732" s="41"/>
      <c r="Y2732" s="41"/>
      <c r="Z2732" s="41"/>
      <c r="AA2732" s="44"/>
      <c r="AB2732" s="44"/>
      <c r="AC2732" s="43"/>
      <c r="AD2732" s="43"/>
      <c r="AE2732" s="43"/>
    </row>
    <row r="2733" spans="1:31" x14ac:dyDescent="0.35">
      <c r="C2733" s="33"/>
      <c r="D2733" s="34"/>
      <c r="E2733" s="34"/>
      <c r="F2733" s="34"/>
      <c r="G2733" s="34"/>
      <c r="H2733" s="34"/>
      <c r="I2733" s="34"/>
      <c r="J2733" s="34"/>
      <c r="K2733" s="34"/>
      <c r="L2733" s="34"/>
      <c r="M2733" s="34"/>
      <c r="N2733" s="34"/>
      <c r="O2733" s="34"/>
      <c r="AA2733" s="35"/>
      <c r="AB2733" s="35"/>
      <c r="AC2733" s="34"/>
      <c r="AD2733" s="34"/>
      <c r="AE2733" s="34"/>
    </row>
    <row r="2734" spans="1:31" ht="15" thickBot="1" x14ac:dyDescent="0.4">
      <c r="A2734" s="45"/>
      <c r="B2734" s="45"/>
      <c r="C2734" s="46"/>
      <c r="D2734" s="47"/>
      <c r="E2734" s="47"/>
      <c r="F2734" s="47"/>
      <c r="G2734" s="47"/>
      <c r="H2734" s="47"/>
      <c r="I2734" s="47"/>
      <c r="J2734" s="47"/>
      <c r="K2734" s="47"/>
      <c r="L2734" s="47"/>
      <c r="M2734" s="47"/>
      <c r="N2734" s="47"/>
      <c r="O2734" s="47"/>
      <c r="P2734" s="47"/>
      <c r="Q2734" s="47"/>
      <c r="R2734" s="47"/>
      <c r="S2734" s="47"/>
      <c r="T2734" s="45"/>
      <c r="U2734" s="45"/>
      <c r="V2734" s="45"/>
      <c r="W2734" s="45"/>
      <c r="X2734" s="47"/>
      <c r="Y2734" s="45"/>
      <c r="Z2734" s="45"/>
      <c r="AA2734" s="48"/>
      <c r="AB2734" s="48"/>
      <c r="AC2734" s="47"/>
      <c r="AD2734" s="47"/>
      <c r="AE2734" s="47"/>
    </row>
    <row r="2735" spans="1:31" x14ac:dyDescent="0.35">
      <c r="A2735" s="41"/>
      <c r="B2735" s="41"/>
      <c r="C2735" s="42"/>
      <c r="D2735" s="43"/>
      <c r="E2735" s="43"/>
      <c r="F2735" s="43"/>
      <c r="G2735" s="43"/>
      <c r="H2735" s="43"/>
      <c r="I2735" s="43"/>
      <c r="J2735" s="43"/>
      <c r="K2735" s="43"/>
      <c r="L2735" s="43"/>
      <c r="M2735" s="43"/>
      <c r="N2735" s="43"/>
      <c r="O2735" s="43"/>
      <c r="P2735" s="43"/>
      <c r="Q2735" s="43"/>
      <c r="R2735" s="43"/>
      <c r="S2735" s="43"/>
      <c r="T2735" s="43"/>
      <c r="U2735" s="43"/>
      <c r="V2735" s="41"/>
      <c r="W2735" s="41"/>
      <c r="X2735" s="41"/>
      <c r="Y2735" s="41"/>
      <c r="Z2735" s="41"/>
      <c r="AA2735" s="44"/>
      <c r="AB2735" s="44"/>
      <c r="AC2735" s="43"/>
      <c r="AD2735" s="43"/>
      <c r="AE2735" s="43"/>
    </row>
    <row r="2736" spans="1:31" x14ac:dyDescent="0.35">
      <c r="C2736" s="33"/>
      <c r="D2736" s="34"/>
      <c r="E2736" s="34"/>
      <c r="F2736" s="34"/>
      <c r="G2736" s="34"/>
      <c r="H2736" s="34"/>
      <c r="I2736" s="34"/>
      <c r="J2736" s="34"/>
      <c r="K2736" s="34"/>
      <c r="L2736" s="34"/>
      <c r="M2736" s="34"/>
      <c r="N2736" s="34"/>
      <c r="O2736" s="34"/>
      <c r="AA2736" s="35"/>
      <c r="AB2736" s="35"/>
      <c r="AC2736" s="34"/>
      <c r="AD2736" s="34"/>
      <c r="AE2736" s="34"/>
    </row>
    <row r="2737" spans="1:31" ht="15" thickBot="1" x14ac:dyDescent="0.4">
      <c r="A2737" s="45"/>
      <c r="B2737" s="45"/>
      <c r="C2737" s="46"/>
      <c r="D2737" s="47"/>
      <c r="E2737" s="47"/>
      <c r="F2737" s="47"/>
      <c r="G2737" s="47"/>
      <c r="H2737" s="47"/>
      <c r="I2737" s="47"/>
      <c r="J2737" s="47"/>
      <c r="K2737" s="47"/>
      <c r="L2737" s="47"/>
      <c r="M2737" s="47"/>
      <c r="N2737" s="47"/>
      <c r="O2737" s="47"/>
      <c r="P2737" s="47"/>
      <c r="Q2737" s="47"/>
      <c r="R2737" s="47"/>
      <c r="S2737" s="47"/>
      <c r="T2737" s="45"/>
      <c r="U2737" s="45"/>
      <c r="V2737" s="45"/>
      <c r="W2737" s="45"/>
      <c r="X2737" s="47"/>
      <c r="Y2737" s="45"/>
      <c r="Z2737" s="45"/>
      <c r="AA2737" s="48"/>
      <c r="AB2737" s="48"/>
      <c r="AC2737" s="47"/>
      <c r="AD2737" s="47"/>
      <c r="AE2737" s="47"/>
    </row>
    <row r="2738" spans="1:31" x14ac:dyDescent="0.35">
      <c r="A2738" s="41"/>
      <c r="B2738" s="41"/>
      <c r="C2738" s="42"/>
      <c r="D2738" s="43"/>
      <c r="E2738" s="43"/>
      <c r="F2738" s="43"/>
      <c r="G2738" s="43"/>
      <c r="H2738" s="43"/>
      <c r="I2738" s="43"/>
      <c r="J2738" s="43"/>
      <c r="K2738" s="43"/>
      <c r="L2738" s="43"/>
      <c r="M2738" s="43"/>
      <c r="N2738" s="43"/>
      <c r="O2738" s="43"/>
      <c r="P2738" s="43"/>
      <c r="Q2738" s="43"/>
      <c r="R2738" s="43"/>
      <c r="S2738" s="43"/>
      <c r="T2738" s="43"/>
      <c r="U2738" s="43"/>
      <c r="V2738" s="41"/>
      <c r="W2738" s="41"/>
      <c r="X2738" s="41"/>
      <c r="Y2738" s="41"/>
      <c r="Z2738" s="41"/>
      <c r="AA2738" s="44"/>
      <c r="AB2738" s="44"/>
      <c r="AC2738" s="43"/>
      <c r="AD2738" s="43"/>
      <c r="AE2738" s="43"/>
    </row>
    <row r="2739" spans="1:31" x14ac:dyDescent="0.35">
      <c r="C2739" s="33"/>
      <c r="D2739" s="34"/>
      <c r="E2739" s="34"/>
      <c r="F2739" s="34"/>
      <c r="G2739" s="34"/>
      <c r="H2739" s="34"/>
      <c r="I2739" s="34"/>
      <c r="J2739" s="34"/>
      <c r="K2739" s="34"/>
      <c r="L2739" s="34"/>
      <c r="M2739" s="34"/>
      <c r="N2739" s="34"/>
      <c r="O2739" s="34"/>
      <c r="AA2739" s="35"/>
      <c r="AB2739" s="35"/>
      <c r="AC2739" s="34"/>
      <c r="AD2739" s="34"/>
      <c r="AE2739" s="34"/>
    </row>
    <row r="2740" spans="1:31" ht="15" thickBot="1" x14ac:dyDescent="0.4">
      <c r="A2740" s="45"/>
      <c r="B2740" s="45"/>
      <c r="C2740" s="46"/>
      <c r="D2740" s="47"/>
      <c r="E2740" s="47"/>
      <c r="F2740" s="47"/>
      <c r="G2740" s="47"/>
      <c r="H2740" s="47"/>
      <c r="I2740" s="47"/>
      <c r="J2740" s="47"/>
      <c r="K2740" s="47"/>
      <c r="L2740" s="47"/>
      <c r="M2740" s="47"/>
      <c r="N2740" s="47"/>
      <c r="O2740" s="47"/>
      <c r="P2740" s="47"/>
      <c r="Q2740" s="47"/>
      <c r="R2740" s="47"/>
      <c r="S2740" s="47"/>
      <c r="T2740" s="45"/>
      <c r="U2740" s="45"/>
      <c r="V2740" s="45"/>
      <c r="W2740" s="45"/>
      <c r="X2740" s="47"/>
      <c r="Y2740" s="45"/>
      <c r="Z2740" s="45"/>
      <c r="AA2740" s="48"/>
      <c r="AB2740" s="48"/>
      <c r="AC2740" s="47"/>
      <c r="AD2740" s="47"/>
      <c r="AE2740" s="47"/>
    </row>
    <row r="2741" spans="1:31" x14ac:dyDescent="0.35">
      <c r="A2741" s="41"/>
      <c r="B2741" s="41"/>
      <c r="C2741" s="42"/>
      <c r="D2741" s="43"/>
      <c r="E2741" s="43"/>
      <c r="F2741" s="43"/>
      <c r="G2741" s="43"/>
      <c r="H2741" s="43"/>
      <c r="I2741" s="43"/>
      <c r="J2741" s="43"/>
      <c r="K2741" s="43"/>
      <c r="L2741" s="43"/>
      <c r="M2741" s="43"/>
      <c r="N2741" s="43"/>
      <c r="O2741" s="43"/>
      <c r="P2741" s="43"/>
      <c r="Q2741" s="43"/>
      <c r="R2741" s="43"/>
      <c r="S2741" s="43"/>
      <c r="T2741" s="43"/>
      <c r="U2741" s="43"/>
      <c r="V2741" s="41"/>
      <c r="W2741" s="41"/>
      <c r="X2741" s="41"/>
      <c r="Y2741" s="41"/>
      <c r="Z2741" s="41"/>
      <c r="AA2741" s="44"/>
      <c r="AB2741" s="44"/>
      <c r="AC2741" s="43"/>
      <c r="AD2741" s="43"/>
      <c r="AE2741" s="43"/>
    </row>
    <row r="2742" spans="1:31" x14ac:dyDescent="0.35">
      <c r="C2742" s="33"/>
      <c r="D2742" s="34"/>
      <c r="E2742" s="34"/>
      <c r="F2742" s="34"/>
      <c r="G2742" s="34"/>
      <c r="H2742" s="34"/>
      <c r="I2742" s="34"/>
      <c r="J2742" s="34"/>
      <c r="K2742" s="34"/>
      <c r="L2742" s="34"/>
      <c r="M2742" s="34"/>
      <c r="N2742" s="34"/>
      <c r="O2742" s="34"/>
      <c r="AA2742" s="35"/>
      <c r="AB2742" s="35"/>
      <c r="AC2742" s="34"/>
      <c r="AD2742" s="34"/>
      <c r="AE2742" s="34"/>
    </row>
    <row r="2743" spans="1:31" ht="15" thickBot="1" x14ac:dyDescent="0.4">
      <c r="A2743" s="45"/>
      <c r="B2743" s="45"/>
      <c r="C2743" s="46"/>
      <c r="D2743" s="47"/>
      <c r="E2743" s="47"/>
      <c r="F2743" s="47"/>
      <c r="G2743" s="47"/>
      <c r="H2743" s="47"/>
      <c r="I2743" s="47"/>
      <c r="J2743" s="47"/>
      <c r="K2743" s="47"/>
      <c r="L2743" s="47"/>
      <c r="M2743" s="47"/>
      <c r="N2743" s="47"/>
      <c r="O2743" s="47"/>
      <c r="P2743" s="47"/>
      <c r="Q2743" s="47"/>
      <c r="R2743" s="47"/>
      <c r="S2743" s="47"/>
      <c r="T2743" s="45"/>
      <c r="U2743" s="45"/>
      <c r="V2743" s="45"/>
      <c r="W2743" s="45"/>
      <c r="X2743" s="47"/>
      <c r="Y2743" s="45"/>
      <c r="Z2743" s="45"/>
      <c r="AA2743" s="48"/>
      <c r="AB2743" s="48"/>
      <c r="AC2743" s="47"/>
      <c r="AD2743" s="47"/>
      <c r="AE2743" s="47"/>
    </row>
    <row r="2744" spans="1:31" x14ac:dyDescent="0.35">
      <c r="A2744" s="41"/>
      <c r="B2744" s="41"/>
      <c r="C2744" s="42"/>
      <c r="D2744" s="43"/>
      <c r="E2744" s="43"/>
      <c r="F2744" s="43"/>
      <c r="G2744" s="43"/>
      <c r="H2744" s="43"/>
      <c r="I2744" s="43"/>
      <c r="J2744" s="43"/>
      <c r="K2744" s="43"/>
      <c r="L2744" s="43"/>
      <c r="M2744" s="43"/>
      <c r="N2744" s="43"/>
      <c r="O2744" s="43"/>
      <c r="P2744" s="43"/>
      <c r="Q2744" s="43"/>
      <c r="R2744" s="43"/>
      <c r="S2744" s="43"/>
      <c r="T2744" s="43"/>
      <c r="U2744" s="43"/>
      <c r="V2744" s="41"/>
      <c r="W2744" s="41"/>
      <c r="X2744" s="41"/>
      <c r="Y2744" s="41"/>
      <c r="Z2744" s="41"/>
      <c r="AA2744" s="44"/>
      <c r="AB2744" s="44"/>
      <c r="AC2744" s="43"/>
      <c r="AD2744" s="43"/>
      <c r="AE2744" s="43"/>
    </row>
    <row r="2745" spans="1:31" x14ac:dyDescent="0.35">
      <c r="C2745" s="33"/>
      <c r="D2745" s="34"/>
      <c r="E2745" s="34"/>
      <c r="F2745" s="34"/>
      <c r="G2745" s="34"/>
      <c r="H2745" s="34"/>
      <c r="I2745" s="34"/>
      <c r="J2745" s="34"/>
      <c r="K2745" s="34"/>
      <c r="L2745" s="34"/>
      <c r="M2745" s="34"/>
      <c r="N2745" s="34"/>
      <c r="O2745" s="34"/>
      <c r="AA2745" s="35"/>
      <c r="AB2745" s="35"/>
      <c r="AC2745" s="34"/>
      <c r="AD2745" s="34"/>
      <c r="AE2745" s="34"/>
    </row>
    <row r="2746" spans="1:31" ht="15" thickBot="1" x14ac:dyDescent="0.4">
      <c r="A2746" s="45"/>
      <c r="B2746" s="45"/>
      <c r="C2746" s="46"/>
      <c r="D2746" s="47"/>
      <c r="E2746" s="47"/>
      <c r="F2746" s="47"/>
      <c r="G2746" s="47"/>
      <c r="H2746" s="47"/>
      <c r="I2746" s="47"/>
      <c r="J2746" s="47"/>
      <c r="K2746" s="47"/>
      <c r="L2746" s="47"/>
      <c r="M2746" s="47"/>
      <c r="N2746" s="47"/>
      <c r="O2746" s="47"/>
      <c r="P2746" s="47"/>
      <c r="Q2746" s="47"/>
      <c r="R2746" s="47"/>
      <c r="S2746" s="47"/>
      <c r="T2746" s="45"/>
      <c r="U2746" s="45"/>
      <c r="V2746" s="45"/>
      <c r="W2746" s="45"/>
      <c r="X2746" s="47"/>
      <c r="Y2746" s="45"/>
      <c r="Z2746" s="45"/>
      <c r="AA2746" s="48"/>
      <c r="AB2746" s="48"/>
      <c r="AC2746" s="47"/>
      <c r="AD2746" s="47"/>
      <c r="AE2746" s="47"/>
    </row>
    <row r="2747" spans="1:31" x14ac:dyDescent="0.35">
      <c r="A2747" s="41"/>
      <c r="B2747" s="41"/>
      <c r="C2747" s="42"/>
      <c r="D2747" s="43"/>
      <c r="E2747" s="43"/>
      <c r="F2747" s="43"/>
      <c r="G2747" s="43"/>
      <c r="H2747" s="43"/>
      <c r="I2747" s="43"/>
      <c r="J2747" s="43"/>
      <c r="K2747" s="43"/>
      <c r="L2747" s="43"/>
      <c r="M2747" s="43"/>
      <c r="N2747" s="43"/>
      <c r="O2747" s="43"/>
      <c r="P2747" s="43"/>
      <c r="Q2747" s="43"/>
      <c r="R2747" s="43"/>
      <c r="S2747" s="43"/>
      <c r="T2747" s="43"/>
      <c r="U2747" s="43"/>
      <c r="V2747" s="41"/>
      <c r="W2747" s="41"/>
      <c r="X2747" s="41"/>
      <c r="Y2747" s="41"/>
      <c r="Z2747" s="41"/>
      <c r="AA2747" s="44"/>
      <c r="AB2747" s="44"/>
      <c r="AC2747" s="43"/>
      <c r="AD2747" s="43"/>
      <c r="AE2747" s="43"/>
    </row>
    <row r="2748" spans="1:31" x14ac:dyDescent="0.35">
      <c r="C2748" s="33"/>
      <c r="D2748" s="34"/>
      <c r="E2748" s="34"/>
      <c r="F2748" s="34"/>
      <c r="G2748" s="34"/>
      <c r="H2748" s="34"/>
      <c r="I2748" s="34"/>
      <c r="J2748" s="34"/>
      <c r="K2748" s="34"/>
      <c r="L2748" s="34"/>
      <c r="M2748" s="34"/>
      <c r="N2748" s="34"/>
      <c r="O2748" s="34"/>
      <c r="AA2748" s="35"/>
      <c r="AB2748" s="35"/>
      <c r="AC2748" s="34"/>
      <c r="AD2748" s="34"/>
      <c r="AE2748" s="34"/>
    </row>
    <row r="2749" spans="1:31" ht="15" thickBot="1" x14ac:dyDescent="0.4">
      <c r="A2749" s="45"/>
      <c r="B2749" s="45"/>
      <c r="C2749" s="46"/>
      <c r="D2749" s="47"/>
      <c r="E2749" s="47"/>
      <c r="F2749" s="47"/>
      <c r="G2749" s="47"/>
      <c r="H2749" s="47"/>
      <c r="I2749" s="47"/>
      <c r="J2749" s="47"/>
      <c r="K2749" s="47"/>
      <c r="L2749" s="47"/>
      <c r="M2749" s="47"/>
      <c r="N2749" s="47"/>
      <c r="O2749" s="47"/>
      <c r="P2749" s="47"/>
      <c r="Q2749" s="47"/>
      <c r="R2749" s="47"/>
      <c r="S2749" s="47"/>
      <c r="T2749" s="45"/>
      <c r="U2749" s="45"/>
      <c r="V2749" s="45"/>
      <c r="W2749" s="45"/>
      <c r="X2749" s="47"/>
      <c r="Y2749" s="45"/>
      <c r="Z2749" s="45"/>
      <c r="AA2749" s="48"/>
      <c r="AB2749" s="48"/>
      <c r="AC2749" s="47"/>
      <c r="AD2749" s="47"/>
      <c r="AE2749" s="47"/>
    </row>
    <row r="2750" spans="1:31" x14ac:dyDescent="0.35">
      <c r="A2750" s="41"/>
      <c r="B2750" s="41"/>
      <c r="C2750" s="42"/>
      <c r="D2750" s="43"/>
      <c r="E2750" s="43"/>
      <c r="F2750" s="43"/>
      <c r="G2750" s="43"/>
      <c r="H2750" s="43"/>
      <c r="I2750" s="43"/>
      <c r="J2750" s="43"/>
      <c r="K2750" s="43"/>
      <c r="L2750" s="43"/>
      <c r="M2750" s="43"/>
      <c r="N2750" s="43"/>
      <c r="O2750" s="43"/>
      <c r="P2750" s="43"/>
      <c r="Q2750" s="43"/>
      <c r="R2750" s="43"/>
      <c r="S2750" s="43"/>
      <c r="T2750" s="43"/>
      <c r="U2750" s="43"/>
      <c r="V2750" s="41"/>
      <c r="W2750" s="41"/>
      <c r="X2750" s="41"/>
      <c r="Y2750" s="41"/>
      <c r="Z2750" s="41"/>
      <c r="AA2750" s="44"/>
      <c r="AB2750" s="44"/>
      <c r="AC2750" s="43"/>
      <c r="AD2750" s="43"/>
      <c r="AE2750" s="43"/>
    </row>
    <row r="2751" spans="1:31" x14ac:dyDescent="0.35">
      <c r="C2751" s="33"/>
      <c r="D2751" s="34"/>
      <c r="E2751" s="34"/>
      <c r="F2751" s="34"/>
      <c r="G2751" s="34"/>
      <c r="H2751" s="34"/>
      <c r="I2751" s="34"/>
      <c r="J2751" s="34"/>
      <c r="K2751" s="34"/>
      <c r="L2751" s="34"/>
      <c r="M2751" s="34"/>
      <c r="N2751" s="34"/>
      <c r="O2751" s="34"/>
      <c r="AA2751" s="35"/>
      <c r="AB2751" s="35"/>
      <c r="AC2751" s="34"/>
      <c r="AD2751" s="34"/>
      <c r="AE2751" s="34"/>
    </row>
    <row r="2752" spans="1:31" ht="15" thickBot="1" x14ac:dyDescent="0.4">
      <c r="A2752" s="45"/>
      <c r="B2752" s="45"/>
      <c r="C2752" s="46"/>
      <c r="D2752" s="47"/>
      <c r="E2752" s="47"/>
      <c r="F2752" s="47"/>
      <c r="G2752" s="47"/>
      <c r="H2752" s="47"/>
      <c r="I2752" s="47"/>
      <c r="J2752" s="47"/>
      <c r="K2752" s="47"/>
      <c r="L2752" s="47"/>
      <c r="M2752" s="47"/>
      <c r="N2752" s="47"/>
      <c r="O2752" s="47"/>
      <c r="P2752" s="47"/>
      <c r="Q2752" s="47"/>
      <c r="R2752" s="47"/>
      <c r="S2752" s="47"/>
      <c r="T2752" s="45"/>
      <c r="U2752" s="45"/>
      <c r="V2752" s="45"/>
      <c r="W2752" s="45"/>
      <c r="X2752" s="47"/>
      <c r="Y2752" s="45"/>
      <c r="Z2752" s="45"/>
      <c r="AA2752" s="48"/>
      <c r="AB2752" s="48"/>
      <c r="AC2752" s="47"/>
      <c r="AD2752" s="47"/>
      <c r="AE2752" s="47"/>
    </row>
    <row r="2753" spans="1:31" x14ac:dyDescent="0.35">
      <c r="A2753" s="41"/>
      <c r="B2753" s="41"/>
      <c r="C2753" s="42"/>
      <c r="D2753" s="43"/>
      <c r="E2753" s="43"/>
      <c r="F2753" s="43"/>
      <c r="G2753" s="43"/>
      <c r="H2753" s="43"/>
      <c r="I2753" s="43"/>
      <c r="J2753" s="43"/>
      <c r="K2753" s="43"/>
      <c r="L2753" s="43"/>
      <c r="M2753" s="43"/>
      <c r="N2753" s="43"/>
      <c r="O2753" s="43"/>
      <c r="P2753" s="43"/>
      <c r="Q2753" s="43"/>
      <c r="R2753" s="43"/>
      <c r="S2753" s="43"/>
      <c r="T2753" s="43"/>
      <c r="U2753" s="43"/>
      <c r="V2753" s="41"/>
      <c r="W2753" s="41"/>
      <c r="X2753" s="41"/>
      <c r="Y2753" s="41"/>
      <c r="Z2753" s="41"/>
      <c r="AA2753" s="44"/>
      <c r="AB2753" s="44"/>
      <c r="AC2753" s="43"/>
      <c r="AD2753" s="43"/>
      <c r="AE2753" s="43"/>
    </row>
    <row r="2754" spans="1:31" x14ac:dyDescent="0.35">
      <c r="C2754" s="33"/>
      <c r="D2754" s="34"/>
      <c r="E2754" s="34"/>
      <c r="F2754" s="34"/>
      <c r="G2754" s="34"/>
      <c r="H2754" s="34"/>
      <c r="I2754" s="34"/>
      <c r="J2754" s="34"/>
      <c r="K2754" s="34"/>
      <c r="L2754" s="34"/>
      <c r="M2754" s="34"/>
      <c r="N2754" s="34"/>
      <c r="O2754" s="34"/>
      <c r="AA2754" s="35"/>
      <c r="AB2754" s="35"/>
      <c r="AC2754" s="34"/>
      <c r="AD2754" s="34"/>
      <c r="AE2754" s="34"/>
    </row>
    <row r="2755" spans="1:31" ht="15" thickBot="1" x14ac:dyDescent="0.4">
      <c r="A2755" s="45"/>
      <c r="B2755" s="45"/>
      <c r="C2755" s="46"/>
      <c r="D2755" s="47"/>
      <c r="E2755" s="47"/>
      <c r="F2755" s="47"/>
      <c r="G2755" s="47"/>
      <c r="H2755" s="47"/>
      <c r="I2755" s="47"/>
      <c r="J2755" s="47"/>
      <c r="K2755" s="47"/>
      <c r="L2755" s="47"/>
      <c r="M2755" s="47"/>
      <c r="N2755" s="47"/>
      <c r="O2755" s="47"/>
      <c r="P2755" s="47"/>
      <c r="Q2755" s="47"/>
      <c r="R2755" s="47"/>
      <c r="S2755" s="47"/>
      <c r="T2755" s="45"/>
      <c r="U2755" s="45"/>
      <c r="V2755" s="45"/>
      <c r="W2755" s="45"/>
      <c r="X2755" s="47"/>
      <c r="Y2755" s="45"/>
      <c r="Z2755" s="45"/>
      <c r="AA2755" s="48"/>
      <c r="AB2755" s="48"/>
      <c r="AC2755" s="47"/>
      <c r="AD2755" s="47"/>
      <c r="AE2755" s="47"/>
    </row>
    <row r="2756" spans="1:31" x14ac:dyDescent="0.35">
      <c r="A2756" s="41"/>
      <c r="B2756" s="41"/>
      <c r="C2756" s="42"/>
      <c r="D2756" s="43"/>
      <c r="E2756" s="43"/>
      <c r="F2756" s="43"/>
      <c r="G2756" s="43"/>
      <c r="H2756" s="43"/>
      <c r="I2756" s="43"/>
      <c r="J2756" s="43"/>
      <c r="K2756" s="43"/>
      <c r="L2756" s="43"/>
      <c r="M2756" s="43"/>
      <c r="N2756" s="43"/>
      <c r="O2756" s="43"/>
      <c r="P2756" s="43"/>
      <c r="Q2756" s="43"/>
      <c r="R2756" s="43"/>
      <c r="S2756" s="43"/>
      <c r="T2756" s="43"/>
      <c r="U2756" s="43"/>
      <c r="V2756" s="41"/>
      <c r="W2756" s="41"/>
      <c r="X2756" s="41"/>
      <c r="Y2756" s="41"/>
      <c r="Z2756" s="41"/>
      <c r="AA2756" s="44"/>
      <c r="AB2756" s="44"/>
      <c r="AC2756" s="43"/>
      <c r="AD2756" s="43"/>
      <c r="AE2756" s="43"/>
    </row>
    <row r="2757" spans="1:31" x14ac:dyDescent="0.35">
      <c r="C2757" s="33"/>
      <c r="D2757" s="34"/>
      <c r="E2757" s="34"/>
      <c r="F2757" s="34"/>
      <c r="G2757" s="34"/>
      <c r="H2757" s="34"/>
      <c r="I2757" s="34"/>
      <c r="J2757" s="34"/>
      <c r="K2757" s="34"/>
      <c r="L2757" s="34"/>
      <c r="M2757" s="34"/>
      <c r="N2757" s="34"/>
      <c r="O2757" s="34"/>
      <c r="AA2757" s="35"/>
      <c r="AB2757" s="35"/>
      <c r="AC2757" s="34"/>
      <c r="AD2757" s="34"/>
      <c r="AE2757" s="34"/>
    </row>
    <row r="2758" spans="1:31" ht="15" thickBot="1" x14ac:dyDescent="0.4">
      <c r="A2758" s="45"/>
      <c r="B2758" s="45"/>
      <c r="C2758" s="46"/>
      <c r="D2758" s="47"/>
      <c r="E2758" s="47"/>
      <c r="F2758" s="47"/>
      <c r="G2758" s="47"/>
      <c r="H2758" s="47"/>
      <c r="I2758" s="47"/>
      <c r="J2758" s="47"/>
      <c r="K2758" s="47"/>
      <c r="L2758" s="47"/>
      <c r="M2758" s="47"/>
      <c r="N2758" s="47"/>
      <c r="O2758" s="47"/>
      <c r="P2758" s="47"/>
      <c r="Q2758" s="47"/>
      <c r="R2758" s="47"/>
      <c r="S2758" s="47"/>
      <c r="T2758" s="45"/>
      <c r="U2758" s="45"/>
      <c r="V2758" s="45"/>
      <c r="W2758" s="45"/>
      <c r="X2758" s="47"/>
      <c r="Y2758" s="45"/>
      <c r="Z2758" s="45"/>
      <c r="AA2758" s="48"/>
      <c r="AB2758" s="48"/>
      <c r="AC2758" s="47"/>
      <c r="AD2758" s="47"/>
      <c r="AE2758" s="47"/>
    </row>
    <row r="2759" spans="1:31" x14ac:dyDescent="0.35">
      <c r="A2759" s="41"/>
      <c r="B2759" s="41"/>
      <c r="C2759" s="42"/>
      <c r="D2759" s="43"/>
      <c r="E2759" s="43"/>
      <c r="F2759" s="43"/>
      <c r="G2759" s="43"/>
      <c r="H2759" s="43"/>
      <c r="I2759" s="43"/>
      <c r="J2759" s="43"/>
      <c r="K2759" s="43"/>
      <c r="L2759" s="43"/>
      <c r="M2759" s="43"/>
      <c r="N2759" s="43"/>
      <c r="O2759" s="43"/>
      <c r="P2759" s="43"/>
      <c r="Q2759" s="43"/>
      <c r="R2759" s="43"/>
      <c r="S2759" s="43"/>
      <c r="T2759" s="43"/>
      <c r="U2759" s="43"/>
      <c r="V2759" s="41"/>
      <c r="W2759" s="41"/>
      <c r="X2759" s="41"/>
      <c r="Y2759" s="41"/>
      <c r="Z2759" s="41"/>
      <c r="AA2759" s="44"/>
      <c r="AB2759" s="44"/>
      <c r="AC2759" s="43"/>
      <c r="AD2759" s="43"/>
      <c r="AE2759" s="43"/>
    </row>
    <row r="2760" spans="1:31" x14ac:dyDescent="0.35">
      <c r="C2760" s="33"/>
      <c r="D2760" s="34"/>
      <c r="E2760" s="34"/>
      <c r="F2760" s="34"/>
      <c r="G2760" s="34"/>
      <c r="H2760" s="34"/>
      <c r="I2760" s="34"/>
      <c r="J2760" s="34"/>
      <c r="K2760" s="34"/>
      <c r="L2760" s="34"/>
      <c r="M2760" s="34"/>
      <c r="N2760" s="34"/>
      <c r="O2760" s="34"/>
      <c r="AA2760" s="35"/>
      <c r="AB2760" s="35"/>
      <c r="AC2760" s="34"/>
      <c r="AD2760" s="34"/>
      <c r="AE2760" s="34"/>
    </row>
    <row r="2761" spans="1:31" ht="15" thickBot="1" x14ac:dyDescent="0.4">
      <c r="A2761" s="45"/>
      <c r="B2761" s="45"/>
      <c r="C2761" s="46"/>
      <c r="D2761" s="47"/>
      <c r="E2761" s="47"/>
      <c r="F2761" s="47"/>
      <c r="G2761" s="47"/>
      <c r="H2761" s="47"/>
      <c r="I2761" s="47"/>
      <c r="J2761" s="47"/>
      <c r="K2761" s="47"/>
      <c r="L2761" s="47"/>
      <c r="M2761" s="47"/>
      <c r="N2761" s="47"/>
      <c r="O2761" s="47"/>
      <c r="P2761" s="47"/>
      <c r="Q2761" s="47"/>
      <c r="R2761" s="47"/>
      <c r="S2761" s="47"/>
      <c r="T2761" s="45"/>
      <c r="U2761" s="45"/>
      <c r="V2761" s="45"/>
      <c r="W2761" s="45"/>
      <c r="X2761" s="47"/>
      <c r="Y2761" s="45"/>
      <c r="Z2761" s="45"/>
      <c r="AA2761" s="48"/>
      <c r="AB2761" s="48"/>
      <c r="AC2761" s="47"/>
      <c r="AD2761" s="47"/>
      <c r="AE2761" s="47"/>
    </row>
    <row r="2762" spans="1:31" x14ac:dyDescent="0.35">
      <c r="A2762" s="41"/>
      <c r="B2762" s="41"/>
      <c r="C2762" s="42"/>
      <c r="D2762" s="43"/>
      <c r="E2762" s="43"/>
      <c r="F2762" s="43"/>
      <c r="G2762" s="43"/>
      <c r="H2762" s="43"/>
      <c r="I2762" s="43"/>
      <c r="J2762" s="43"/>
      <c r="K2762" s="43"/>
      <c r="L2762" s="43"/>
      <c r="M2762" s="43"/>
      <c r="N2762" s="43"/>
      <c r="O2762" s="43"/>
      <c r="P2762" s="43"/>
      <c r="Q2762" s="43"/>
      <c r="R2762" s="43"/>
      <c r="S2762" s="43"/>
      <c r="T2762" s="43"/>
      <c r="U2762" s="43"/>
      <c r="V2762" s="41"/>
      <c r="W2762" s="41"/>
      <c r="X2762" s="41"/>
      <c r="Y2762" s="41"/>
      <c r="Z2762" s="41"/>
      <c r="AA2762" s="44"/>
      <c r="AB2762" s="44"/>
      <c r="AC2762" s="43"/>
      <c r="AD2762" s="43"/>
      <c r="AE2762" s="43"/>
    </row>
    <row r="2763" spans="1:31" x14ac:dyDescent="0.35">
      <c r="C2763" s="33"/>
      <c r="D2763" s="34"/>
      <c r="E2763" s="34"/>
      <c r="F2763" s="34"/>
      <c r="G2763" s="34"/>
      <c r="H2763" s="34"/>
      <c r="I2763" s="34"/>
      <c r="J2763" s="34"/>
      <c r="K2763" s="34"/>
      <c r="L2763" s="34"/>
      <c r="M2763" s="34"/>
      <c r="N2763" s="34"/>
      <c r="O2763" s="34"/>
      <c r="AA2763" s="35"/>
      <c r="AB2763" s="35"/>
      <c r="AC2763" s="34"/>
      <c r="AD2763" s="34"/>
      <c r="AE2763" s="34"/>
    </row>
    <row r="2764" spans="1:31" ht="15" thickBot="1" x14ac:dyDescent="0.4">
      <c r="A2764" s="45"/>
      <c r="B2764" s="45"/>
      <c r="C2764" s="46"/>
      <c r="D2764" s="47"/>
      <c r="E2764" s="47"/>
      <c r="F2764" s="47"/>
      <c r="G2764" s="47"/>
      <c r="H2764" s="47"/>
      <c r="I2764" s="47"/>
      <c r="J2764" s="47"/>
      <c r="K2764" s="47"/>
      <c r="L2764" s="47"/>
      <c r="M2764" s="47"/>
      <c r="N2764" s="47"/>
      <c r="O2764" s="47"/>
      <c r="P2764" s="47"/>
      <c r="Q2764" s="47"/>
      <c r="R2764" s="47"/>
      <c r="S2764" s="47"/>
      <c r="T2764" s="45"/>
      <c r="U2764" s="45"/>
      <c r="V2764" s="45"/>
      <c r="W2764" s="45"/>
      <c r="X2764" s="47"/>
      <c r="Y2764" s="45"/>
      <c r="Z2764" s="45"/>
      <c r="AA2764" s="48"/>
      <c r="AB2764" s="48"/>
      <c r="AC2764" s="47"/>
      <c r="AD2764" s="47"/>
      <c r="AE2764" s="47"/>
    </row>
    <row r="2765" spans="1:31" x14ac:dyDescent="0.35">
      <c r="A2765" s="41"/>
      <c r="B2765" s="41"/>
      <c r="C2765" s="42"/>
      <c r="D2765" s="43"/>
      <c r="E2765" s="43"/>
      <c r="F2765" s="43"/>
      <c r="G2765" s="43"/>
      <c r="H2765" s="43"/>
      <c r="I2765" s="43"/>
      <c r="J2765" s="43"/>
      <c r="K2765" s="43"/>
      <c r="L2765" s="43"/>
      <c r="M2765" s="43"/>
      <c r="N2765" s="43"/>
      <c r="O2765" s="43"/>
      <c r="P2765" s="43"/>
      <c r="Q2765" s="43"/>
      <c r="R2765" s="43"/>
      <c r="S2765" s="43"/>
      <c r="T2765" s="43"/>
      <c r="U2765" s="43"/>
      <c r="V2765" s="41"/>
      <c r="W2765" s="41"/>
      <c r="X2765" s="41"/>
      <c r="Y2765" s="41"/>
      <c r="Z2765" s="41"/>
      <c r="AA2765" s="44"/>
      <c r="AB2765" s="44"/>
      <c r="AC2765" s="43"/>
      <c r="AD2765" s="43"/>
      <c r="AE2765" s="43"/>
    </row>
    <row r="2766" spans="1:31" x14ac:dyDescent="0.35">
      <c r="C2766" s="33"/>
      <c r="D2766" s="34"/>
      <c r="E2766" s="34"/>
      <c r="F2766" s="34"/>
      <c r="G2766" s="34"/>
      <c r="H2766" s="34"/>
      <c r="I2766" s="34"/>
      <c r="J2766" s="34"/>
      <c r="K2766" s="34"/>
      <c r="L2766" s="34"/>
      <c r="M2766" s="34"/>
      <c r="N2766" s="34"/>
      <c r="O2766" s="34"/>
      <c r="AA2766" s="35"/>
      <c r="AB2766" s="35"/>
      <c r="AC2766" s="34"/>
      <c r="AD2766" s="34"/>
      <c r="AE2766" s="34"/>
    </row>
    <row r="2767" spans="1:31" ht="15" thickBot="1" x14ac:dyDescent="0.4">
      <c r="A2767" s="45"/>
      <c r="B2767" s="45"/>
      <c r="C2767" s="46"/>
      <c r="D2767" s="47"/>
      <c r="E2767" s="47"/>
      <c r="F2767" s="47"/>
      <c r="G2767" s="47"/>
      <c r="H2767" s="47"/>
      <c r="I2767" s="47"/>
      <c r="J2767" s="47"/>
      <c r="K2767" s="47"/>
      <c r="L2767" s="47"/>
      <c r="M2767" s="47"/>
      <c r="N2767" s="47"/>
      <c r="O2767" s="47"/>
      <c r="P2767" s="47"/>
      <c r="Q2767" s="47"/>
      <c r="R2767" s="47"/>
      <c r="S2767" s="47"/>
      <c r="T2767" s="45"/>
      <c r="U2767" s="45"/>
      <c r="V2767" s="45"/>
      <c r="W2767" s="45"/>
      <c r="X2767" s="47"/>
      <c r="Y2767" s="45"/>
      <c r="Z2767" s="45"/>
      <c r="AA2767" s="48"/>
      <c r="AB2767" s="48"/>
      <c r="AC2767" s="47"/>
      <c r="AD2767" s="47"/>
      <c r="AE2767" s="47"/>
    </row>
    <row r="2768" spans="1:31" x14ac:dyDescent="0.35">
      <c r="A2768" s="41"/>
      <c r="B2768" s="41"/>
      <c r="C2768" s="42"/>
      <c r="D2768" s="43"/>
      <c r="E2768" s="43"/>
      <c r="F2768" s="43"/>
      <c r="G2768" s="43"/>
      <c r="H2768" s="43"/>
      <c r="I2768" s="43"/>
      <c r="J2768" s="43"/>
      <c r="K2768" s="43"/>
      <c r="L2768" s="43"/>
      <c r="M2768" s="43"/>
      <c r="N2768" s="43"/>
      <c r="O2768" s="43"/>
      <c r="P2768" s="43"/>
      <c r="Q2768" s="43"/>
      <c r="R2768" s="43"/>
      <c r="S2768" s="43"/>
      <c r="T2768" s="43"/>
      <c r="U2768" s="43"/>
      <c r="V2768" s="41"/>
      <c r="W2768" s="41"/>
      <c r="X2768" s="41"/>
      <c r="Y2768" s="41"/>
      <c r="Z2768" s="41"/>
      <c r="AA2768" s="44"/>
      <c r="AB2768" s="44"/>
      <c r="AC2768" s="43"/>
      <c r="AD2768" s="43"/>
      <c r="AE2768" s="43"/>
    </row>
    <row r="2769" spans="1:31" x14ac:dyDescent="0.35">
      <c r="C2769" s="33"/>
      <c r="D2769" s="34"/>
      <c r="E2769" s="34"/>
      <c r="F2769" s="34"/>
      <c r="G2769" s="34"/>
      <c r="H2769" s="34"/>
      <c r="I2769" s="34"/>
      <c r="J2769" s="34"/>
      <c r="K2769" s="34"/>
      <c r="L2769" s="34"/>
      <c r="M2769" s="34"/>
      <c r="N2769" s="34"/>
      <c r="O2769" s="34"/>
      <c r="AA2769" s="35"/>
      <c r="AB2769" s="35"/>
      <c r="AC2769" s="34"/>
      <c r="AD2769" s="34"/>
      <c r="AE2769" s="34"/>
    </row>
    <row r="2770" spans="1:31" ht="15" thickBot="1" x14ac:dyDescent="0.4">
      <c r="A2770" s="45"/>
      <c r="B2770" s="45"/>
      <c r="C2770" s="46"/>
      <c r="D2770" s="47"/>
      <c r="E2770" s="47"/>
      <c r="F2770" s="47"/>
      <c r="G2770" s="47"/>
      <c r="H2770" s="47"/>
      <c r="I2770" s="47"/>
      <c r="J2770" s="47"/>
      <c r="K2770" s="47"/>
      <c r="L2770" s="47"/>
      <c r="M2770" s="47"/>
      <c r="N2770" s="47"/>
      <c r="O2770" s="47"/>
      <c r="P2770" s="47"/>
      <c r="Q2770" s="47"/>
      <c r="R2770" s="47"/>
      <c r="S2770" s="47"/>
      <c r="T2770" s="45"/>
      <c r="U2770" s="45"/>
      <c r="V2770" s="45"/>
      <c r="W2770" s="45"/>
      <c r="X2770" s="47"/>
      <c r="Y2770" s="45"/>
      <c r="Z2770" s="45"/>
      <c r="AA2770" s="48"/>
      <c r="AB2770" s="48"/>
      <c r="AC2770" s="47"/>
      <c r="AD2770" s="47"/>
      <c r="AE2770" s="47"/>
    </row>
    <row r="2771" spans="1:31" x14ac:dyDescent="0.35">
      <c r="A2771" s="41"/>
      <c r="B2771" s="41"/>
      <c r="C2771" s="42"/>
      <c r="D2771" s="43"/>
      <c r="E2771" s="43"/>
      <c r="F2771" s="43"/>
      <c r="G2771" s="43"/>
      <c r="H2771" s="43"/>
      <c r="I2771" s="43"/>
      <c r="J2771" s="43"/>
      <c r="K2771" s="43"/>
      <c r="L2771" s="43"/>
      <c r="M2771" s="43"/>
      <c r="N2771" s="43"/>
      <c r="O2771" s="43"/>
      <c r="P2771" s="43"/>
      <c r="Q2771" s="43"/>
      <c r="R2771" s="43"/>
      <c r="S2771" s="43"/>
      <c r="T2771" s="43"/>
      <c r="U2771" s="43"/>
      <c r="V2771" s="41"/>
      <c r="W2771" s="41"/>
      <c r="X2771" s="41"/>
      <c r="Y2771" s="41"/>
      <c r="Z2771" s="41"/>
      <c r="AA2771" s="44"/>
      <c r="AB2771" s="44"/>
      <c r="AC2771" s="43"/>
      <c r="AD2771" s="43"/>
      <c r="AE2771" s="43"/>
    </row>
    <row r="2772" spans="1:31" x14ac:dyDescent="0.35">
      <c r="C2772" s="33"/>
      <c r="D2772" s="34"/>
      <c r="E2772" s="34"/>
      <c r="F2772" s="34"/>
      <c r="G2772" s="34"/>
      <c r="H2772" s="34"/>
      <c r="I2772" s="34"/>
      <c r="J2772" s="34"/>
      <c r="K2772" s="34"/>
      <c r="L2772" s="34"/>
      <c r="M2772" s="34"/>
      <c r="N2772" s="34"/>
      <c r="O2772" s="34"/>
      <c r="AA2772" s="35"/>
      <c r="AB2772" s="35"/>
      <c r="AC2772" s="34"/>
      <c r="AD2772" s="34"/>
      <c r="AE2772" s="34"/>
    </row>
    <row r="2773" spans="1:31" ht="15" thickBot="1" x14ac:dyDescent="0.4">
      <c r="A2773" s="45"/>
      <c r="B2773" s="45"/>
      <c r="C2773" s="46"/>
      <c r="D2773" s="47"/>
      <c r="E2773" s="47"/>
      <c r="F2773" s="47"/>
      <c r="G2773" s="47"/>
      <c r="H2773" s="47"/>
      <c r="I2773" s="47"/>
      <c r="J2773" s="47"/>
      <c r="K2773" s="47"/>
      <c r="L2773" s="47"/>
      <c r="M2773" s="47"/>
      <c r="N2773" s="47"/>
      <c r="O2773" s="47"/>
      <c r="P2773" s="47"/>
      <c r="Q2773" s="47"/>
      <c r="R2773" s="47"/>
      <c r="S2773" s="47"/>
      <c r="T2773" s="45"/>
      <c r="U2773" s="45"/>
      <c r="V2773" s="45"/>
      <c r="W2773" s="45"/>
      <c r="X2773" s="47"/>
      <c r="Y2773" s="45"/>
      <c r="Z2773" s="45"/>
      <c r="AA2773" s="48"/>
      <c r="AB2773" s="48"/>
      <c r="AC2773" s="47"/>
      <c r="AD2773" s="47"/>
      <c r="AE2773" s="47"/>
    </row>
    <row r="2774" spans="1:31" x14ac:dyDescent="0.35">
      <c r="A2774" s="41"/>
      <c r="B2774" s="41"/>
      <c r="C2774" s="42"/>
      <c r="D2774" s="43"/>
      <c r="E2774" s="43"/>
      <c r="F2774" s="43"/>
      <c r="G2774" s="43"/>
      <c r="H2774" s="43"/>
      <c r="I2774" s="43"/>
      <c r="J2774" s="43"/>
      <c r="K2774" s="43"/>
      <c r="L2774" s="43"/>
      <c r="M2774" s="43"/>
      <c r="N2774" s="43"/>
      <c r="O2774" s="43"/>
      <c r="P2774" s="43"/>
      <c r="Q2774" s="43"/>
      <c r="R2774" s="43"/>
      <c r="S2774" s="43"/>
      <c r="T2774" s="43"/>
      <c r="U2774" s="43"/>
      <c r="V2774" s="41"/>
      <c r="W2774" s="41"/>
      <c r="X2774" s="41"/>
      <c r="Y2774" s="41"/>
      <c r="Z2774" s="41"/>
      <c r="AA2774" s="44"/>
      <c r="AB2774" s="44"/>
      <c r="AC2774" s="43"/>
      <c r="AD2774" s="43"/>
      <c r="AE2774" s="43"/>
    </row>
    <row r="2775" spans="1:31" x14ac:dyDescent="0.35">
      <c r="C2775" s="33"/>
      <c r="D2775" s="34"/>
      <c r="E2775" s="34"/>
      <c r="F2775" s="34"/>
      <c r="G2775" s="34"/>
      <c r="H2775" s="34"/>
      <c r="I2775" s="34"/>
      <c r="J2775" s="34"/>
      <c r="K2775" s="34"/>
      <c r="L2775" s="34"/>
      <c r="M2775" s="34"/>
      <c r="N2775" s="34"/>
      <c r="O2775" s="34"/>
      <c r="AA2775" s="35"/>
      <c r="AB2775" s="35"/>
      <c r="AC2775" s="34"/>
      <c r="AD2775" s="34"/>
      <c r="AE2775" s="34"/>
    </row>
    <row r="2776" spans="1:31" ht="15" thickBot="1" x14ac:dyDescent="0.4">
      <c r="A2776" s="45"/>
      <c r="B2776" s="45"/>
      <c r="C2776" s="46"/>
      <c r="D2776" s="47"/>
      <c r="E2776" s="47"/>
      <c r="F2776" s="47"/>
      <c r="G2776" s="47"/>
      <c r="H2776" s="47"/>
      <c r="I2776" s="47"/>
      <c r="J2776" s="47"/>
      <c r="K2776" s="47"/>
      <c r="L2776" s="47"/>
      <c r="M2776" s="47"/>
      <c r="N2776" s="47"/>
      <c r="O2776" s="47"/>
      <c r="P2776" s="47"/>
      <c r="Q2776" s="47"/>
      <c r="R2776" s="47"/>
      <c r="S2776" s="47"/>
      <c r="T2776" s="45"/>
      <c r="U2776" s="45"/>
      <c r="V2776" s="45"/>
      <c r="W2776" s="45"/>
      <c r="X2776" s="47"/>
      <c r="Y2776" s="45"/>
      <c r="Z2776" s="45"/>
      <c r="AA2776" s="48"/>
      <c r="AB2776" s="48"/>
      <c r="AC2776" s="47"/>
      <c r="AD2776" s="47"/>
      <c r="AE2776" s="47"/>
    </row>
    <row r="2777" spans="1:31" x14ac:dyDescent="0.35">
      <c r="A2777" s="41"/>
      <c r="B2777" s="41"/>
      <c r="C2777" s="42"/>
      <c r="D2777" s="43"/>
      <c r="E2777" s="43"/>
      <c r="F2777" s="43"/>
      <c r="G2777" s="43"/>
      <c r="H2777" s="43"/>
      <c r="I2777" s="43"/>
      <c r="J2777" s="43"/>
      <c r="K2777" s="43"/>
      <c r="L2777" s="43"/>
      <c r="M2777" s="43"/>
      <c r="N2777" s="43"/>
      <c r="O2777" s="43"/>
      <c r="P2777" s="43"/>
      <c r="Q2777" s="43"/>
      <c r="R2777" s="43"/>
      <c r="S2777" s="43"/>
      <c r="T2777" s="43"/>
      <c r="U2777" s="43"/>
      <c r="V2777" s="41"/>
      <c r="W2777" s="41"/>
      <c r="X2777" s="41"/>
      <c r="Y2777" s="41"/>
      <c r="Z2777" s="41"/>
      <c r="AA2777" s="44"/>
      <c r="AB2777" s="44"/>
      <c r="AC2777" s="43"/>
      <c r="AD2777" s="43"/>
      <c r="AE2777" s="43"/>
    </row>
    <row r="2778" spans="1:31" x14ac:dyDescent="0.35">
      <c r="C2778" s="33"/>
      <c r="D2778" s="34"/>
      <c r="E2778" s="34"/>
      <c r="F2778" s="34"/>
      <c r="G2778" s="34"/>
      <c r="H2778" s="34"/>
      <c r="I2778" s="34"/>
      <c r="J2778" s="34"/>
      <c r="K2778" s="34"/>
      <c r="L2778" s="34"/>
      <c r="M2778" s="34"/>
      <c r="N2778" s="34"/>
      <c r="O2778" s="34"/>
      <c r="AA2778" s="35"/>
      <c r="AB2778" s="35"/>
      <c r="AC2778" s="34"/>
      <c r="AD2778" s="34"/>
      <c r="AE2778" s="34"/>
    </row>
    <row r="2779" spans="1:31" ht="15" thickBot="1" x14ac:dyDescent="0.4">
      <c r="A2779" s="45"/>
      <c r="B2779" s="45"/>
      <c r="C2779" s="46"/>
      <c r="D2779" s="47"/>
      <c r="E2779" s="47"/>
      <c r="F2779" s="47"/>
      <c r="G2779" s="47"/>
      <c r="H2779" s="47"/>
      <c r="I2779" s="47"/>
      <c r="J2779" s="47"/>
      <c r="K2779" s="47"/>
      <c r="L2779" s="47"/>
      <c r="M2779" s="47"/>
      <c r="N2779" s="47"/>
      <c r="O2779" s="47"/>
      <c r="P2779" s="47"/>
      <c r="Q2779" s="47"/>
      <c r="R2779" s="47"/>
      <c r="S2779" s="47"/>
      <c r="T2779" s="45"/>
      <c r="U2779" s="45"/>
      <c r="V2779" s="45"/>
      <c r="W2779" s="45"/>
      <c r="X2779" s="47"/>
      <c r="Y2779" s="45"/>
      <c r="Z2779" s="45"/>
      <c r="AA2779" s="48"/>
      <c r="AB2779" s="48"/>
      <c r="AC2779" s="47"/>
      <c r="AD2779" s="47"/>
      <c r="AE2779" s="47"/>
    </row>
    <row r="2780" spans="1:31" x14ac:dyDescent="0.35">
      <c r="A2780" s="41"/>
      <c r="B2780" s="41"/>
      <c r="C2780" s="42"/>
      <c r="D2780" s="43"/>
      <c r="E2780" s="43"/>
      <c r="F2780" s="43"/>
      <c r="G2780" s="43"/>
      <c r="H2780" s="43"/>
      <c r="I2780" s="43"/>
      <c r="J2780" s="43"/>
      <c r="K2780" s="43"/>
      <c r="L2780" s="43"/>
      <c r="M2780" s="43"/>
      <c r="N2780" s="43"/>
      <c r="O2780" s="43"/>
      <c r="P2780" s="43"/>
      <c r="Q2780" s="43"/>
      <c r="R2780" s="43"/>
      <c r="S2780" s="43"/>
      <c r="T2780" s="43"/>
      <c r="U2780" s="43"/>
      <c r="V2780" s="41"/>
      <c r="W2780" s="41"/>
      <c r="X2780" s="41"/>
      <c r="Y2780" s="41"/>
      <c r="Z2780" s="41"/>
      <c r="AA2780" s="44"/>
      <c r="AB2780" s="44"/>
      <c r="AC2780" s="43"/>
      <c r="AD2780" s="43"/>
      <c r="AE2780" s="43"/>
    </row>
    <row r="2781" spans="1:31" x14ac:dyDescent="0.35">
      <c r="C2781" s="33"/>
      <c r="D2781" s="34"/>
      <c r="E2781" s="34"/>
      <c r="F2781" s="34"/>
      <c r="G2781" s="34"/>
      <c r="H2781" s="34"/>
      <c r="I2781" s="34"/>
      <c r="J2781" s="34"/>
      <c r="K2781" s="34"/>
      <c r="L2781" s="34"/>
      <c r="M2781" s="34"/>
      <c r="N2781" s="34"/>
      <c r="O2781" s="34"/>
      <c r="AA2781" s="35"/>
      <c r="AB2781" s="35"/>
      <c r="AC2781" s="34"/>
      <c r="AD2781" s="34"/>
      <c r="AE2781" s="34"/>
    </row>
    <row r="2782" spans="1:31" ht="15" thickBot="1" x14ac:dyDescent="0.4">
      <c r="A2782" s="45"/>
      <c r="B2782" s="45"/>
      <c r="C2782" s="46"/>
      <c r="D2782" s="47"/>
      <c r="E2782" s="47"/>
      <c r="F2782" s="47"/>
      <c r="G2782" s="47"/>
      <c r="H2782" s="47"/>
      <c r="I2782" s="47"/>
      <c r="J2782" s="47"/>
      <c r="K2782" s="47"/>
      <c r="L2782" s="47"/>
      <c r="M2782" s="47"/>
      <c r="N2782" s="47"/>
      <c r="O2782" s="47"/>
      <c r="P2782" s="47"/>
      <c r="Q2782" s="47"/>
      <c r="R2782" s="47"/>
      <c r="S2782" s="47"/>
      <c r="T2782" s="45"/>
      <c r="U2782" s="45"/>
      <c r="V2782" s="45"/>
      <c r="W2782" s="45"/>
      <c r="X2782" s="47"/>
      <c r="Y2782" s="45"/>
      <c r="Z2782" s="45"/>
      <c r="AA2782" s="48"/>
      <c r="AB2782" s="48"/>
      <c r="AC2782" s="47"/>
      <c r="AD2782" s="47"/>
      <c r="AE2782" s="47"/>
    </row>
    <row r="2783" spans="1:31" x14ac:dyDescent="0.35">
      <c r="A2783" s="41"/>
      <c r="B2783" s="41"/>
      <c r="C2783" s="42"/>
      <c r="D2783" s="43"/>
      <c r="E2783" s="43"/>
      <c r="F2783" s="43"/>
      <c r="G2783" s="43"/>
      <c r="H2783" s="43"/>
      <c r="I2783" s="43"/>
      <c r="J2783" s="43"/>
      <c r="K2783" s="43"/>
      <c r="L2783" s="43"/>
      <c r="M2783" s="43"/>
      <c r="N2783" s="43"/>
      <c r="O2783" s="43"/>
      <c r="P2783" s="43"/>
      <c r="Q2783" s="43"/>
      <c r="R2783" s="43"/>
      <c r="S2783" s="43"/>
      <c r="T2783" s="43"/>
      <c r="U2783" s="43"/>
      <c r="V2783" s="41"/>
      <c r="W2783" s="41"/>
      <c r="X2783" s="41"/>
      <c r="Y2783" s="41"/>
      <c r="Z2783" s="41"/>
      <c r="AA2783" s="44"/>
      <c r="AB2783" s="44"/>
      <c r="AC2783" s="43"/>
      <c r="AD2783" s="43"/>
      <c r="AE2783" s="43"/>
    </row>
    <row r="2784" spans="1:31" x14ac:dyDescent="0.35">
      <c r="C2784" s="33"/>
      <c r="D2784" s="34"/>
      <c r="E2784" s="34"/>
      <c r="F2784" s="34"/>
      <c r="G2784" s="34"/>
      <c r="H2784" s="34"/>
      <c r="I2784" s="34"/>
      <c r="J2784" s="34"/>
      <c r="K2784" s="34"/>
      <c r="L2784" s="34"/>
      <c r="M2784" s="34"/>
      <c r="N2784" s="34"/>
      <c r="O2784" s="34"/>
      <c r="AA2784" s="35"/>
      <c r="AB2784" s="35"/>
      <c r="AC2784" s="34"/>
      <c r="AD2784" s="34"/>
      <c r="AE2784" s="34"/>
    </row>
    <row r="2785" spans="1:31" ht="15" thickBot="1" x14ac:dyDescent="0.4">
      <c r="A2785" s="45"/>
      <c r="B2785" s="45"/>
      <c r="C2785" s="46"/>
      <c r="D2785" s="47"/>
      <c r="E2785" s="47"/>
      <c r="F2785" s="47"/>
      <c r="G2785" s="47"/>
      <c r="H2785" s="47"/>
      <c r="I2785" s="47"/>
      <c r="J2785" s="47"/>
      <c r="K2785" s="47"/>
      <c r="L2785" s="47"/>
      <c r="M2785" s="47"/>
      <c r="N2785" s="47"/>
      <c r="O2785" s="47"/>
      <c r="P2785" s="47"/>
      <c r="Q2785" s="47"/>
      <c r="R2785" s="47"/>
      <c r="S2785" s="47"/>
      <c r="T2785" s="45"/>
      <c r="U2785" s="45"/>
      <c r="V2785" s="45"/>
      <c r="W2785" s="45"/>
      <c r="X2785" s="47"/>
      <c r="Y2785" s="45"/>
      <c r="Z2785" s="45"/>
      <c r="AA2785" s="48"/>
      <c r="AB2785" s="48"/>
      <c r="AC2785" s="47"/>
      <c r="AD2785" s="47"/>
      <c r="AE2785" s="47"/>
    </row>
    <row r="2786" spans="1:31" x14ac:dyDescent="0.35">
      <c r="A2786" s="41"/>
      <c r="B2786" s="41"/>
      <c r="C2786" s="42"/>
      <c r="D2786" s="43"/>
      <c r="E2786" s="43"/>
      <c r="F2786" s="43"/>
      <c r="G2786" s="43"/>
      <c r="H2786" s="43"/>
      <c r="I2786" s="43"/>
      <c r="J2786" s="43"/>
      <c r="K2786" s="43"/>
      <c r="L2786" s="43"/>
      <c r="M2786" s="43"/>
      <c r="N2786" s="43"/>
      <c r="O2786" s="43"/>
      <c r="P2786" s="43"/>
      <c r="Q2786" s="43"/>
      <c r="R2786" s="43"/>
      <c r="S2786" s="43"/>
      <c r="T2786" s="43"/>
      <c r="U2786" s="43"/>
      <c r="V2786" s="41"/>
      <c r="W2786" s="41"/>
      <c r="X2786" s="41"/>
      <c r="Y2786" s="41"/>
      <c r="Z2786" s="41"/>
      <c r="AA2786" s="44"/>
      <c r="AB2786" s="44"/>
      <c r="AC2786" s="43"/>
      <c r="AD2786" s="43"/>
      <c r="AE2786" s="43"/>
    </row>
    <row r="2787" spans="1:31" x14ac:dyDescent="0.35">
      <c r="C2787" s="33"/>
      <c r="D2787" s="34"/>
      <c r="E2787" s="34"/>
      <c r="F2787" s="34"/>
      <c r="G2787" s="34"/>
      <c r="H2787" s="34"/>
      <c r="I2787" s="34"/>
      <c r="J2787" s="34"/>
      <c r="K2787" s="34"/>
      <c r="L2787" s="34"/>
      <c r="M2787" s="34"/>
      <c r="N2787" s="34"/>
      <c r="O2787" s="34"/>
      <c r="AA2787" s="35"/>
      <c r="AB2787" s="35"/>
      <c r="AC2787" s="34"/>
      <c r="AD2787" s="34"/>
      <c r="AE2787" s="34"/>
    </row>
    <row r="2788" spans="1:31" ht="15" thickBot="1" x14ac:dyDescent="0.4">
      <c r="A2788" s="45"/>
      <c r="B2788" s="45"/>
      <c r="C2788" s="46"/>
      <c r="D2788" s="47"/>
      <c r="E2788" s="47"/>
      <c r="F2788" s="47"/>
      <c r="G2788" s="47"/>
      <c r="H2788" s="47"/>
      <c r="I2788" s="47"/>
      <c r="J2788" s="47"/>
      <c r="K2788" s="47"/>
      <c r="L2788" s="47"/>
      <c r="M2788" s="47"/>
      <c r="N2788" s="47"/>
      <c r="O2788" s="47"/>
      <c r="P2788" s="47"/>
      <c r="Q2788" s="47"/>
      <c r="R2788" s="47"/>
      <c r="S2788" s="47"/>
      <c r="T2788" s="45"/>
      <c r="U2788" s="45"/>
      <c r="V2788" s="45"/>
      <c r="W2788" s="45"/>
      <c r="X2788" s="47"/>
      <c r="Y2788" s="45"/>
      <c r="Z2788" s="45"/>
      <c r="AA2788" s="48"/>
      <c r="AB2788" s="48"/>
      <c r="AC2788" s="47"/>
      <c r="AD2788" s="47"/>
      <c r="AE2788" s="47"/>
    </row>
    <row r="2789" spans="1:31" x14ac:dyDescent="0.35">
      <c r="A2789" s="41"/>
      <c r="B2789" s="41"/>
      <c r="C2789" s="42"/>
      <c r="D2789" s="43"/>
      <c r="E2789" s="43"/>
      <c r="F2789" s="43"/>
      <c r="G2789" s="43"/>
      <c r="H2789" s="43"/>
      <c r="I2789" s="43"/>
      <c r="J2789" s="43"/>
      <c r="K2789" s="43"/>
      <c r="L2789" s="43"/>
      <c r="M2789" s="43"/>
      <c r="N2789" s="43"/>
      <c r="O2789" s="43"/>
      <c r="P2789" s="43"/>
      <c r="Q2789" s="43"/>
      <c r="R2789" s="43"/>
      <c r="S2789" s="43"/>
      <c r="T2789" s="43"/>
      <c r="U2789" s="43"/>
      <c r="V2789" s="41"/>
      <c r="W2789" s="41"/>
      <c r="X2789" s="41"/>
      <c r="Y2789" s="41"/>
      <c r="Z2789" s="41"/>
      <c r="AA2789" s="44"/>
      <c r="AB2789" s="44"/>
      <c r="AC2789" s="43"/>
      <c r="AD2789" s="43"/>
      <c r="AE2789" s="43"/>
    </row>
    <row r="2790" spans="1:31" x14ac:dyDescent="0.35">
      <c r="C2790" s="33"/>
      <c r="D2790" s="34"/>
      <c r="E2790" s="34"/>
      <c r="F2790" s="34"/>
      <c r="G2790" s="34"/>
      <c r="H2790" s="34"/>
      <c r="I2790" s="34"/>
      <c r="J2790" s="34"/>
      <c r="K2790" s="34"/>
      <c r="L2790" s="34"/>
      <c r="M2790" s="34"/>
      <c r="N2790" s="34"/>
      <c r="O2790" s="34"/>
      <c r="AA2790" s="35"/>
      <c r="AB2790" s="35"/>
      <c r="AC2790" s="34"/>
      <c r="AD2790" s="34"/>
      <c r="AE2790" s="34"/>
    </row>
    <row r="2791" spans="1:31" ht="15" thickBot="1" x14ac:dyDescent="0.4">
      <c r="A2791" s="45"/>
      <c r="B2791" s="45"/>
      <c r="C2791" s="46"/>
      <c r="D2791" s="47"/>
      <c r="E2791" s="47"/>
      <c r="F2791" s="47"/>
      <c r="G2791" s="47"/>
      <c r="H2791" s="47"/>
      <c r="I2791" s="47"/>
      <c r="J2791" s="47"/>
      <c r="K2791" s="47"/>
      <c r="L2791" s="47"/>
      <c r="M2791" s="47"/>
      <c r="N2791" s="47"/>
      <c r="O2791" s="47"/>
      <c r="P2791" s="47"/>
      <c r="Q2791" s="47"/>
      <c r="R2791" s="47"/>
      <c r="S2791" s="47"/>
      <c r="T2791" s="45"/>
      <c r="U2791" s="45"/>
      <c r="V2791" s="45"/>
      <c r="W2791" s="45"/>
      <c r="X2791" s="47"/>
      <c r="Y2791" s="45"/>
      <c r="Z2791" s="45"/>
      <c r="AA2791" s="48"/>
      <c r="AB2791" s="48"/>
      <c r="AC2791" s="47"/>
      <c r="AD2791" s="47"/>
      <c r="AE2791" s="47"/>
    </row>
    <row r="2792" spans="1:31" x14ac:dyDescent="0.35">
      <c r="A2792" s="41"/>
      <c r="B2792" s="41"/>
      <c r="C2792" s="42"/>
      <c r="D2792" s="43"/>
      <c r="E2792" s="43"/>
      <c r="F2792" s="43"/>
      <c r="G2792" s="43"/>
      <c r="H2792" s="43"/>
      <c r="I2792" s="43"/>
      <c r="J2792" s="43"/>
      <c r="K2792" s="43"/>
      <c r="L2792" s="43"/>
      <c r="M2792" s="43"/>
      <c r="N2792" s="43"/>
      <c r="O2792" s="43"/>
      <c r="P2792" s="43"/>
      <c r="Q2792" s="43"/>
      <c r="R2792" s="43"/>
      <c r="S2792" s="43"/>
      <c r="T2792" s="43"/>
      <c r="U2792" s="43"/>
      <c r="V2792" s="41"/>
      <c r="W2792" s="41"/>
      <c r="X2792" s="41"/>
      <c r="Y2792" s="41"/>
      <c r="Z2792" s="41"/>
      <c r="AA2792" s="44"/>
      <c r="AB2792" s="44"/>
      <c r="AC2792" s="43"/>
      <c r="AD2792" s="43"/>
      <c r="AE2792" s="43"/>
    </row>
    <row r="2793" spans="1:31" x14ac:dyDescent="0.35">
      <c r="C2793" s="33"/>
      <c r="D2793" s="34"/>
      <c r="E2793" s="34"/>
      <c r="F2793" s="34"/>
      <c r="G2793" s="34"/>
      <c r="H2793" s="34"/>
      <c r="I2793" s="34"/>
      <c r="J2793" s="34"/>
      <c r="K2793" s="34"/>
      <c r="L2793" s="34"/>
      <c r="M2793" s="34"/>
      <c r="N2793" s="34"/>
      <c r="O2793" s="34"/>
      <c r="AA2793" s="35"/>
      <c r="AB2793" s="35"/>
      <c r="AC2793" s="34"/>
      <c r="AD2793" s="34"/>
      <c r="AE2793" s="34"/>
    </row>
    <row r="2794" spans="1:31" ht="15" thickBot="1" x14ac:dyDescent="0.4">
      <c r="A2794" s="45"/>
      <c r="B2794" s="45"/>
      <c r="C2794" s="46"/>
      <c r="D2794" s="47"/>
      <c r="E2794" s="47"/>
      <c r="F2794" s="47"/>
      <c r="G2794" s="47"/>
      <c r="H2794" s="47"/>
      <c r="I2794" s="47"/>
      <c r="J2794" s="47"/>
      <c r="K2794" s="47"/>
      <c r="L2794" s="47"/>
      <c r="M2794" s="47"/>
      <c r="N2794" s="47"/>
      <c r="O2794" s="47"/>
      <c r="P2794" s="47"/>
      <c r="Q2794" s="47"/>
      <c r="R2794" s="47"/>
      <c r="S2794" s="47"/>
      <c r="T2794" s="45"/>
      <c r="U2794" s="45"/>
      <c r="V2794" s="45"/>
      <c r="W2794" s="45"/>
      <c r="X2794" s="47"/>
      <c r="Y2794" s="45"/>
      <c r="Z2794" s="45"/>
      <c r="AA2794" s="48"/>
      <c r="AB2794" s="48"/>
      <c r="AC2794" s="47"/>
      <c r="AD2794" s="47"/>
      <c r="AE2794" s="47"/>
    </row>
    <row r="2795" spans="1:31" x14ac:dyDescent="0.35">
      <c r="A2795" s="41"/>
      <c r="B2795" s="41"/>
      <c r="C2795" s="42"/>
      <c r="D2795" s="43"/>
      <c r="E2795" s="43"/>
      <c r="F2795" s="43"/>
      <c r="G2795" s="43"/>
      <c r="H2795" s="43"/>
      <c r="I2795" s="43"/>
      <c r="J2795" s="43"/>
      <c r="K2795" s="43"/>
      <c r="L2795" s="43"/>
      <c r="M2795" s="43"/>
      <c r="N2795" s="43"/>
      <c r="O2795" s="43"/>
      <c r="P2795" s="43"/>
      <c r="Q2795" s="43"/>
      <c r="R2795" s="43"/>
      <c r="S2795" s="43"/>
      <c r="T2795" s="43"/>
      <c r="U2795" s="43"/>
      <c r="V2795" s="41"/>
      <c r="W2795" s="41"/>
      <c r="X2795" s="41"/>
      <c r="Y2795" s="41"/>
      <c r="Z2795" s="41"/>
      <c r="AA2795" s="44"/>
      <c r="AB2795" s="44"/>
      <c r="AC2795" s="43"/>
      <c r="AD2795" s="43"/>
      <c r="AE2795" s="43"/>
    </row>
    <row r="2796" spans="1:31" x14ac:dyDescent="0.35">
      <c r="C2796" s="33"/>
      <c r="D2796" s="34"/>
      <c r="E2796" s="34"/>
      <c r="F2796" s="34"/>
      <c r="G2796" s="34"/>
      <c r="H2796" s="34"/>
      <c r="I2796" s="34"/>
      <c r="J2796" s="34"/>
      <c r="K2796" s="34"/>
      <c r="L2796" s="34"/>
      <c r="M2796" s="34"/>
      <c r="N2796" s="34"/>
      <c r="O2796" s="34"/>
      <c r="AA2796" s="35"/>
      <c r="AB2796" s="35"/>
      <c r="AC2796" s="34"/>
      <c r="AD2796" s="34"/>
      <c r="AE2796" s="34"/>
    </row>
    <row r="2797" spans="1:31" ht="15" thickBot="1" x14ac:dyDescent="0.4">
      <c r="A2797" s="45"/>
      <c r="B2797" s="45"/>
      <c r="C2797" s="46"/>
      <c r="D2797" s="47"/>
      <c r="E2797" s="47"/>
      <c r="F2797" s="47"/>
      <c r="G2797" s="47"/>
      <c r="H2797" s="47"/>
      <c r="I2797" s="47"/>
      <c r="J2797" s="47"/>
      <c r="K2797" s="47"/>
      <c r="L2797" s="47"/>
      <c r="M2797" s="47"/>
      <c r="N2797" s="47"/>
      <c r="O2797" s="47"/>
      <c r="P2797" s="47"/>
      <c r="Q2797" s="47"/>
      <c r="R2797" s="47"/>
      <c r="S2797" s="47"/>
      <c r="T2797" s="45"/>
      <c r="U2797" s="45"/>
      <c r="V2797" s="45"/>
      <c r="W2797" s="45"/>
      <c r="X2797" s="47"/>
      <c r="Y2797" s="45"/>
      <c r="Z2797" s="45"/>
      <c r="AA2797" s="48"/>
      <c r="AB2797" s="48"/>
      <c r="AC2797" s="47"/>
      <c r="AD2797" s="47"/>
      <c r="AE2797" s="47"/>
    </row>
    <row r="2798" spans="1:31" x14ac:dyDescent="0.35">
      <c r="A2798" s="41"/>
      <c r="B2798" s="41"/>
      <c r="C2798" s="42"/>
      <c r="D2798" s="43"/>
      <c r="E2798" s="43"/>
      <c r="F2798" s="43"/>
      <c r="G2798" s="43"/>
      <c r="H2798" s="43"/>
      <c r="I2798" s="43"/>
      <c r="J2798" s="43"/>
      <c r="K2798" s="43"/>
      <c r="L2798" s="43"/>
      <c r="M2798" s="43"/>
      <c r="N2798" s="43"/>
      <c r="O2798" s="43"/>
      <c r="P2798" s="43"/>
      <c r="Q2798" s="43"/>
      <c r="R2798" s="43"/>
      <c r="S2798" s="43"/>
      <c r="T2798" s="43"/>
      <c r="U2798" s="43"/>
      <c r="V2798" s="41"/>
      <c r="W2798" s="41"/>
      <c r="X2798" s="41"/>
      <c r="Y2798" s="41"/>
      <c r="Z2798" s="41"/>
      <c r="AA2798" s="44"/>
      <c r="AB2798" s="44"/>
      <c r="AC2798" s="43"/>
      <c r="AD2798" s="43"/>
      <c r="AE2798" s="43"/>
    </row>
    <row r="2799" spans="1:31" x14ac:dyDescent="0.35">
      <c r="C2799" s="33"/>
      <c r="D2799" s="34"/>
      <c r="E2799" s="34"/>
      <c r="F2799" s="34"/>
      <c r="G2799" s="34"/>
      <c r="H2799" s="34"/>
      <c r="I2799" s="34"/>
      <c r="J2799" s="34"/>
      <c r="K2799" s="34"/>
      <c r="L2799" s="34"/>
      <c r="M2799" s="34"/>
      <c r="N2799" s="34"/>
      <c r="O2799" s="34"/>
      <c r="AA2799" s="35"/>
      <c r="AB2799" s="35"/>
      <c r="AC2799" s="34"/>
      <c r="AD2799" s="34"/>
      <c r="AE2799" s="34"/>
    </row>
    <row r="2800" spans="1:31" ht="15" thickBot="1" x14ac:dyDescent="0.4">
      <c r="A2800" s="45"/>
      <c r="B2800" s="45"/>
      <c r="C2800" s="46"/>
      <c r="D2800" s="47"/>
      <c r="E2800" s="47"/>
      <c r="F2800" s="47"/>
      <c r="G2800" s="47"/>
      <c r="H2800" s="47"/>
      <c r="I2800" s="47"/>
      <c r="J2800" s="47"/>
      <c r="K2800" s="47"/>
      <c r="L2800" s="47"/>
      <c r="M2800" s="47"/>
      <c r="N2800" s="47"/>
      <c r="O2800" s="47"/>
      <c r="P2800" s="47"/>
      <c r="Q2800" s="47"/>
      <c r="R2800" s="47"/>
      <c r="S2800" s="47"/>
      <c r="T2800" s="45"/>
      <c r="U2800" s="45"/>
      <c r="V2800" s="45"/>
      <c r="W2800" s="45"/>
      <c r="X2800" s="47"/>
      <c r="Y2800" s="45"/>
      <c r="Z2800" s="45"/>
      <c r="AA2800" s="48"/>
      <c r="AB2800" s="48"/>
      <c r="AC2800" s="47"/>
      <c r="AD2800" s="47"/>
      <c r="AE2800" s="47"/>
    </row>
    <row r="2801" spans="1:31" x14ac:dyDescent="0.35">
      <c r="A2801" s="41"/>
      <c r="B2801" s="41"/>
      <c r="C2801" s="42"/>
      <c r="D2801" s="43"/>
      <c r="E2801" s="43"/>
      <c r="F2801" s="43"/>
      <c r="G2801" s="43"/>
      <c r="H2801" s="43"/>
      <c r="I2801" s="43"/>
      <c r="J2801" s="43"/>
      <c r="K2801" s="43"/>
      <c r="L2801" s="43"/>
      <c r="M2801" s="43"/>
      <c r="N2801" s="43"/>
      <c r="O2801" s="43"/>
      <c r="P2801" s="43"/>
      <c r="Q2801" s="43"/>
      <c r="R2801" s="43"/>
      <c r="S2801" s="43"/>
      <c r="T2801" s="43"/>
      <c r="U2801" s="43"/>
      <c r="V2801" s="41"/>
      <c r="W2801" s="41"/>
      <c r="X2801" s="41"/>
      <c r="Y2801" s="41"/>
      <c r="Z2801" s="41"/>
      <c r="AA2801" s="44"/>
      <c r="AB2801" s="44"/>
      <c r="AC2801" s="43"/>
      <c r="AD2801" s="43"/>
      <c r="AE2801" s="43"/>
    </row>
    <row r="2802" spans="1:31" x14ac:dyDescent="0.35">
      <c r="C2802" s="33"/>
      <c r="D2802" s="34"/>
      <c r="E2802" s="34"/>
      <c r="F2802" s="34"/>
      <c r="G2802" s="34"/>
      <c r="H2802" s="34"/>
      <c r="I2802" s="34"/>
      <c r="J2802" s="34"/>
      <c r="K2802" s="34"/>
      <c r="L2802" s="34"/>
      <c r="M2802" s="34"/>
      <c r="N2802" s="34"/>
      <c r="O2802" s="34"/>
      <c r="AA2802" s="35"/>
      <c r="AB2802" s="35"/>
      <c r="AC2802" s="34"/>
      <c r="AD2802" s="34"/>
      <c r="AE2802" s="34"/>
    </row>
    <row r="2803" spans="1:31" ht="15" thickBot="1" x14ac:dyDescent="0.4">
      <c r="A2803" s="45"/>
      <c r="B2803" s="45"/>
      <c r="C2803" s="46"/>
      <c r="D2803" s="47"/>
      <c r="E2803" s="47"/>
      <c r="F2803" s="47"/>
      <c r="G2803" s="47"/>
      <c r="H2803" s="47"/>
      <c r="I2803" s="47"/>
      <c r="J2803" s="47"/>
      <c r="K2803" s="47"/>
      <c r="L2803" s="47"/>
      <c r="M2803" s="47"/>
      <c r="N2803" s="47"/>
      <c r="O2803" s="47"/>
      <c r="P2803" s="47"/>
      <c r="Q2803" s="47"/>
      <c r="R2803" s="47"/>
      <c r="S2803" s="47"/>
      <c r="T2803" s="45"/>
      <c r="U2803" s="45"/>
      <c r="V2803" s="45"/>
      <c r="W2803" s="45"/>
      <c r="X2803" s="47"/>
      <c r="Y2803" s="45"/>
      <c r="Z2803" s="45"/>
      <c r="AA2803" s="48"/>
      <c r="AB2803" s="48"/>
      <c r="AC2803" s="47"/>
      <c r="AD2803" s="47"/>
      <c r="AE2803" s="47"/>
    </row>
    <row r="2804" spans="1:31" x14ac:dyDescent="0.35">
      <c r="A2804" s="41"/>
      <c r="B2804" s="41"/>
      <c r="C2804" s="42"/>
      <c r="D2804" s="43"/>
      <c r="E2804" s="43"/>
      <c r="F2804" s="43"/>
      <c r="G2804" s="43"/>
      <c r="H2804" s="43"/>
      <c r="I2804" s="43"/>
      <c r="J2804" s="43"/>
      <c r="K2804" s="43"/>
      <c r="L2804" s="43"/>
      <c r="M2804" s="43"/>
      <c r="N2804" s="43"/>
      <c r="O2804" s="43"/>
      <c r="P2804" s="43"/>
      <c r="Q2804" s="43"/>
      <c r="R2804" s="43"/>
      <c r="S2804" s="43"/>
      <c r="T2804" s="43"/>
      <c r="U2804" s="43"/>
      <c r="V2804" s="41"/>
      <c r="W2804" s="41"/>
      <c r="X2804" s="41"/>
      <c r="Y2804" s="41"/>
      <c r="Z2804" s="41"/>
      <c r="AA2804" s="44"/>
      <c r="AB2804" s="44"/>
      <c r="AC2804" s="43"/>
      <c r="AD2804" s="43"/>
      <c r="AE2804" s="43"/>
    </row>
    <row r="2805" spans="1:31" x14ac:dyDescent="0.35">
      <c r="C2805" s="33"/>
      <c r="D2805" s="34"/>
      <c r="E2805" s="34"/>
      <c r="F2805" s="34"/>
      <c r="G2805" s="34"/>
      <c r="H2805" s="34"/>
      <c r="I2805" s="34"/>
      <c r="J2805" s="34"/>
      <c r="K2805" s="34"/>
      <c r="L2805" s="34"/>
      <c r="M2805" s="34"/>
      <c r="N2805" s="34"/>
      <c r="O2805" s="34"/>
      <c r="AA2805" s="35"/>
      <c r="AB2805" s="35"/>
      <c r="AC2805" s="34"/>
      <c r="AD2805" s="34"/>
      <c r="AE2805" s="34"/>
    </row>
    <row r="2806" spans="1:31" ht="15" thickBot="1" x14ac:dyDescent="0.4">
      <c r="A2806" s="45"/>
      <c r="B2806" s="45"/>
      <c r="C2806" s="46"/>
      <c r="D2806" s="47"/>
      <c r="E2806" s="47"/>
      <c r="F2806" s="47"/>
      <c r="G2806" s="47"/>
      <c r="H2806" s="47"/>
      <c r="I2806" s="47"/>
      <c r="J2806" s="47"/>
      <c r="K2806" s="47"/>
      <c r="L2806" s="47"/>
      <c r="M2806" s="47"/>
      <c r="N2806" s="47"/>
      <c r="O2806" s="47"/>
      <c r="P2806" s="47"/>
      <c r="Q2806" s="47"/>
      <c r="R2806" s="47"/>
      <c r="S2806" s="47"/>
      <c r="T2806" s="45"/>
      <c r="U2806" s="45"/>
      <c r="V2806" s="45"/>
      <c r="W2806" s="45"/>
      <c r="X2806" s="47"/>
      <c r="Y2806" s="45"/>
      <c r="Z2806" s="45"/>
      <c r="AA2806" s="48"/>
      <c r="AB2806" s="48"/>
      <c r="AC2806" s="47"/>
      <c r="AD2806" s="47"/>
      <c r="AE2806" s="47"/>
    </row>
    <row r="2807" spans="1:31" x14ac:dyDescent="0.35">
      <c r="A2807" s="41"/>
      <c r="B2807" s="41"/>
      <c r="C2807" s="42"/>
      <c r="D2807" s="43"/>
      <c r="E2807" s="43"/>
      <c r="F2807" s="43"/>
      <c r="G2807" s="43"/>
      <c r="H2807" s="43"/>
      <c r="I2807" s="43"/>
      <c r="J2807" s="43"/>
      <c r="K2807" s="43"/>
      <c r="L2807" s="43"/>
      <c r="M2807" s="43"/>
      <c r="N2807" s="43"/>
      <c r="O2807" s="43"/>
      <c r="P2807" s="43"/>
      <c r="Q2807" s="43"/>
      <c r="R2807" s="43"/>
      <c r="S2807" s="43"/>
      <c r="T2807" s="43"/>
      <c r="U2807" s="43"/>
      <c r="V2807" s="41"/>
      <c r="W2807" s="41"/>
      <c r="X2807" s="41"/>
      <c r="Y2807" s="41"/>
      <c r="Z2807" s="41"/>
      <c r="AA2807" s="44"/>
      <c r="AB2807" s="44"/>
      <c r="AC2807" s="43"/>
      <c r="AD2807" s="43"/>
      <c r="AE2807" s="43"/>
    </row>
    <row r="2808" spans="1:31" x14ac:dyDescent="0.35">
      <c r="C2808" s="33"/>
      <c r="D2808" s="34"/>
      <c r="E2808" s="34"/>
      <c r="F2808" s="34"/>
      <c r="G2808" s="34"/>
      <c r="H2808" s="34"/>
      <c r="I2808" s="34"/>
      <c r="J2808" s="34"/>
      <c r="K2808" s="34"/>
      <c r="L2808" s="34"/>
      <c r="M2808" s="34"/>
      <c r="N2808" s="34"/>
      <c r="O2808" s="34"/>
      <c r="AA2808" s="35"/>
      <c r="AB2808" s="35"/>
      <c r="AC2808" s="34"/>
      <c r="AD2808" s="34"/>
      <c r="AE2808" s="34"/>
    </row>
    <row r="2809" spans="1:31" ht="15" thickBot="1" x14ac:dyDescent="0.4">
      <c r="A2809" s="45"/>
      <c r="B2809" s="45"/>
      <c r="C2809" s="46"/>
      <c r="D2809" s="47"/>
      <c r="E2809" s="47"/>
      <c r="F2809" s="47"/>
      <c r="G2809" s="47"/>
      <c r="H2809" s="47"/>
      <c r="I2809" s="47"/>
      <c r="J2809" s="47"/>
      <c r="K2809" s="47"/>
      <c r="L2809" s="47"/>
      <c r="M2809" s="47"/>
      <c r="N2809" s="47"/>
      <c r="O2809" s="47"/>
      <c r="P2809" s="47"/>
      <c r="Q2809" s="47"/>
      <c r="R2809" s="47"/>
      <c r="S2809" s="47"/>
      <c r="T2809" s="45"/>
      <c r="U2809" s="45"/>
      <c r="V2809" s="45"/>
      <c r="W2809" s="45"/>
      <c r="X2809" s="47"/>
      <c r="Y2809" s="45"/>
      <c r="Z2809" s="45"/>
      <c r="AA2809" s="48"/>
      <c r="AB2809" s="48"/>
      <c r="AC2809" s="47"/>
      <c r="AD2809" s="47"/>
      <c r="AE2809" s="47"/>
    </row>
    <row r="2810" spans="1:31" x14ac:dyDescent="0.35">
      <c r="A2810" s="41"/>
      <c r="B2810" s="41"/>
      <c r="C2810" s="42"/>
      <c r="D2810" s="43"/>
      <c r="E2810" s="43"/>
      <c r="F2810" s="43"/>
      <c r="G2810" s="43"/>
      <c r="H2810" s="43"/>
      <c r="I2810" s="43"/>
      <c r="J2810" s="43"/>
      <c r="K2810" s="43"/>
      <c r="L2810" s="43"/>
      <c r="M2810" s="43"/>
      <c r="N2810" s="43"/>
      <c r="O2810" s="43"/>
      <c r="P2810" s="43"/>
      <c r="Q2810" s="43"/>
      <c r="R2810" s="43"/>
      <c r="S2810" s="43"/>
      <c r="T2810" s="43"/>
      <c r="U2810" s="43"/>
      <c r="V2810" s="41"/>
      <c r="W2810" s="41"/>
      <c r="X2810" s="41"/>
      <c r="Y2810" s="41"/>
      <c r="Z2810" s="41"/>
      <c r="AA2810" s="44"/>
      <c r="AB2810" s="44"/>
      <c r="AC2810" s="43"/>
      <c r="AD2810" s="43"/>
      <c r="AE2810" s="43"/>
    </row>
    <row r="2811" spans="1:31" x14ac:dyDescent="0.35">
      <c r="C2811" s="33"/>
      <c r="D2811" s="34"/>
      <c r="E2811" s="34"/>
      <c r="F2811" s="34"/>
      <c r="G2811" s="34"/>
      <c r="H2811" s="34"/>
      <c r="I2811" s="34"/>
      <c r="J2811" s="34"/>
      <c r="K2811" s="34"/>
      <c r="L2811" s="34"/>
      <c r="M2811" s="34"/>
      <c r="N2811" s="34"/>
      <c r="O2811" s="34"/>
      <c r="AA2811" s="35"/>
      <c r="AB2811" s="35"/>
      <c r="AC2811" s="34"/>
      <c r="AD2811" s="34"/>
      <c r="AE2811" s="34"/>
    </row>
    <row r="2812" spans="1:31" ht="15" thickBot="1" x14ac:dyDescent="0.4">
      <c r="A2812" s="45"/>
      <c r="B2812" s="45"/>
      <c r="C2812" s="46"/>
      <c r="D2812" s="47"/>
      <c r="E2812" s="47"/>
      <c r="F2812" s="47"/>
      <c r="G2812" s="47"/>
      <c r="H2812" s="47"/>
      <c r="I2812" s="47"/>
      <c r="J2812" s="47"/>
      <c r="K2812" s="47"/>
      <c r="L2812" s="47"/>
      <c r="M2812" s="47"/>
      <c r="N2812" s="47"/>
      <c r="O2812" s="47"/>
      <c r="P2812" s="47"/>
      <c r="Q2812" s="47"/>
      <c r="R2812" s="47"/>
      <c r="S2812" s="47"/>
      <c r="T2812" s="45"/>
      <c r="U2812" s="45"/>
      <c r="V2812" s="45"/>
      <c r="W2812" s="45"/>
      <c r="X2812" s="47"/>
      <c r="Y2812" s="45"/>
      <c r="Z2812" s="45"/>
      <c r="AA2812" s="48"/>
      <c r="AB2812" s="48"/>
      <c r="AC2812" s="47"/>
      <c r="AD2812" s="47"/>
      <c r="AE2812" s="47"/>
    </row>
    <row r="2813" spans="1:31" x14ac:dyDescent="0.35">
      <c r="A2813" s="41"/>
      <c r="B2813" s="41"/>
      <c r="C2813" s="42"/>
      <c r="D2813" s="43"/>
      <c r="E2813" s="43"/>
      <c r="F2813" s="43"/>
      <c r="G2813" s="43"/>
      <c r="H2813" s="43"/>
      <c r="I2813" s="43"/>
      <c r="J2813" s="43"/>
      <c r="K2813" s="43"/>
      <c r="L2813" s="43"/>
      <c r="M2813" s="43"/>
      <c r="N2813" s="43"/>
      <c r="O2813" s="43"/>
      <c r="P2813" s="43"/>
      <c r="Q2813" s="43"/>
      <c r="R2813" s="43"/>
      <c r="S2813" s="43"/>
      <c r="T2813" s="43"/>
      <c r="U2813" s="43"/>
      <c r="V2813" s="41"/>
      <c r="W2813" s="41"/>
      <c r="X2813" s="41"/>
      <c r="Y2813" s="41"/>
      <c r="Z2813" s="41"/>
      <c r="AA2813" s="44"/>
      <c r="AB2813" s="44"/>
      <c r="AC2813" s="43"/>
      <c r="AD2813" s="43"/>
      <c r="AE2813" s="43"/>
    </row>
    <row r="2814" spans="1:31" x14ac:dyDescent="0.35">
      <c r="C2814" s="33"/>
      <c r="D2814" s="34"/>
      <c r="E2814" s="34"/>
      <c r="F2814" s="34"/>
      <c r="G2814" s="34"/>
      <c r="H2814" s="34"/>
      <c r="I2814" s="34"/>
      <c r="J2814" s="34"/>
      <c r="K2814" s="34"/>
      <c r="L2814" s="34"/>
      <c r="M2814" s="34"/>
      <c r="N2814" s="34"/>
      <c r="O2814" s="34"/>
      <c r="AA2814" s="35"/>
      <c r="AB2814" s="35"/>
      <c r="AC2814" s="34"/>
      <c r="AD2814" s="34"/>
      <c r="AE2814" s="34"/>
    </row>
    <row r="2815" spans="1:31" ht="15" thickBot="1" x14ac:dyDescent="0.4">
      <c r="A2815" s="45"/>
      <c r="B2815" s="45"/>
      <c r="C2815" s="46"/>
      <c r="D2815" s="47"/>
      <c r="E2815" s="47"/>
      <c r="F2815" s="47"/>
      <c r="G2815" s="47"/>
      <c r="H2815" s="47"/>
      <c r="I2815" s="47"/>
      <c r="J2815" s="47"/>
      <c r="K2815" s="47"/>
      <c r="L2815" s="47"/>
      <c r="M2815" s="47"/>
      <c r="N2815" s="47"/>
      <c r="O2815" s="47"/>
      <c r="P2815" s="47"/>
      <c r="Q2815" s="47"/>
      <c r="R2815" s="47"/>
      <c r="S2815" s="47"/>
      <c r="T2815" s="45"/>
      <c r="U2815" s="45"/>
      <c r="V2815" s="45"/>
      <c r="W2815" s="45"/>
      <c r="X2815" s="47"/>
      <c r="Y2815" s="45"/>
      <c r="Z2815" s="45"/>
      <c r="AA2815" s="48"/>
      <c r="AB2815" s="48"/>
      <c r="AC2815" s="47"/>
      <c r="AD2815" s="47"/>
      <c r="AE2815" s="47"/>
    </row>
    <row r="2816" spans="1:31" x14ac:dyDescent="0.35">
      <c r="A2816" s="41"/>
      <c r="B2816" s="41"/>
      <c r="C2816" s="42"/>
      <c r="D2816" s="43"/>
      <c r="E2816" s="43"/>
      <c r="F2816" s="43"/>
      <c r="G2816" s="43"/>
      <c r="H2816" s="43"/>
      <c r="I2816" s="43"/>
      <c r="J2816" s="43"/>
      <c r="K2816" s="43"/>
      <c r="L2816" s="43"/>
      <c r="M2816" s="43"/>
      <c r="N2816" s="43"/>
      <c r="O2816" s="43"/>
      <c r="P2816" s="43"/>
      <c r="Q2816" s="43"/>
      <c r="R2816" s="43"/>
      <c r="S2816" s="43"/>
      <c r="T2816" s="43"/>
      <c r="U2816" s="43"/>
      <c r="V2816" s="41"/>
      <c r="W2816" s="41"/>
      <c r="X2816" s="41"/>
      <c r="Y2816" s="41"/>
      <c r="Z2816" s="41"/>
      <c r="AA2816" s="44"/>
      <c r="AB2816" s="44"/>
      <c r="AC2816" s="43"/>
      <c r="AD2816" s="43"/>
      <c r="AE2816" s="43"/>
    </row>
    <row r="2817" spans="1:31" x14ac:dyDescent="0.35">
      <c r="C2817" s="33"/>
      <c r="D2817" s="34"/>
      <c r="E2817" s="34"/>
      <c r="F2817" s="34"/>
      <c r="G2817" s="34"/>
      <c r="H2817" s="34"/>
      <c r="I2817" s="34"/>
      <c r="J2817" s="34"/>
      <c r="K2817" s="34"/>
      <c r="L2817" s="34"/>
      <c r="M2817" s="34"/>
      <c r="N2817" s="34"/>
      <c r="O2817" s="34"/>
      <c r="AA2817" s="35"/>
      <c r="AB2817" s="35"/>
      <c r="AC2817" s="34"/>
      <c r="AD2817" s="34"/>
      <c r="AE2817" s="34"/>
    </row>
    <row r="2818" spans="1:31" ht="15" thickBot="1" x14ac:dyDescent="0.4">
      <c r="A2818" s="45"/>
      <c r="B2818" s="45"/>
      <c r="C2818" s="46"/>
      <c r="D2818" s="47"/>
      <c r="E2818" s="47"/>
      <c r="F2818" s="47"/>
      <c r="G2818" s="47"/>
      <c r="H2818" s="47"/>
      <c r="I2818" s="47"/>
      <c r="J2818" s="47"/>
      <c r="K2818" s="47"/>
      <c r="L2818" s="47"/>
      <c r="M2818" s="47"/>
      <c r="N2818" s="47"/>
      <c r="O2818" s="47"/>
      <c r="P2818" s="47"/>
      <c r="Q2818" s="47"/>
      <c r="R2818" s="47"/>
      <c r="S2818" s="47"/>
      <c r="T2818" s="45"/>
      <c r="U2818" s="45"/>
      <c r="V2818" s="45"/>
      <c r="W2818" s="45"/>
      <c r="X2818" s="47"/>
      <c r="Y2818" s="45"/>
      <c r="Z2818" s="45"/>
      <c r="AA2818" s="48"/>
      <c r="AB2818" s="48"/>
      <c r="AC2818" s="47"/>
      <c r="AD2818" s="47"/>
      <c r="AE2818" s="47"/>
    </row>
    <row r="2819" spans="1:31" x14ac:dyDescent="0.35">
      <c r="A2819" s="41"/>
      <c r="B2819" s="41"/>
      <c r="C2819" s="42"/>
      <c r="D2819" s="43"/>
      <c r="E2819" s="43"/>
      <c r="F2819" s="43"/>
      <c r="G2819" s="43"/>
      <c r="H2819" s="43"/>
      <c r="I2819" s="43"/>
      <c r="J2819" s="43"/>
      <c r="K2819" s="43"/>
      <c r="L2819" s="43"/>
      <c r="M2819" s="43"/>
      <c r="N2819" s="43"/>
      <c r="O2819" s="43"/>
      <c r="P2819" s="43"/>
      <c r="Q2819" s="43"/>
      <c r="R2819" s="43"/>
      <c r="S2819" s="43"/>
      <c r="T2819" s="43"/>
      <c r="U2819" s="43"/>
      <c r="V2819" s="41"/>
      <c r="W2819" s="41"/>
      <c r="X2819" s="41"/>
      <c r="Y2819" s="41"/>
      <c r="Z2819" s="41"/>
      <c r="AA2819" s="44"/>
      <c r="AB2819" s="44"/>
      <c r="AC2819" s="43"/>
      <c r="AD2819" s="43"/>
      <c r="AE2819" s="43"/>
    </row>
    <row r="2820" spans="1:31" x14ac:dyDescent="0.35">
      <c r="C2820" s="33"/>
      <c r="D2820" s="34"/>
      <c r="E2820" s="34"/>
      <c r="F2820" s="34"/>
      <c r="G2820" s="34"/>
      <c r="H2820" s="34"/>
      <c r="I2820" s="34"/>
      <c r="J2820" s="34"/>
      <c r="K2820" s="34"/>
      <c r="L2820" s="34"/>
      <c r="M2820" s="34"/>
      <c r="N2820" s="34"/>
      <c r="O2820" s="34"/>
      <c r="AA2820" s="35"/>
      <c r="AB2820" s="35"/>
      <c r="AC2820" s="34"/>
      <c r="AD2820" s="34"/>
      <c r="AE2820" s="34"/>
    </row>
    <row r="2821" spans="1:31" ht="15" thickBot="1" x14ac:dyDescent="0.4">
      <c r="A2821" s="45"/>
      <c r="B2821" s="45"/>
      <c r="C2821" s="46"/>
      <c r="D2821" s="47"/>
      <c r="E2821" s="47"/>
      <c r="F2821" s="47"/>
      <c r="G2821" s="47"/>
      <c r="H2821" s="47"/>
      <c r="I2821" s="47"/>
      <c r="J2821" s="47"/>
      <c r="K2821" s="47"/>
      <c r="L2821" s="47"/>
      <c r="M2821" s="47"/>
      <c r="N2821" s="47"/>
      <c r="O2821" s="47"/>
      <c r="P2821" s="47"/>
      <c r="Q2821" s="47"/>
      <c r="R2821" s="47"/>
      <c r="S2821" s="47"/>
      <c r="T2821" s="45"/>
      <c r="U2821" s="45"/>
      <c r="V2821" s="45"/>
      <c r="W2821" s="45"/>
      <c r="X2821" s="47"/>
      <c r="Y2821" s="45"/>
      <c r="Z2821" s="45"/>
      <c r="AA2821" s="48"/>
      <c r="AB2821" s="48"/>
      <c r="AC2821" s="47"/>
      <c r="AD2821" s="47"/>
      <c r="AE2821" s="47"/>
    </row>
    <row r="2822" spans="1:31" x14ac:dyDescent="0.35">
      <c r="A2822" s="41"/>
      <c r="B2822" s="41"/>
      <c r="C2822" s="42"/>
      <c r="D2822" s="43"/>
      <c r="E2822" s="43"/>
      <c r="F2822" s="43"/>
      <c r="G2822" s="43"/>
      <c r="H2822" s="43"/>
      <c r="I2822" s="43"/>
      <c r="J2822" s="43"/>
      <c r="K2822" s="43"/>
      <c r="L2822" s="43"/>
      <c r="M2822" s="43"/>
      <c r="N2822" s="43"/>
      <c r="O2822" s="43"/>
      <c r="P2822" s="43"/>
      <c r="Q2822" s="43"/>
      <c r="R2822" s="43"/>
      <c r="S2822" s="43"/>
      <c r="T2822" s="43"/>
      <c r="U2822" s="43"/>
      <c r="V2822" s="41"/>
      <c r="W2822" s="41"/>
      <c r="X2822" s="41"/>
      <c r="Y2822" s="41"/>
      <c r="Z2822" s="41"/>
      <c r="AA2822" s="44"/>
      <c r="AB2822" s="44"/>
      <c r="AC2822" s="43"/>
      <c r="AD2822" s="43"/>
      <c r="AE2822" s="43"/>
    </row>
    <row r="2823" spans="1:31" x14ac:dyDescent="0.35">
      <c r="C2823" s="33"/>
      <c r="D2823" s="34"/>
      <c r="E2823" s="34"/>
      <c r="F2823" s="34"/>
      <c r="G2823" s="34"/>
      <c r="H2823" s="34"/>
      <c r="I2823" s="34"/>
      <c r="J2823" s="34"/>
      <c r="K2823" s="34"/>
      <c r="L2823" s="34"/>
      <c r="M2823" s="34"/>
      <c r="N2823" s="34"/>
      <c r="O2823" s="34"/>
      <c r="AA2823" s="35"/>
      <c r="AB2823" s="35"/>
      <c r="AC2823" s="34"/>
      <c r="AD2823" s="34"/>
      <c r="AE2823" s="34"/>
    </row>
    <row r="2824" spans="1:31" ht="15" thickBot="1" x14ac:dyDescent="0.4">
      <c r="A2824" s="45"/>
      <c r="B2824" s="45"/>
      <c r="C2824" s="46"/>
      <c r="D2824" s="47"/>
      <c r="E2824" s="47"/>
      <c r="F2824" s="47"/>
      <c r="G2824" s="47"/>
      <c r="H2824" s="47"/>
      <c r="I2824" s="47"/>
      <c r="J2824" s="47"/>
      <c r="K2824" s="47"/>
      <c r="L2824" s="47"/>
      <c r="M2824" s="47"/>
      <c r="N2824" s="47"/>
      <c r="O2824" s="47"/>
      <c r="P2824" s="47"/>
      <c r="Q2824" s="47"/>
      <c r="R2824" s="47"/>
      <c r="S2824" s="47"/>
      <c r="T2824" s="45"/>
      <c r="U2824" s="45"/>
      <c r="V2824" s="45"/>
      <c r="W2824" s="45"/>
      <c r="X2824" s="47"/>
      <c r="Y2824" s="45"/>
      <c r="Z2824" s="45"/>
      <c r="AA2824" s="48"/>
      <c r="AB2824" s="48"/>
      <c r="AC2824" s="47"/>
      <c r="AD2824" s="47"/>
      <c r="AE2824" s="47"/>
    </row>
    <row r="2825" spans="1:31" x14ac:dyDescent="0.35">
      <c r="A2825" s="41"/>
      <c r="B2825" s="41"/>
      <c r="C2825" s="42"/>
      <c r="D2825" s="43"/>
      <c r="E2825" s="43"/>
      <c r="F2825" s="43"/>
      <c r="G2825" s="43"/>
      <c r="H2825" s="43"/>
      <c r="I2825" s="43"/>
      <c r="J2825" s="43"/>
      <c r="K2825" s="43"/>
      <c r="L2825" s="43"/>
      <c r="M2825" s="43"/>
      <c r="N2825" s="43"/>
      <c r="O2825" s="43"/>
      <c r="P2825" s="43"/>
      <c r="Q2825" s="43"/>
      <c r="R2825" s="43"/>
      <c r="S2825" s="43"/>
      <c r="T2825" s="43"/>
      <c r="U2825" s="43"/>
      <c r="V2825" s="41"/>
      <c r="W2825" s="41"/>
      <c r="X2825" s="41"/>
      <c r="Y2825" s="41"/>
      <c r="Z2825" s="41"/>
      <c r="AA2825" s="44"/>
      <c r="AB2825" s="44"/>
      <c r="AC2825" s="43"/>
      <c r="AD2825" s="43"/>
      <c r="AE2825" s="43"/>
    </row>
    <row r="2826" spans="1:31" x14ac:dyDescent="0.35">
      <c r="C2826" s="33"/>
      <c r="D2826" s="34"/>
      <c r="E2826" s="34"/>
      <c r="F2826" s="34"/>
      <c r="G2826" s="34"/>
      <c r="H2826" s="34"/>
      <c r="I2826" s="34"/>
      <c r="J2826" s="34"/>
      <c r="K2826" s="34"/>
      <c r="L2826" s="34"/>
      <c r="M2826" s="34"/>
      <c r="N2826" s="34"/>
      <c r="O2826" s="34"/>
      <c r="AA2826" s="35"/>
      <c r="AB2826" s="35"/>
      <c r="AC2826" s="34"/>
      <c r="AD2826" s="34"/>
      <c r="AE2826" s="34"/>
    </row>
    <row r="2827" spans="1:31" ht="15" thickBot="1" x14ac:dyDescent="0.4">
      <c r="A2827" s="45"/>
      <c r="B2827" s="45"/>
      <c r="C2827" s="46"/>
      <c r="D2827" s="47"/>
      <c r="E2827" s="47"/>
      <c r="F2827" s="47"/>
      <c r="G2827" s="47"/>
      <c r="H2827" s="47"/>
      <c r="I2827" s="47"/>
      <c r="J2827" s="47"/>
      <c r="K2827" s="47"/>
      <c r="L2827" s="47"/>
      <c r="M2827" s="47"/>
      <c r="N2827" s="47"/>
      <c r="O2827" s="47"/>
      <c r="P2827" s="47"/>
      <c r="Q2827" s="47"/>
      <c r="R2827" s="47"/>
      <c r="S2827" s="47"/>
      <c r="T2827" s="45"/>
      <c r="U2827" s="45"/>
      <c r="V2827" s="45"/>
      <c r="W2827" s="45"/>
      <c r="X2827" s="47"/>
      <c r="Y2827" s="45"/>
      <c r="Z2827" s="45"/>
      <c r="AA2827" s="48"/>
      <c r="AB2827" s="48"/>
      <c r="AC2827" s="47"/>
      <c r="AD2827" s="47"/>
      <c r="AE2827" s="47"/>
    </row>
    <row r="2828" spans="1:31" x14ac:dyDescent="0.35">
      <c r="A2828" s="41"/>
      <c r="B2828" s="41"/>
      <c r="C2828" s="42"/>
      <c r="D2828" s="43"/>
      <c r="E2828" s="43"/>
      <c r="F2828" s="43"/>
      <c r="G2828" s="43"/>
      <c r="H2828" s="43"/>
      <c r="I2828" s="43"/>
      <c r="J2828" s="43"/>
      <c r="K2828" s="43"/>
      <c r="L2828" s="43"/>
      <c r="M2828" s="43"/>
      <c r="N2828" s="43"/>
      <c r="O2828" s="43"/>
      <c r="P2828" s="43"/>
      <c r="Q2828" s="43"/>
      <c r="R2828" s="43"/>
      <c r="S2828" s="43"/>
      <c r="T2828" s="43"/>
      <c r="U2828" s="43"/>
      <c r="V2828" s="41"/>
      <c r="W2828" s="41"/>
      <c r="X2828" s="41"/>
      <c r="Y2828" s="41"/>
      <c r="Z2828" s="41"/>
      <c r="AA2828" s="44"/>
      <c r="AB2828" s="44"/>
      <c r="AC2828" s="43"/>
      <c r="AD2828" s="43"/>
      <c r="AE2828" s="43"/>
    </row>
    <row r="2829" spans="1:31" x14ac:dyDescent="0.35">
      <c r="C2829" s="33"/>
      <c r="D2829" s="34"/>
      <c r="E2829" s="34"/>
      <c r="F2829" s="34"/>
      <c r="G2829" s="34"/>
      <c r="H2829" s="34"/>
      <c r="I2829" s="34"/>
      <c r="J2829" s="34"/>
      <c r="K2829" s="34"/>
      <c r="L2829" s="34"/>
      <c r="M2829" s="34"/>
      <c r="N2829" s="34"/>
      <c r="O2829" s="34"/>
      <c r="AA2829" s="35"/>
      <c r="AB2829" s="35"/>
      <c r="AC2829" s="34"/>
      <c r="AD2829" s="34"/>
      <c r="AE2829" s="34"/>
    </row>
    <row r="2830" spans="1:31" ht="15" thickBot="1" x14ac:dyDescent="0.4">
      <c r="A2830" s="45"/>
      <c r="B2830" s="45"/>
      <c r="C2830" s="46"/>
      <c r="D2830" s="47"/>
      <c r="E2830" s="47"/>
      <c r="F2830" s="47"/>
      <c r="G2830" s="47"/>
      <c r="H2830" s="47"/>
      <c r="I2830" s="47"/>
      <c r="J2830" s="47"/>
      <c r="K2830" s="47"/>
      <c r="L2830" s="47"/>
      <c r="M2830" s="47"/>
      <c r="N2830" s="47"/>
      <c r="O2830" s="47"/>
      <c r="P2830" s="47"/>
      <c r="Q2830" s="47"/>
      <c r="R2830" s="47"/>
      <c r="S2830" s="47"/>
      <c r="T2830" s="45"/>
      <c r="U2830" s="45"/>
      <c r="V2830" s="45"/>
      <c r="W2830" s="45"/>
      <c r="X2830" s="47"/>
      <c r="Y2830" s="45"/>
      <c r="Z2830" s="45"/>
      <c r="AA2830" s="48"/>
      <c r="AB2830" s="48"/>
      <c r="AC2830" s="47"/>
      <c r="AD2830" s="47"/>
      <c r="AE2830" s="47"/>
    </row>
    <row r="2831" spans="1:31" x14ac:dyDescent="0.35">
      <c r="A2831" s="41"/>
      <c r="B2831" s="41"/>
      <c r="C2831" s="42"/>
      <c r="D2831" s="43"/>
      <c r="E2831" s="43"/>
      <c r="F2831" s="43"/>
      <c r="G2831" s="43"/>
      <c r="H2831" s="43"/>
      <c r="I2831" s="43"/>
      <c r="J2831" s="43"/>
      <c r="K2831" s="43"/>
      <c r="L2831" s="43"/>
      <c r="M2831" s="43"/>
      <c r="N2831" s="43"/>
      <c r="O2831" s="43"/>
      <c r="P2831" s="43"/>
      <c r="Q2831" s="43"/>
      <c r="R2831" s="43"/>
      <c r="S2831" s="43"/>
      <c r="T2831" s="43"/>
      <c r="U2831" s="43"/>
      <c r="V2831" s="41"/>
      <c r="W2831" s="41"/>
      <c r="X2831" s="41"/>
      <c r="Y2831" s="41"/>
      <c r="Z2831" s="41"/>
      <c r="AA2831" s="44"/>
      <c r="AB2831" s="44"/>
      <c r="AC2831" s="43"/>
      <c r="AD2831" s="43"/>
      <c r="AE2831" s="43"/>
    </row>
    <row r="2832" spans="1:31" x14ac:dyDescent="0.35">
      <c r="C2832" s="33"/>
      <c r="D2832" s="34"/>
      <c r="E2832" s="34"/>
      <c r="F2832" s="34"/>
      <c r="G2832" s="34"/>
      <c r="H2832" s="34"/>
      <c r="I2832" s="34"/>
      <c r="J2832" s="34"/>
      <c r="K2832" s="34"/>
      <c r="L2832" s="34"/>
      <c r="M2832" s="34"/>
      <c r="N2832" s="34"/>
      <c r="O2832" s="34"/>
      <c r="AA2832" s="35"/>
      <c r="AB2832" s="35"/>
      <c r="AC2832" s="34"/>
      <c r="AD2832" s="34"/>
      <c r="AE2832" s="34"/>
    </row>
    <row r="2833" spans="1:31" ht="15" thickBot="1" x14ac:dyDescent="0.4">
      <c r="A2833" s="45"/>
      <c r="B2833" s="45"/>
      <c r="C2833" s="46"/>
      <c r="D2833" s="47"/>
      <c r="E2833" s="47"/>
      <c r="F2833" s="47"/>
      <c r="G2833" s="47"/>
      <c r="H2833" s="47"/>
      <c r="I2833" s="47"/>
      <c r="J2833" s="47"/>
      <c r="K2833" s="47"/>
      <c r="L2833" s="47"/>
      <c r="M2833" s="47"/>
      <c r="N2833" s="47"/>
      <c r="O2833" s="47"/>
      <c r="P2833" s="47"/>
      <c r="Q2833" s="47"/>
      <c r="R2833" s="47"/>
      <c r="S2833" s="47"/>
      <c r="T2833" s="45"/>
      <c r="U2833" s="45"/>
      <c r="V2833" s="45"/>
      <c r="W2833" s="45"/>
      <c r="X2833" s="47"/>
      <c r="Y2833" s="45"/>
      <c r="Z2833" s="45"/>
      <c r="AA2833" s="48"/>
      <c r="AB2833" s="48"/>
      <c r="AC2833" s="47"/>
      <c r="AD2833" s="47"/>
      <c r="AE2833" s="47"/>
    </row>
    <row r="2834" spans="1:31" x14ac:dyDescent="0.35">
      <c r="A2834" s="41"/>
      <c r="B2834" s="41"/>
      <c r="C2834" s="42"/>
      <c r="D2834" s="43"/>
      <c r="E2834" s="43"/>
      <c r="F2834" s="43"/>
      <c r="G2834" s="43"/>
      <c r="H2834" s="43"/>
      <c r="I2834" s="43"/>
      <c r="J2834" s="43"/>
      <c r="K2834" s="43"/>
      <c r="L2834" s="43"/>
      <c r="M2834" s="43"/>
      <c r="N2834" s="43"/>
      <c r="O2834" s="43"/>
      <c r="P2834" s="43"/>
      <c r="Q2834" s="43"/>
      <c r="R2834" s="43"/>
      <c r="S2834" s="43"/>
      <c r="T2834" s="43"/>
      <c r="U2834" s="43"/>
      <c r="V2834" s="41"/>
      <c r="W2834" s="41"/>
      <c r="X2834" s="41"/>
      <c r="Y2834" s="41"/>
      <c r="Z2834" s="41"/>
      <c r="AA2834" s="44"/>
      <c r="AB2834" s="44"/>
      <c r="AC2834" s="43"/>
      <c r="AD2834" s="43"/>
      <c r="AE2834" s="43"/>
    </row>
    <row r="2835" spans="1:31" x14ac:dyDescent="0.35">
      <c r="C2835" s="33"/>
      <c r="D2835" s="34"/>
      <c r="E2835" s="34"/>
      <c r="F2835" s="34"/>
      <c r="G2835" s="34"/>
      <c r="H2835" s="34"/>
      <c r="I2835" s="34"/>
      <c r="J2835" s="34"/>
      <c r="K2835" s="34"/>
      <c r="L2835" s="34"/>
      <c r="M2835" s="34"/>
      <c r="N2835" s="34"/>
      <c r="O2835" s="34"/>
      <c r="AA2835" s="35"/>
      <c r="AB2835" s="35"/>
      <c r="AC2835" s="34"/>
      <c r="AD2835" s="34"/>
      <c r="AE2835" s="34"/>
    </row>
    <row r="2836" spans="1:31" ht="15" thickBot="1" x14ac:dyDescent="0.4">
      <c r="A2836" s="45"/>
      <c r="B2836" s="45"/>
      <c r="C2836" s="46"/>
      <c r="D2836" s="47"/>
      <c r="E2836" s="47"/>
      <c r="F2836" s="47"/>
      <c r="G2836" s="47"/>
      <c r="H2836" s="47"/>
      <c r="I2836" s="47"/>
      <c r="J2836" s="47"/>
      <c r="K2836" s="47"/>
      <c r="L2836" s="47"/>
      <c r="M2836" s="47"/>
      <c r="N2836" s="47"/>
      <c r="O2836" s="47"/>
      <c r="P2836" s="47"/>
      <c r="Q2836" s="47"/>
      <c r="R2836" s="47"/>
      <c r="S2836" s="47"/>
      <c r="T2836" s="45"/>
      <c r="U2836" s="45"/>
      <c r="V2836" s="45"/>
      <c r="W2836" s="45"/>
      <c r="X2836" s="47"/>
      <c r="Y2836" s="45"/>
      <c r="Z2836" s="45"/>
      <c r="AA2836" s="48"/>
      <c r="AB2836" s="48"/>
      <c r="AC2836" s="47"/>
      <c r="AD2836" s="47"/>
      <c r="AE2836" s="47"/>
    </row>
    <row r="2837" spans="1:31" x14ac:dyDescent="0.35">
      <c r="A2837" s="41"/>
      <c r="B2837" s="41"/>
      <c r="C2837" s="42"/>
      <c r="D2837" s="43"/>
      <c r="E2837" s="43"/>
      <c r="F2837" s="43"/>
      <c r="G2837" s="43"/>
      <c r="H2837" s="43"/>
      <c r="I2837" s="43"/>
      <c r="J2837" s="43"/>
      <c r="K2837" s="43"/>
      <c r="L2837" s="43"/>
      <c r="M2837" s="43"/>
      <c r="N2837" s="43"/>
      <c r="O2837" s="43"/>
      <c r="P2837" s="43"/>
      <c r="Q2837" s="43"/>
      <c r="R2837" s="43"/>
      <c r="S2837" s="43"/>
      <c r="T2837" s="43"/>
      <c r="U2837" s="43"/>
      <c r="V2837" s="41"/>
      <c r="W2837" s="41"/>
      <c r="X2837" s="41"/>
      <c r="Y2837" s="41"/>
      <c r="Z2837" s="41"/>
      <c r="AA2837" s="44"/>
      <c r="AB2837" s="44"/>
      <c r="AC2837" s="43"/>
      <c r="AD2837" s="43"/>
      <c r="AE2837" s="43"/>
    </row>
    <row r="2838" spans="1:31" x14ac:dyDescent="0.35">
      <c r="C2838" s="33"/>
      <c r="D2838" s="34"/>
      <c r="E2838" s="34"/>
      <c r="F2838" s="34"/>
      <c r="G2838" s="34"/>
      <c r="H2838" s="34"/>
      <c r="I2838" s="34"/>
      <c r="J2838" s="34"/>
      <c r="K2838" s="34"/>
      <c r="L2838" s="34"/>
      <c r="M2838" s="34"/>
      <c r="N2838" s="34"/>
      <c r="O2838" s="34"/>
      <c r="AA2838" s="35"/>
      <c r="AB2838" s="35"/>
      <c r="AC2838" s="34"/>
      <c r="AD2838" s="34"/>
      <c r="AE2838" s="34"/>
    </row>
    <row r="2839" spans="1:31" ht="15" thickBot="1" x14ac:dyDescent="0.4">
      <c r="A2839" s="45"/>
      <c r="B2839" s="45"/>
      <c r="C2839" s="46"/>
      <c r="D2839" s="47"/>
      <c r="E2839" s="47"/>
      <c r="F2839" s="47"/>
      <c r="G2839" s="47"/>
      <c r="H2839" s="47"/>
      <c r="I2839" s="47"/>
      <c r="J2839" s="47"/>
      <c r="K2839" s="47"/>
      <c r="L2839" s="47"/>
      <c r="M2839" s="47"/>
      <c r="N2839" s="47"/>
      <c r="O2839" s="47"/>
      <c r="P2839" s="47"/>
      <c r="Q2839" s="47"/>
      <c r="R2839" s="47"/>
      <c r="S2839" s="47"/>
      <c r="T2839" s="45"/>
      <c r="U2839" s="45"/>
      <c r="V2839" s="45"/>
      <c r="W2839" s="45"/>
      <c r="X2839" s="47"/>
      <c r="Y2839" s="45"/>
      <c r="Z2839" s="45"/>
      <c r="AA2839" s="48"/>
      <c r="AB2839" s="48"/>
      <c r="AC2839" s="47"/>
      <c r="AD2839" s="47"/>
      <c r="AE2839" s="47"/>
    </row>
    <row r="2840" spans="1:31" x14ac:dyDescent="0.35">
      <c r="A2840" s="41"/>
      <c r="B2840" s="41"/>
      <c r="C2840" s="42"/>
      <c r="D2840" s="43"/>
      <c r="E2840" s="43"/>
      <c r="F2840" s="43"/>
      <c r="G2840" s="43"/>
      <c r="H2840" s="43"/>
      <c r="I2840" s="43"/>
      <c r="J2840" s="43"/>
      <c r="K2840" s="43"/>
      <c r="L2840" s="43"/>
      <c r="M2840" s="43"/>
      <c r="N2840" s="43"/>
      <c r="O2840" s="43"/>
      <c r="P2840" s="43"/>
      <c r="Q2840" s="43"/>
      <c r="R2840" s="43"/>
      <c r="S2840" s="43"/>
      <c r="T2840" s="43"/>
      <c r="U2840" s="43"/>
      <c r="V2840" s="41"/>
      <c r="W2840" s="41"/>
      <c r="X2840" s="41"/>
      <c r="Y2840" s="41"/>
      <c r="Z2840" s="41"/>
      <c r="AA2840" s="44"/>
      <c r="AB2840" s="44"/>
      <c r="AC2840" s="43"/>
      <c r="AD2840" s="43"/>
      <c r="AE2840" s="43"/>
    </row>
    <row r="2841" spans="1:31" x14ac:dyDescent="0.35">
      <c r="C2841" s="33"/>
      <c r="D2841" s="34"/>
      <c r="E2841" s="34"/>
      <c r="F2841" s="34"/>
      <c r="G2841" s="34"/>
      <c r="H2841" s="34"/>
      <c r="I2841" s="34"/>
      <c r="J2841" s="34"/>
      <c r="K2841" s="34"/>
      <c r="L2841" s="34"/>
      <c r="M2841" s="34"/>
      <c r="N2841" s="34"/>
      <c r="O2841" s="34"/>
      <c r="AA2841" s="35"/>
      <c r="AB2841" s="35"/>
      <c r="AC2841" s="34"/>
      <c r="AD2841" s="34"/>
      <c r="AE2841" s="34"/>
    </row>
    <row r="2842" spans="1:31" ht="15" thickBot="1" x14ac:dyDescent="0.4">
      <c r="A2842" s="45"/>
      <c r="B2842" s="45"/>
      <c r="C2842" s="46"/>
      <c r="D2842" s="47"/>
      <c r="E2842" s="47"/>
      <c r="F2842" s="47"/>
      <c r="G2842" s="47"/>
      <c r="H2842" s="47"/>
      <c r="I2842" s="47"/>
      <c r="J2842" s="47"/>
      <c r="K2842" s="47"/>
      <c r="L2842" s="47"/>
      <c r="M2842" s="47"/>
      <c r="N2842" s="47"/>
      <c r="O2842" s="47"/>
      <c r="P2842" s="47"/>
      <c r="Q2842" s="47"/>
      <c r="R2842" s="47"/>
      <c r="S2842" s="47"/>
      <c r="T2842" s="45"/>
      <c r="U2842" s="45"/>
      <c r="V2842" s="45"/>
      <c r="W2842" s="45"/>
      <c r="X2842" s="47"/>
      <c r="Y2842" s="45"/>
      <c r="Z2842" s="45"/>
      <c r="AA2842" s="48"/>
      <c r="AB2842" s="48"/>
      <c r="AC2842" s="47"/>
      <c r="AD2842" s="47"/>
      <c r="AE2842" s="47"/>
    </row>
    <row r="2843" spans="1:31" x14ac:dyDescent="0.35">
      <c r="A2843" s="41"/>
      <c r="B2843" s="41"/>
      <c r="C2843" s="42"/>
      <c r="D2843" s="43"/>
      <c r="E2843" s="43"/>
      <c r="F2843" s="43"/>
      <c r="G2843" s="43"/>
      <c r="H2843" s="43"/>
      <c r="I2843" s="43"/>
      <c r="J2843" s="43"/>
      <c r="K2843" s="43"/>
      <c r="L2843" s="43"/>
      <c r="M2843" s="43"/>
      <c r="N2843" s="43"/>
      <c r="O2843" s="43"/>
      <c r="P2843" s="43"/>
      <c r="Q2843" s="43"/>
      <c r="R2843" s="43"/>
      <c r="S2843" s="43"/>
      <c r="T2843" s="43"/>
      <c r="U2843" s="43"/>
      <c r="V2843" s="41"/>
      <c r="W2843" s="41"/>
      <c r="X2843" s="41"/>
      <c r="Y2843" s="41"/>
      <c r="Z2843" s="41"/>
      <c r="AA2843" s="44"/>
      <c r="AB2843" s="44"/>
      <c r="AC2843" s="43"/>
      <c r="AD2843" s="43"/>
      <c r="AE2843" s="43"/>
    </row>
    <row r="2844" spans="1:31" x14ac:dyDescent="0.35">
      <c r="C2844" s="33"/>
      <c r="D2844" s="34"/>
      <c r="E2844" s="34"/>
      <c r="F2844" s="34"/>
      <c r="G2844" s="34"/>
      <c r="H2844" s="34"/>
      <c r="I2844" s="34"/>
      <c r="J2844" s="34"/>
      <c r="K2844" s="34"/>
      <c r="L2844" s="34"/>
      <c r="M2844" s="34"/>
      <c r="N2844" s="34"/>
      <c r="O2844" s="34"/>
      <c r="AA2844" s="35"/>
      <c r="AB2844" s="35"/>
      <c r="AC2844" s="34"/>
      <c r="AD2844" s="34"/>
      <c r="AE2844" s="34"/>
    </row>
    <row r="2845" spans="1:31" ht="15" thickBot="1" x14ac:dyDescent="0.4">
      <c r="A2845" s="45"/>
      <c r="B2845" s="45"/>
      <c r="C2845" s="46"/>
      <c r="D2845" s="47"/>
      <c r="E2845" s="47"/>
      <c r="F2845" s="47"/>
      <c r="G2845" s="47"/>
      <c r="H2845" s="47"/>
      <c r="I2845" s="47"/>
      <c r="J2845" s="47"/>
      <c r="K2845" s="47"/>
      <c r="L2845" s="47"/>
      <c r="M2845" s="47"/>
      <c r="N2845" s="47"/>
      <c r="O2845" s="47"/>
      <c r="P2845" s="47"/>
      <c r="Q2845" s="47"/>
      <c r="R2845" s="47"/>
      <c r="S2845" s="47"/>
      <c r="T2845" s="45"/>
      <c r="U2845" s="45"/>
      <c r="V2845" s="45"/>
      <c r="W2845" s="45"/>
      <c r="X2845" s="47"/>
      <c r="Y2845" s="45"/>
      <c r="Z2845" s="45"/>
      <c r="AA2845" s="48"/>
      <c r="AB2845" s="48"/>
      <c r="AC2845" s="47"/>
      <c r="AD2845" s="47"/>
      <c r="AE2845" s="47"/>
    </row>
    <row r="2846" spans="1:31" x14ac:dyDescent="0.35">
      <c r="A2846" s="41"/>
      <c r="B2846" s="41"/>
      <c r="C2846" s="42"/>
      <c r="D2846" s="43"/>
      <c r="E2846" s="43"/>
      <c r="F2846" s="43"/>
      <c r="G2846" s="43"/>
      <c r="H2846" s="43"/>
      <c r="I2846" s="43"/>
      <c r="J2846" s="43"/>
      <c r="K2846" s="43"/>
      <c r="L2846" s="43"/>
      <c r="M2846" s="43"/>
      <c r="N2846" s="43"/>
      <c r="O2846" s="43"/>
      <c r="P2846" s="43"/>
      <c r="Q2846" s="43"/>
      <c r="R2846" s="43"/>
      <c r="S2846" s="43"/>
      <c r="T2846" s="43"/>
      <c r="U2846" s="43"/>
      <c r="V2846" s="41"/>
      <c r="W2846" s="41"/>
      <c r="X2846" s="41"/>
      <c r="Y2846" s="41"/>
      <c r="Z2846" s="41"/>
      <c r="AA2846" s="44"/>
      <c r="AB2846" s="44"/>
      <c r="AC2846" s="43"/>
      <c r="AD2846" s="43"/>
      <c r="AE2846" s="43"/>
    </row>
    <row r="2847" spans="1:31" x14ac:dyDescent="0.35">
      <c r="C2847" s="33"/>
      <c r="D2847" s="34"/>
      <c r="E2847" s="34"/>
      <c r="F2847" s="34"/>
      <c r="G2847" s="34"/>
      <c r="H2847" s="34"/>
      <c r="I2847" s="34"/>
      <c r="J2847" s="34"/>
      <c r="K2847" s="34"/>
      <c r="L2847" s="34"/>
      <c r="M2847" s="34"/>
      <c r="N2847" s="34"/>
      <c r="O2847" s="34"/>
      <c r="AA2847" s="35"/>
      <c r="AB2847" s="35"/>
      <c r="AC2847" s="34"/>
      <c r="AD2847" s="34"/>
      <c r="AE2847" s="34"/>
    </row>
    <row r="2848" spans="1:31" ht="15" thickBot="1" x14ac:dyDescent="0.4">
      <c r="A2848" s="45"/>
      <c r="B2848" s="45"/>
      <c r="C2848" s="46"/>
      <c r="D2848" s="47"/>
      <c r="E2848" s="47"/>
      <c r="F2848" s="47"/>
      <c r="G2848" s="47"/>
      <c r="H2848" s="47"/>
      <c r="I2848" s="47"/>
      <c r="J2848" s="47"/>
      <c r="K2848" s="47"/>
      <c r="L2848" s="47"/>
      <c r="M2848" s="47"/>
      <c r="N2848" s="47"/>
      <c r="O2848" s="47"/>
      <c r="P2848" s="47"/>
      <c r="Q2848" s="47"/>
      <c r="R2848" s="47"/>
      <c r="S2848" s="47"/>
      <c r="T2848" s="45"/>
      <c r="U2848" s="45"/>
      <c r="V2848" s="45"/>
      <c r="W2848" s="45"/>
      <c r="X2848" s="47"/>
      <c r="Y2848" s="45"/>
      <c r="Z2848" s="45"/>
      <c r="AA2848" s="48"/>
      <c r="AB2848" s="48"/>
      <c r="AC2848" s="47"/>
      <c r="AD2848" s="47"/>
      <c r="AE2848" s="47"/>
    </row>
    <row r="2849" spans="1:31" x14ac:dyDescent="0.35">
      <c r="A2849" s="41"/>
      <c r="B2849" s="41"/>
      <c r="C2849" s="42"/>
      <c r="D2849" s="43"/>
      <c r="E2849" s="43"/>
      <c r="F2849" s="43"/>
      <c r="G2849" s="43"/>
      <c r="H2849" s="43"/>
      <c r="I2849" s="43"/>
      <c r="J2849" s="43"/>
      <c r="K2849" s="43"/>
      <c r="L2849" s="43"/>
      <c r="M2849" s="43"/>
      <c r="N2849" s="43"/>
      <c r="O2849" s="43"/>
      <c r="P2849" s="43"/>
      <c r="Q2849" s="43"/>
      <c r="R2849" s="43"/>
      <c r="S2849" s="43"/>
      <c r="T2849" s="43"/>
      <c r="U2849" s="43"/>
      <c r="V2849" s="41"/>
      <c r="W2849" s="41"/>
      <c r="X2849" s="41"/>
      <c r="Y2849" s="41"/>
      <c r="Z2849" s="41"/>
      <c r="AA2849" s="44"/>
      <c r="AB2849" s="44"/>
      <c r="AC2849" s="43"/>
      <c r="AD2849" s="43"/>
      <c r="AE2849" s="43"/>
    </row>
    <row r="2850" spans="1:31" x14ac:dyDescent="0.35">
      <c r="C2850" s="33"/>
      <c r="D2850" s="34"/>
      <c r="E2850" s="34"/>
      <c r="F2850" s="34"/>
      <c r="G2850" s="34"/>
      <c r="H2850" s="34"/>
      <c r="I2850" s="34"/>
      <c r="J2850" s="34"/>
      <c r="K2850" s="34"/>
      <c r="L2850" s="34"/>
      <c r="M2850" s="34"/>
      <c r="N2850" s="34"/>
      <c r="O2850" s="34"/>
      <c r="AA2850" s="35"/>
      <c r="AB2850" s="35"/>
      <c r="AC2850" s="34"/>
      <c r="AD2850" s="34"/>
      <c r="AE2850" s="34"/>
    </row>
    <row r="2851" spans="1:31" ht="15" thickBot="1" x14ac:dyDescent="0.4">
      <c r="A2851" s="45"/>
      <c r="B2851" s="45"/>
      <c r="C2851" s="46"/>
      <c r="D2851" s="47"/>
      <c r="E2851" s="47"/>
      <c r="F2851" s="47"/>
      <c r="G2851" s="47"/>
      <c r="H2851" s="47"/>
      <c r="I2851" s="47"/>
      <c r="J2851" s="47"/>
      <c r="K2851" s="47"/>
      <c r="L2851" s="47"/>
      <c r="M2851" s="47"/>
      <c r="N2851" s="47"/>
      <c r="O2851" s="47"/>
      <c r="P2851" s="47"/>
      <c r="Q2851" s="47"/>
      <c r="R2851" s="47"/>
      <c r="S2851" s="47"/>
      <c r="T2851" s="45"/>
      <c r="U2851" s="45"/>
      <c r="V2851" s="45"/>
      <c r="W2851" s="45"/>
      <c r="X2851" s="47"/>
      <c r="Y2851" s="45"/>
      <c r="Z2851" s="45"/>
      <c r="AA2851" s="48"/>
      <c r="AB2851" s="48"/>
      <c r="AC2851" s="47"/>
      <c r="AD2851" s="47"/>
      <c r="AE2851" s="47"/>
    </row>
    <row r="2852" spans="1:31" x14ac:dyDescent="0.35">
      <c r="A2852" s="41"/>
      <c r="B2852" s="41"/>
      <c r="C2852" s="42"/>
      <c r="D2852" s="43"/>
      <c r="E2852" s="43"/>
      <c r="F2852" s="43"/>
      <c r="G2852" s="43"/>
      <c r="H2852" s="43"/>
      <c r="I2852" s="43"/>
      <c r="J2852" s="43"/>
      <c r="K2852" s="43"/>
      <c r="L2852" s="43"/>
      <c r="M2852" s="43"/>
      <c r="N2852" s="43"/>
      <c r="O2852" s="43"/>
      <c r="P2852" s="43"/>
      <c r="Q2852" s="43"/>
      <c r="R2852" s="43"/>
      <c r="S2852" s="43"/>
      <c r="T2852" s="43"/>
      <c r="U2852" s="43"/>
      <c r="V2852" s="41"/>
      <c r="W2852" s="41"/>
      <c r="X2852" s="41"/>
      <c r="Y2852" s="41"/>
      <c r="Z2852" s="41"/>
      <c r="AA2852" s="44"/>
      <c r="AB2852" s="44"/>
      <c r="AC2852" s="43"/>
      <c r="AD2852" s="43"/>
      <c r="AE2852" s="43"/>
    </row>
    <row r="2853" spans="1:31" x14ac:dyDescent="0.35">
      <c r="C2853" s="33"/>
      <c r="D2853" s="34"/>
      <c r="E2853" s="34"/>
      <c r="F2853" s="34"/>
      <c r="G2853" s="34"/>
      <c r="H2853" s="34"/>
      <c r="I2853" s="34"/>
      <c r="J2853" s="34"/>
      <c r="K2853" s="34"/>
      <c r="L2853" s="34"/>
      <c r="M2853" s="34"/>
      <c r="N2853" s="34"/>
      <c r="O2853" s="34"/>
      <c r="AA2853" s="35"/>
      <c r="AB2853" s="35"/>
      <c r="AC2853" s="34"/>
      <c r="AD2853" s="34"/>
      <c r="AE2853" s="34"/>
    </row>
    <row r="2854" spans="1:31" ht="15" thickBot="1" x14ac:dyDescent="0.4">
      <c r="A2854" s="45"/>
      <c r="B2854" s="45"/>
      <c r="C2854" s="46"/>
      <c r="D2854" s="47"/>
      <c r="E2854" s="47"/>
      <c r="F2854" s="47"/>
      <c r="G2854" s="47"/>
      <c r="H2854" s="47"/>
      <c r="I2854" s="47"/>
      <c r="J2854" s="47"/>
      <c r="K2854" s="47"/>
      <c r="L2854" s="47"/>
      <c r="M2854" s="47"/>
      <c r="N2854" s="47"/>
      <c r="O2854" s="47"/>
      <c r="P2854" s="47"/>
      <c r="Q2854" s="47"/>
      <c r="R2854" s="47"/>
      <c r="S2854" s="47"/>
      <c r="T2854" s="45"/>
      <c r="U2854" s="45"/>
      <c r="V2854" s="45"/>
      <c r="W2854" s="45"/>
      <c r="X2854" s="47"/>
      <c r="Y2854" s="45"/>
      <c r="Z2854" s="45"/>
      <c r="AA2854" s="48"/>
      <c r="AB2854" s="48"/>
      <c r="AC2854" s="47"/>
      <c r="AD2854" s="47"/>
      <c r="AE2854" s="47"/>
    </row>
    <row r="2855" spans="1:31" x14ac:dyDescent="0.35">
      <c r="A2855" s="41"/>
      <c r="B2855" s="41"/>
      <c r="C2855" s="42"/>
      <c r="D2855" s="43"/>
      <c r="E2855" s="43"/>
      <c r="F2855" s="43"/>
      <c r="G2855" s="43"/>
      <c r="H2855" s="43"/>
      <c r="I2855" s="43"/>
      <c r="J2855" s="43"/>
      <c r="K2855" s="43"/>
      <c r="L2855" s="43"/>
      <c r="M2855" s="43"/>
      <c r="N2855" s="43"/>
      <c r="O2855" s="43"/>
      <c r="P2855" s="43"/>
      <c r="Q2855" s="43"/>
      <c r="R2855" s="43"/>
      <c r="S2855" s="43"/>
      <c r="T2855" s="43"/>
      <c r="U2855" s="43"/>
      <c r="V2855" s="41"/>
      <c r="W2855" s="41"/>
      <c r="X2855" s="41"/>
      <c r="Y2855" s="41"/>
      <c r="Z2855" s="41"/>
      <c r="AA2855" s="44"/>
      <c r="AB2855" s="44"/>
      <c r="AC2855" s="43"/>
      <c r="AD2855" s="43"/>
      <c r="AE2855" s="43"/>
    </row>
    <row r="2856" spans="1:31" x14ac:dyDescent="0.35">
      <c r="C2856" s="33"/>
      <c r="D2856" s="34"/>
      <c r="E2856" s="34"/>
      <c r="F2856" s="34"/>
      <c r="G2856" s="34"/>
      <c r="H2856" s="34"/>
      <c r="I2856" s="34"/>
      <c r="J2856" s="34"/>
      <c r="K2856" s="34"/>
      <c r="L2856" s="34"/>
      <c r="M2856" s="34"/>
      <c r="N2856" s="34"/>
      <c r="O2856" s="34"/>
      <c r="AA2856" s="35"/>
      <c r="AB2856" s="35"/>
      <c r="AC2856" s="34"/>
      <c r="AD2856" s="34"/>
      <c r="AE2856" s="34"/>
    </row>
    <row r="2857" spans="1:31" ht="15" thickBot="1" x14ac:dyDescent="0.4">
      <c r="A2857" s="45"/>
      <c r="B2857" s="45"/>
      <c r="C2857" s="46"/>
      <c r="D2857" s="47"/>
      <c r="E2857" s="47"/>
      <c r="F2857" s="47"/>
      <c r="G2857" s="47"/>
      <c r="H2857" s="47"/>
      <c r="I2857" s="47"/>
      <c r="J2857" s="47"/>
      <c r="K2857" s="47"/>
      <c r="L2857" s="47"/>
      <c r="M2857" s="47"/>
      <c r="N2857" s="47"/>
      <c r="O2857" s="47"/>
      <c r="P2857" s="47"/>
      <c r="Q2857" s="47"/>
      <c r="R2857" s="47"/>
      <c r="S2857" s="47"/>
      <c r="T2857" s="45"/>
      <c r="U2857" s="45"/>
      <c r="V2857" s="45"/>
      <c r="W2857" s="45"/>
      <c r="X2857" s="47"/>
      <c r="Y2857" s="45"/>
      <c r="Z2857" s="45"/>
      <c r="AA2857" s="48"/>
      <c r="AB2857" s="48"/>
      <c r="AC2857" s="47"/>
      <c r="AD2857" s="47"/>
      <c r="AE2857" s="47"/>
    </row>
    <row r="2858" spans="1:31" x14ac:dyDescent="0.35">
      <c r="A2858" s="41"/>
      <c r="B2858" s="41"/>
      <c r="C2858" s="42"/>
      <c r="D2858" s="43"/>
      <c r="E2858" s="43"/>
      <c r="F2858" s="43"/>
      <c r="G2858" s="43"/>
      <c r="H2858" s="43"/>
      <c r="I2858" s="43"/>
      <c r="J2858" s="43"/>
      <c r="K2858" s="43"/>
      <c r="L2858" s="43"/>
      <c r="M2858" s="43"/>
      <c r="N2858" s="43"/>
      <c r="O2858" s="43"/>
      <c r="P2858" s="43"/>
      <c r="Q2858" s="43"/>
      <c r="R2858" s="43"/>
      <c r="S2858" s="43"/>
      <c r="T2858" s="43"/>
      <c r="U2858" s="43"/>
      <c r="V2858" s="41"/>
      <c r="W2858" s="41"/>
      <c r="X2858" s="41"/>
      <c r="Y2858" s="41"/>
      <c r="Z2858" s="41"/>
      <c r="AA2858" s="44"/>
      <c r="AB2858" s="44"/>
      <c r="AC2858" s="43"/>
      <c r="AD2858" s="43"/>
      <c r="AE2858" s="43"/>
    </row>
    <row r="2859" spans="1:31" x14ac:dyDescent="0.35">
      <c r="C2859" s="33"/>
      <c r="D2859" s="34"/>
      <c r="E2859" s="34"/>
      <c r="F2859" s="34"/>
      <c r="G2859" s="34"/>
      <c r="H2859" s="34"/>
      <c r="I2859" s="34"/>
      <c r="J2859" s="34"/>
      <c r="K2859" s="34"/>
      <c r="L2859" s="34"/>
      <c r="M2859" s="34"/>
      <c r="N2859" s="34"/>
      <c r="O2859" s="34"/>
      <c r="AA2859" s="35"/>
      <c r="AB2859" s="35"/>
      <c r="AC2859" s="34"/>
      <c r="AD2859" s="34"/>
      <c r="AE2859" s="34"/>
    </row>
    <row r="2860" spans="1:31" ht="15" thickBot="1" x14ac:dyDescent="0.4">
      <c r="A2860" s="45"/>
      <c r="B2860" s="45"/>
      <c r="C2860" s="46"/>
      <c r="D2860" s="47"/>
      <c r="E2860" s="47"/>
      <c r="F2860" s="47"/>
      <c r="G2860" s="47"/>
      <c r="H2860" s="47"/>
      <c r="I2860" s="47"/>
      <c r="J2860" s="47"/>
      <c r="K2860" s="47"/>
      <c r="L2860" s="47"/>
      <c r="M2860" s="47"/>
      <c r="N2860" s="47"/>
      <c r="O2860" s="47"/>
      <c r="P2860" s="47"/>
      <c r="Q2860" s="47"/>
      <c r="R2860" s="47"/>
      <c r="S2860" s="47"/>
      <c r="T2860" s="45"/>
      <c r="U2860" s="45"/>
      <c r="V2860" s="45"/>
      <c r="W2860" s="45"/>
      <c r="X2860" s="47"/>
      <c r="Y2860" s="45"/>
      <c r="Z2860" s="45"/>
      <c r="AA2860" s="48"/>
      <c r="AB2860" s="48"/>
      <c r="AC2860" s="47"/>
      <c r="AD2860" s="47"/>
      <c r="AE2860" s="47"/>
    </row>
    <row r="2861" spans="1:31" x14ac:dyDescent="0.35">
      <c r="A2861" s="41"/>
      <c r="B2861" s="41"/>
      <c r="C2861" s="42"/>
      <c r="D2861" s="43"/>
      <c r="E2861" s="43"/>
      <c r="F2861" s="43"/>
      <c r="G2861" s="43"/>
      <c r="H2861" s="43"/>
      <c r="I2861" s="43"/>
      <c r="J2861" s="43"/>
      <c r="K2861" s="43"/>
      <c r="L2861" s="43"/>
      <c r="M2861" s="43"/>
      <c r="N2861" s="43"/>
      <c r="O2861" s="43"/>
      <c r="P2861" s="43"/>
      <c r="Q2861" s="43"/>
      <c r="R2861" s="43"/>
      <c r="S2861" s="43"/>
      <c r="T2861" s="43"/>
      <c r="U2861" s="43"/>
      <c r="V2861" s="41"/>
      <c r="W2861" s="41"/>
      <c r="X2861" s="41"/>
      <c r="Y2861" s="41"/>
      <c r="Z2861" s="41"/>
      <c r="AA2861" s="44"/>
      <c r="AB2861" s="44"/>
      <c r="AC2861" s="43"/>
      <c r="AD2861" s="43"/>
      <c r="AE2861" s="43"/>
    </row>
    <row r="2862" spans="1:31" x14ac:dyDescent="0.35">
      <c r="C2862" s="33"/>
      <c r="D2862" s="34"/>
      <c r="E2862" s="34"/>
      <c r="F2862" s="34"/>
      <c r="G2862" s="34"/>
      <c r="H2862" s="34"/>
      <c r="I2862" s="34"/>
      <c r="J2862" s="34"/>
      <c r="K2862" s="34"/>
      <c r="L2862" s="34"/>
      <c r="M2862" s="34"/>
      <c r="N2862" s="34"/>
      <c r="O2862" s="34"/>
      <c r="AA2862" s="35"/>
      <c r="AB2862" s="35"/>
      <c r="AC2862" s="34"/>
      <c r="AD2862" s="34"/>
      <c r="AE2862" s="34"/>
    </row>
    <row r="2863" spans="1:31" ht="15" thickBot="1" x14ac:dyDescent="0.4">
      <c r="A2863" s="45"/>
      <c r="B2863" s="45"/>
      <c r="C2863" s="46"/>
      <c r="D2863" s="47"/>
      <c r="E2863" s="47"/>
      <c r="F2863" s="47"/>
      <c r="G2863" s="47"/>
      <c r="H2863" s="47"/>
      <c r="I2863" s="47"/>
      <c r="J2863" s="47"/>
      <c r="K2863" s="47"/>
      <c r="L2863" s="47"/>
      <c r="M2863" s="47"/>
      <c r="N2863" s="47"/>
      <c r="O2863" s="47"/>
      <c r="P2863" s="47"/>
      <c r="Q2863" s="47"/>
      <c r="R2863" s="47"/>
      <c r="S2863" s="47"/>
      <c r="T2863" s="45"/>
      <c r="U2863" s="45"/>
      <c r="V2863" s="45"/>
      <c r="W2863" s="45"/>
      <c r="X2863" s="47"/>
      <c r="Y2863" s="45"/>
      <c r="Z2863" s="45"/>
      <c r="AA2863" s="48"/>
      <c r="AB2863" s="48"/>
      <c r="AC2863" s="47"/>
      <c r="AD2863" s="47"/>
      <c r="AE2863" s="47"/>
    </row>
    <row r="2864" spans="1:31" x14ac:dyDescent="0.35">
      <c r="A2864" s="41"/>
      <c r="B2864" s="41"/>
      <c r="C2864" s="42"/>
      <c r="D2864" s="43"/>
      <c r="E2864" s="43"/>
      <c r="F2864" s="43"/>
      <c r="G2864" s="43"/>
      <c r="H2864" s="43"/>
      <c r="I2864" s="43"/>
      <c r="J2864" s="43"/>
      <c r="K2864" s="43"/>
      <c r="L2864" s="43"/>
      <c r="M2864" s="43"/>
      <c r="N2864" s="43"/>
      <c r="O2864" s="43"/>
      <c r="P2864" s="43"/>
      <c r="Q2864" s="43"/>
      <c r="R2864" s="43"/>
      <c r="S2864" s="43"/>
      <c r="T2864" s="43"/>
      <c r="U2864" s="43"/>
      <c r="V2864" s="41"/>
      <c r="W2864" s="41"/>
      <c r="X2864" s="41"/>
      <c r="Y2864" s="41"/>
      <c r="Z2864" s="41"/>
      <c r="AA2864" s="44"/>
      <c r="AB2864" s="44"/>
      <c r="AC2864" s="43"/>
      <c r="AD2864" s="43"/>
      <c r="AE2864" s="43"/>
    </row>
    <row r="2865" spans="1:31" x14ac:dyDescent="0.35">
      <c r="C2865" s="33"/>
      <c r="D2865" s="34"/>
      <c r="E2865" s="34"/>
      <c r="F2865" s="34"/>
      <c r="G2865" s="34"/>
      <c r="H2865" s="34"/>
      <c r="I2865" s="34"/>
      <c r="J2865" s="34"/>
      <c r="K2865" s="34"/>
      <c r="L2865" s="34"/>
      <c r="M2865" s="34"/>
      <c r="N2865" s="34"/>
      <c r="O2865" s="34"/>
      <c r="AA2865" s="35"/>
      <c r="AB2865" s="35"/>
      <c r="AC2865" s="34"/>
      <c r="AD2865" s="34"/>
      <c r="AE2865" s="34"/>
    </row>
    <row r="2866" spans="1:31" ht="15" thickBot="1" x14ac:dyDescent="0.4">
      <c r="A2866" s="45"/>
      <c r="B2866" s="45"/>
      <c r="C2866" s="46"/>
      <c r="D2866" s="47"/>
      <c r="E2866" s="47"/>
      <c r="F2866" s="47"/>
      <c r="G2866" s="47"/>
      <c r="H2866" s="47"/>
      <c r="I2866" s="47"/>
      <c r="J2866" s="47"/>
      <c r="K2866" s="47"/>
      <c r="L2866" s="47"/>
      <c r="M2866" s="47"/>
      <c r="N2866" s="47"/>
      <c r="O2866" s="47"/>
      <c r="P2866" s="47"/>
      <c r="Q2866" s="47"/>
      <c r="R2866" s="47"/>
      <c r="S2866" s="47"/>
      <c r="T2866" s="45"/>
      <c r="U2866" s="45"/>
      <c r="V2866" s="45"/>
      <c r="W2866" s="45"/>
      <c r="X2866" s="47"/>
      <c r="Y2866" s="45"/>
      <c r="Z2866" s="45"/>
      <c r="AA2866" s="48"/>
      <c r="AB2866" s="48"/>
      <c r="AC2866" s="47"/>
      <c r="AD2866" s="47"/>
      <c r="AE2866" s="47"/>
    </row>
    <row r="2867" spans="1:31" x14ac:dyDescent="0.35">
      <c r="A2867" s="41"/>
      <c r="B2867" s="41"/>
      <c r="C2867" s="42"/>
      <c r="D2867" s="43"/>
      <c r="E2867" s="43"/>
      <c r="F2867" s="43"/>
      <c r="G2867" s="43"/>
      <c r="H2867" s="43"/>
      <c r="I2867" s="43"/>
      <c r="J2867" s="43"/>
      <c r="K2867" s="43"/>
      <c r="L2867" s="43"/>
      <c r="M2867" s="43"/>
      <c r="N2867" s="43"/>
      <c r="O2867" s="43"/>
      <c r="P2867" s="43"/>
      <c r="Q2867" s="43"/>
      <c r="R2867" s="43"/>
      <c r="S2867" s="43"/>
      <c r="T2867" s="43"/>
      <c r="U2867" s="43"/>
      <c r="V2867" s="41"/>
      <c r="W2867" s="41"/>
      <c r="X2867" s="41"/>
      <c r="Y2867" s="41"/>
      <c r="Z2867" s="41"/>
      <c r="AA2867" s="44"/>
      <c r="AB2867" s="44"/>
      <c r="AC2867" s="43"/>
      <c r="AD2867" s="43"/>
      <c r="AE2867" s="43"/>
    </row>
    <row r="2868" spans="1:31" x14ac:dyDescent="0.35">
      <c r="C2868" s="33"/>
      <c r="D2868" s="34"/>
      <c r="E2868" s="34"/>
      <c r="F2868" s="34"/>
      <c r="G2868" s="34"/>
      <c r="H2868" s="34"/>
      <c r="I2868" s="34"/>
      <c r="J2868" s="34"/>
      <c r="K2868" s="34"/>
      <c r="L2868" s="34"/>
      <c r="M2868" s="34"/>
      <c r="N2868" s="34"/>
      <c r="O2868" s="34"/>
      <c r="AA2868" s="35"/>
      <c r="AB2868" s="35"/>
      <c r="AC2868" s="34"/>
      <c r="AD2868" s="34"/>
      <c r="AE2868" s="34"/>
    </row>
    <row r="2869" spans="1:31" ht="15" thickBot="1" x14ac:dyDescent="0.4">
      <c r="A2869" s="45"/>
      <c r="B2869" s="45"/>
      <c r="C2869" s="46"/>
      <c r="D2869" s="47"/>
      <c r="E2869" s="47"/>
      <c r="F2869" s="47"/>
      <c r="G2869" s="47"/>
      <c r="H2869" s="47"/>
      <c r="I2869" s="47"/>
      <c r="J2869" s="47"/>
      <c r="K2869" s="47"/>
      <c r="L2869" s="47"/>
      <c r="M2869" s="47"/>
      <c r="N2869" s="47"/>
      <c r="O2869" s="47"/>
      <c r="P2869" s="47"/>
      <c r="Q2869" s="47"/>
      <c r="R2869" s="47"/>
      <c r="S2869" s="47"/>
      <c r="T2869" s="45"/>
      <c r="U2869" s="45"/>
      <c r="V2869" s="45"/>
      <c r="W2869" s="45"/>
      <c r="X2869" s="47"/>
      <c r="Y2869" s="45"/>
      <c r="Z2869" s="45"/>
      <c r="AA2869" s="48"/>
      <c r="AB2869" s="48"/>
      <c r="AC2869" s="47"/>
      <c r="AD2869" s="47"/>
      <c r="AE2869" s="47"/>
    </row>
    <row r="2870" spans="1:31" x14ac:dyDescent="0.35">
      <c r="A2870" s="41"/>
      <c r="B2870" s="41"/>
      <c r="C2870" s="42"/>
      <c r="D2870" s="43"/>
      <c r="E2870" s="43"/>
      <c r="F2870" s="43"/>
      <c r="G2870" s="43"/>
      <c r="H2870" s="43"/>
      <c r="I2870" s="43"/>
      <c r="J2870" s="43"/>
      <c r="K2870" s="43"/>
      <c r="L2870" s="43"/>
      <c r="M2870" s="43"/>
      <c r="N2870" s="43"/>
      <c r="O2870" s="43"/>
      <c r="P2870" s="43"/>
      <c r="Q2870" s="43"/>
      <c r="R2870" s="43"/>
      <c r="S2870" s="43"/>
      <c r="T2870" s="43"/>
      <c r="U2870" s="43"/>
      <c r="V2870" s="41"/>
      <c r="W2870" s="41"/>
      <c r="X2870" s="41"/>
      <c r="Y2870" s="41"/>
      <c r="Z2870" s="41"/>
      <c r="AA2870" s="44"/>
      <c r="AB2870" s="44"/>
      <c r="AC2870" s="43"/>
      <c r="AD2870" s="43"/>
      <c r="AE2870" s="43"/>
    </row>
    <row r="2871" spans="1:31" x14ac:dyDescent="0.35">
      <c r="C2871" s="33"/>
      <c r="D2871" s="34"/>
      <c r="E2871" s="34"/>
      <c r="F2871" s="34"/>
      <c r="G2871" s="34"/>
      <c r="H2871" s="34"/>
      <c r="I2871" s="34"/>
      <c r="J2871" s="34"/>
      <c r="K2871" s="34"/>
      <c r="L2871" s="34"/>
      <c r="M2871" s="34"/>
      <c r="N2871" s="34"/>
      <c r="O2871" s="34"/>
      <c r="AA2871" s="35"/>
      <c r="AB2871" s="35"/>
      <c r="AC2871" s="34"/>
      <c r="AD2871" s="34"/>
      <c r="AE2871" s="34"/>
    </row>
    <row r="2872" spans="1:31" ht="15" thickBot="1" x14ac:dyDescent="0.4">
      <c r="A2872" s="45"/>
      <c r="B2872" s="45"/>
      <c r="C2872" s="46"/>
      <c r="D2872" s="47"/>
      <c r="E2872" s="47"/>
      <c r="F2872" s="47"/>
      <c r="G2872" s="47"/>
      <c r="H2872" s="47"/>
      <c r="I2872" s="47"/>
      <c r="J2872" s="47"/>
      <c r="K2872" s="47"/>
      <c r="L2872" s="47"/>
      <c r="M2872" s="47"/>
      <c r="N2872" s="47"/>
      <c r="O2872" s="47"/>
      <c r="P2872" s="47"/>
      <c r="Q2872" s="47"/>
      <c r="R2872" s="47"/>
      <c r="S2872" s="47"/>
      <c r="T2872" s="45"/>
      <c r="U2872" s="45"/>
      <c r="V2872" s="45"/>
      <c r="W2872" s="45"/>
      <c r="X2872" s="47"/>
      <c r="Y2872" s="45"/>
      <c r="Z2872" s="45"/>
      <c r="AA2872" s="48"/>
      <c r="AB2872" s="48"/>
      <c r="AC2872" s="47"/>
      <c r="AD2872" s="47"/>
      <c r="AE2872" s="47"/>
    </row>
    <row r="2873" spans="1:31" x14ac:dyDescent="0.35">
      <c r="A2873" s="41"/>
      <c r="B2873" s="41"/>
      <c r="C2873" s="42"/>
      <c r="D2873" s="43"/>
      <c r="E2873" s="43"/>
      <c r="F2873" s="43"/>
      <c r="G2873" s="43"/>
      <c r="H2873" s="43"/>
      <c r="I2873" s="43"/>
      <c r="J2873" s="43"/>
      <c r="K2873" s="43"/>
      <c r="L2873" s="43"/>
      <c r="M2873" s="43"/>
      <c r="N2873" s="43"/>
      <c r="O2873" s="43"/>
      <c r="P2873" s="43"/>
      <c r="Q2873" s="43"/>
      <c r="R2873" s="43"/>
      <c r="S2873" s="43"/>
      <c r="T2873" s="43"/>
      <c r="U2873" s="43"/>
      <c r="V2873" s="41"/>
      <c r="W2873" s="41"/>
      <c r="X2873" s="41"/>
      <c r="Y2873" s="41"/>
      <c r="Z2873" s="41"/>
      <c r="AA2873" s="44"/>
      <c r="AB2873" s="44"/>
      <c r="AC2873" s="43"/>
      <c r="AD2873" s="43"/>
      <c r="AE2873" s="43"/>
    </row>
    <row r="2874" spans="1:31" x14ac:dyDescent="0.35">
      <c r="C2874" s="33"/>
      <c r="D2874" s="34"/>
      <c r="E2874" s="34"/>
      <c r="F2874" s="34"/>
      <c r="G2874" s="34"/>
      <c r="H2874" s="34"/>
      <c r="I2874" s="34"/>
      <c r="J2874" s="34"/>
      <c r="K2874" s="34"/>
      <c r="L2874" s="34"/>
      <c r="M2874" s="34"/>
      <c r="N2874" s="34"/>
      <c r="O2874" s="34"/>
      <c r="AA2874" s="35"/>
      <c r="AB2874" s="35"/>
      <c r="AC2874" s="34"/>
      <c r="AD2874" s="34"/>
      <c r="AE2874" s="34"/>
    </row>
    <row r="2875" spans="1:31" ht="15" thickBot="1" x14ac:dyDescent="0.4">
      <c r="A2875" s="45"/>
      <c r="B2875" s="45"/>
      <c r="C2875" s="46"/>
      <c r="D2875" s="47"/>
      <c r="E2875" s="47"/>
      <c r="F2875" s="47"/>
      <c r="G2875" s="47"/>
      <c r="H2875" s="47"/>
      <c r="I2875" s="47"/>
      <c r="J2875" s="47"/>
      <c r="K2875" s="47"/>
      <c r="L2875" s="47"/>
      <c r="M2875" s="47"/>
      <c r="N2875" s="47"/>
      <c r="O2875" s="47"/>
      <c r="P2875" s="47"/>
      <c r="Q2875" s="47"/>
      <c r="R2875" s="47"/>
      <c r="S2875" s="47"/>
      <c r="T2875" s="45"/>
      <c r="U2875" s="45"/>
      <c r="V2875" s="45"/>
      <c r="W2875" s="45"/>
      <c r="X2875" s="47"/>
      <c r="Y2875" s="45"/>
      <c r="Z2875" s="45"/>
      <c r="AA2875" s="48"/>
      <c r="AB2875" s="48"/>
      <c r="AC2875" s="47"/>
      <c r="AD2875" s="47"/>
      <c r="AE2875" s="47"/>
    </row>
    <row r="2876" spans="1:31" x14ac:dyDescent="0.35">
      <c r="A2876" s="41"/>
      <c r="B2876" s="41"/>
      <c r="C2876" s="42"/>
      <c r="D2876" s="43"/>
      <c r="E2876" s="43"/>
      <c r="F2876" s="43"/>
      <c r="G2876" s="43"/>
      <c r="H2876" s="43"/>
      <c r="I2876" s="43"/>
      <c r="J2876" s="43"/>
      <c r="K2876" s="43"/>
      <c r="L2876" s="43"/>
      <c r="M2876" s="43"/>
      <c r="N2876" s="43"/>
      <c r="O2876" s="43"/>
      <c r="P2876" s="43"/>
      <c r="Q2876" s="43"/>
      <c r="R2876" s="43"/>
      <c r="S2876" s="43"/>
      <c r="T2876" s="43"/>
      <c r="U2876" s="43"/>
      <c r="V2876" s="41"/>
      <c r="W2876" s="41"/>
      <c r="X2876" s="41"/>
      <c r="Y2876" s="41"/>
      <c r="Z2876" s="41"/>
      <c r="AA2876" s="44"/>
      <c r="AB2876" s="44"/>
      <c r="AC2876" s="43"/>
      <c r="AD2876" s="43"/>
      <c r="AE2876" s="43"/>
    </row>
    <row r="2877" spans="1:31" x14ac:dyDescent="0.35">
      <c r="C2877" s="33"/>
      <c r="D2877" s="34"/>
      <c r="E2877" s="34"/>
      <c r="F2877" s="34"/>
      <c r="G2877" s="34"/>
      <c r="H2877" s="34"/>
      <c r="I2877" s="34"/>
      <c r="J2877" s="34"/>
      <c r="K2877" s="34"/>
      <c r="L2877" s="34"/>
      <c r="M2877" s="34"/>
      <c r="N2877" s="34"/>
      <c r="O2877" s="34"/>
      <c r="AA2877" s="35"/>
      <c r="AB2877" s="35"/>
      <c r="AC2877" s="34"/>
      <c r="AD2877" s="34"/>
      <c r="AE2877" s="34"/>
    </row>
    <row r="2878" spans="1:31" ht="15" thickBot="1" x14ac:dyDescent="0.4">
      <c r="A2878" s="45"/>
      <c r="B2878" s="45"/>
      <c r="C2878" s="46"/>
      <c r="D2878" s="47"/>
      <c r="E2878" s="47"/>
      <c r="F2878" s="47"/>
      <c r="G2878" s="47"/>
      <c r="H2878" s="47"/>
      <c r="I2878" s="47"/>
      <c r="J2878" s="47"/>
      <c r="K2878" s="47"/>
      <c r="L2878" s="47"/>
      <c r="M2878" s="47"/>
      <c r="N2878" s="47"/>
      <c r="O2878" s="47"/>
      <c r="P2878" s="47"/>
      <c r="Q2878" s="47"/>
      <c r="R2878" s="47"/>
      <c r="S2878" s="47"/>
      <c r="T2878" s="45"/>
      <c r="U2878" s="45"/>
      <c r="V2878" s="45"/>
      <c r="W2878" s="45"/>
      <c r="X2878" s="47"/>
      <c r="Y2878" s="45"/>
      <c r="Z2878" s="45"/>
      <c r="AA2878" s="48"/>
      <c r="AB2878" s="48"/>
      <c r="AC2878" s="47"/>
      <c r="AD2878" s="47"/>
      <c r="AE2878" s="47"/>
    </row>
    <row r="2879" spans="1:31" x14ac:dyDescent="0.35">
      <c r="A2879" s="41"/>
      <c r="B2879" s="41"/>
      <c r="C2879" s="42"/>
      <c r="D2879" s="43"/>
      <c r="E2879" s="43"/>
      <c r="F2879" s="43"/>
      <c r="G2879" s="43"/>
      <c r="H2879" s="43"/>
      <c r="I2879" s="43"/>
      <c r="J2879" s="43"/>
      <c r="K2879" s="43"/>
      <c r="L2879" s="43"/>
      <c r="M2879" s="43"/>
      <c r="N2879" s="43"/>
      <c r="O2879" s="43"/>
      <c r="P2879" s="43"/>
      <c r="Q2879" s="43"/>
      <c r="R2879" s="43"/>
      <c r="S2879" s="43"/>
      <c r="T2879" s="43"/>
      <c r="U2879" s="43"/>
      <c r="V2879" s="41"/>
      <c r="W2879" s="41"/>
      <c r="X2879" s="41"/>
      <c r="Y2879" s="41"/>
      <c r="Z2879" s="41"/>
      <c r="AA2879" s="44"/>
      <c r="AB2879" s="44"/>
      <c r="AC2879" s="43"/>
      <c r="AD2879" s="43"/>
      <c r="AE2879" s="43"/>
    </row>
    <row r="2880" spans="1:31" x14ac:dyDescent="0.35">
      <c r="C2880" s="33"/>
      <c r="D2880" s="34"/>
      <c r="E2880" s="34"/>
      <c r="F2880" s="34"/>
      <c r="G2880" s="34"/>
      <c r="H2880" s="34"/>
      <c r="I2880" s="34"/>
      <c r="J2880" s="34"/>
      <c r="K2880" s="34"/>
      <c r="L2880" s="34"/>
      <c r="M2880" s="34"/>
      <c r="N2880" s="34"/>
      <c r="O2880" s="34"/>
      <c r="AA2880" s="35"/>
      <c r="AB2880" s="35"/>
      <c r="AC2880" s="34"/>
      <c r="AD2880" s="34"/>
      <c r="AE2880" s="34"/>
    </row>
    <row r="2881" spans="1:31" ht="15" thickBot="1" x14ac:dyDescent="0.4">
      <c r="A2881" s="45"/>
      <c r="B2881" s="45"/>
      <c r="C2881" s="46"/>
      <c r="D2881" s="47"/>
      <c r="E2881" s="47"/>
      <c r="F2881" s="47"/>
      <c r="G2881" s="47"/>
      <c r="H2881" s="47"/>
      <c r="I2881" s="47"/>
      <c r="J2881" s="47"/>
      <c r="K2881" s="47"/>
      <c r="L2881" s="47"/>
      <c r="M2881" s="47"/>
      <c r="N2881" s="47"/>
      <c r="O2881" s="47"/>
      <c r="P2881" s="47"/>
      <c r="Q2881" s="47"/>
      <c r="R2881" s="47"/>
      <c r="S2881" s="47"/>
      <c r="T2881" s="45"/>
      <c r="U2881" s="45"/>
      <c r="V2881" s="45"/>
      <c r="W2881" s="45"/>
      <c r="X2881" s="47"/>
      <c r="Y2881" s="45"/>
      <c r="Z2881" s="45"/>
      <c r="AA2881" s="48"/>
      <c r="AB2881" s="48"/>
      <c r="AC2881" s="47"/>
      <c r="AD2881" s="47"/>
      <c r="AE2881" s="47"/>
    </row>
    <row r="2882" spans="1:31" x14ac:dyDescent="0.35">
      <c r="A2882" s="41"/>
      <c r="B2882" s="41"/>
      <c r="C2882" s="42"/>
      <c r="D2882" s="43"/>
      <c r="E2882" s="43"/>
      <c r="F2882" s="43"/>
      <c r="G2882" s="43"/>
      <c r="H2882" s="43"/>
      <c r="I2882" s="43"/>
      <c r="J2882" s="43"/>
      <c r="K2882" s="43"/>
      <c r="L2882" s="43"/>
      <c r="M2882" s="43"/>
      <c r="N2882" s="43"/>
      <c r="O2882" s="43"/>
      <c r="P2882" s="43"/>
      <c r="Q2882" s="43"/>
      <c r="R2882" s="43"/>
      <c r="S2882" s="43"/>
      <c r="T2882" s="43"/>
      <c r="U2882" s="43"/>
      <c r="V2882" s="41"/>
      <c r="W2882" s="41"/>
      <c r="X2882" s="41"/>
      <c r="Y2882" s="41"/>
      <c r="Z2882" s="41"/>
      <c r="AA2882" s="44"/>
      <c r="AB2882" s="44"/>
      <c r="AC2882" s="43"/>
      <c r="AD2882" s="43"/>
      <c r="AE2882" s="43"/>
    </row>
    <row r="2883" spans="1:31" x14ac:dyDescent="0.35">
      <c r="C2883" s="33"/>
      <c r="D2883" s="34"/>
      <c r="E2883" s="34"/>
      <c r="F2883" s="34"/>
      <c r="G2883" s="34"/>
      <c r="H2883" s="34"/>
      <c r="I2883" s="34"/>
      <c r="J2883" s="34"/>
      <c r="K2883" s="34"/>
      <c r="L2883" s="34"/>
      <c r="M2883" s="34"/>
      <c r="N2883" s="34"/>
      <c r="O2883" s="34"/>
      <c r="AA2883" s="35"/>
      <c r="AB2883" s="35"/>
      <c r="AC2883" s="34"/>
      <c r="AD2883" s="34"/>
      <c r="AE2883" s="34"/>
    </row>
    <row r="2884" spans="1:31" ht="15" thickBot="1" x14ac:dyDescent="0.4">
      <c r="A2884" s="45"/>
      <c r="B2884" s="45"/>
      <c r="C2884" s="46"/>
      <c r="D2884" s="47"/>
      <c r="E2884" s="47"/>
      <c r="F2884" s="47"/>
      <c r="G2884" s="47"/>
      <c r="H2884" s="47"/>
      <c r="I2884" s="47"/>
      <c r="J2884" s="47"/>
      <c r="K2884" s="47"/>
      <c r="L2884" s="47"/>
      <c r="M2884" s="47"/>
      <c r="N2884" s="47"/>
      <c r="O2884" s="47"/>
      <c r="P2884" s="47"/>
      <c r="Q2884" s="47"/>
      <c r="R2884" s="47"/>
      <c r="S2884" s="47"/>
      <c r="T2884" s="45"/>
      <c r="U2884" s="45"/>
      <c r="V2884" s="45"/>
      <c r="W2884" s="45"/>
      <c r="X2884" s="47"/>
      <c r="Y2884" s="45"/>
      <c r="Z2884" s="45"/>
      <c r="AA2884" s="48"/>
      <c r="AB2884" s="48"/>
      <c r="AC2884" s="47"/>
      <c r="AD2884" s="47"/>
      <c r="AE2884" s="47"/>
    </row>
    <row r="2885" spans="1:31" x14ac:dyDescent="0.35">
      <c r="A2885" s="41"/>
      <c r="B2885" s="41"/>
      <c r="C2885" s="42"/>
      <c r="D2885" s="43"/>
      <c r="E2885" s="43"/>
      <c r="F2885" s="43"/>
      <c r="G2885" s="43"/>
      <c r="H2885" s="43"/>
      <c r="I2885" s="43"/>
      <c r="J2885" s="43"/>
      <c r="K2885" s="43"/>
      <c r="L2885" s="43"/>
      <c r="M2885" s="43"/>
      <c r="N2885" s="43"/>
      <c r="O2885" s="43"/>
      <c r="P2885" s="43"/>
      <c r="Q2885" s="43"/>
      <c r="R2885" s="43"/>
      <c r="S2885" s="43"/>
      <c r="T2885" s="43"/>
      <c r="U2885" s="43"/>
      <c r="V2885" s="41"/>
      <c r="W2885" s="41"/>
      <c r="X2885" s="41"/>
      <c r="Y2885" s="41"/>
      <c r="Z2885" s="41"/>
      <c r="AA2885" s="44"/>
      <c r="AB2885" s="44"/>
      <c r="AC2885" s="43"/>
      <c r="AD2885" s="43"/>
      <c r="AE2885" s="43"/>
    </row>
    <row r="2886" spans="1:31" x14ac:dyDescent="0.35">
      <c r="C2886" s="33"/>
      <c r="D2886" s="34"/>
      <c r="E2886" s="34"/>
      <c r="F2886" s="34"/>
      <c r="G2886" s="34"/>
      <c r="H2886" s="34"/>
      <c r="I2886" s="34"/>
      <c r="J2886" s="34"/>
      <c r="K2886" s="34"/>
      <c r="L2886" s="34"/>
      <c r="M2886" s="34"/>
      <c r="N2886" s="34"/>
      <c r="O2886" s="34"/>
      <c r="AA2886" s="35"/>
      <c r="AB2886" s="35"/>
      <c r="AC2886" s="34"/>
      <c r="AD2886" s="34"/>
      <c r="AE2886" s="34"/>
    </row>
    <row r="2887" spans="1:31" ht="15" thickBot="1" x14ac:dyDescent="0.4">
      <c r="A2887" s="45"/>
      <c r="B2887" s="45"/>
      <c r="C2887" s="46"/>
      <c r="D2887" s="47"/>
      <c r="E2887" s="47"/>
      <c r="F2887" s="47"/>
      <c r="G2887" s="47"/>
      <c r="H2887" s="47"/>
      <c r="I2887" s="47"/>
      <c r="J2887" s="47"/>
      <c r="K2887" s="47"/>
      <c r="L2887" s="47"/>
      <c r="M2887" s="47"/>
      <c r="N2887" s="47"/>
      <c r="O2887" s="47"/>
      <c r="P2887" s="47"/>
      <c r="Q2887" s="47"/>
      <c r="R2887" s="47"/>
      <c r="S2887" s="47"/>
      <c r="T2887" s="45"/>
      <c r="U2887" s="45"/>
      <c r="V2887" s="45"/>
      <c r="W2887" s="45"/>
      <c r="X2887" s="47"/>
      <c r="Y2887" s="45"/>
      <c r="Z2887" s="45"/>
      <c r="AA2887" s="48"/>
      <c r="AB2887" s="48"/>
      <c r="AC2887" s="47"/>
      <c r="AD2887" s="47"/>
      <c r="AE2887" s="47"/>
    </row>
    <row r="2888" spans="1:31" x14ac:dyDescent="0.35">
      <c r="A2888" s="41"/>
      <c r="B2888" s="41"/>
      <c r="C2888" s="42"/>
      <c r="D2888" s="43"/>
      <c r="E2888" s="43"/>
      <c r="F2888" s="43"/>
      <c r="G2888" s="43"/>
      <c r="H2888" s="43"/>
      <c r="I2888" s="43"/>
      <c r="J2888" s="43"/>
      <c r="K2888" s="43"/>
      <c r="L2888" s="43"/>
      <c r="M2888" s="43"/>
      <c r="N2888" s="43"/>
      <c r="O2888" s="43"/>
      <c r="P2888" s="43"/>
      <c r="Q2888" s="43"/>
      <c r="R2888" s="43"/>
      <c r="S2888" s="43"/>
      <c r="T2888" s="43"/>
      <c r="U2888" s="43"/>
      <c r="V2888" s="41"/>
      <c r="W2888" s="41"/>
      <c r="X2888" s="41"/>
      <c r="Y2888" s="41"/>
      <c r="Z2888" s="41"/>
      <c r="AA2888" s="44"/>
      <c r="AB2888" s="44"/>
      <c r="AC2888" s="43"/>
      <c r="AD2888" s="43"/>
      <c r="AE2888" s="43"/>
    </row>
    <row r="2889" spans="1:31" x14ac:dyDescent="0.35">
      <c r="C2889" s="33"/>
      <c r="D2889" s="34"/>
      <c r="E2889" s="34"/>
      <c r="F2889" s="34"/>
      <c r="G2889" s="34"/>
      <c r="H2889" s="34"/>
      <c r="I2889" s="34"/>
      <c r="J2889" s="34"/>
      <c r="K2889" s="34"/>
      <c r="L2889" s="34"/>
      <c r="M2889" s="34"/>
      <c r="N2889" s="34"/>
      <c r="O2889" s="34"/>
      <c r="AA2889" s="35"/>
      <c r="AB2889" s="35"/>
      <c r="AC2889" s="34"/>
      <c r="AD2889" s="34"/>
      <c r="AE2889" s="34"/>
    </row>
    <row r="2890" spans="1:31" ht="15" thickBot="1" x14ac:dyDescent="0.4">
      <c r="A2890" s="45"/>
      <c r="B2890" s="45"/>
      <c r="C2890" s="46"/>
      <c r="D2890" s="47"/>
      <c r="E2890" s="47"/>
      <c r="F2890" s="47"/>
      <c r="G2890" s="47"/>
      <c r="H2890" s="47"/>
      <c r="I2890" s="47"/>
      <c r="J2890" s="47"/>
      <c r="K2890" s="47"/>
      <c r="L2890" s="47"/>
      <c r="M2890" s="47"/>
      <c r="N2890" s="47"/>
      <c r="O2890" s="47"/>
      <c r="P2890" s="47"/>
      <c r="Q2890" s="47"/>
      <c r="R2890" s="47"/>
      <c r="S2890" s="47"/>
      <c r="T2890" s="45"/>
      <c r="U2890" s="45"/>
      <c r="V2890" s="45"/>
      <c r="W2890" s="45"/>
      <c r="X2890" s="47"/>
      <c r="Y2890" s="45"/>
      <c r="Z2890" s="45"/>
      <c r="AA2890" s="48"/>
      <c r="AB2890" s="48"/>
      <c r="AC2890" s="47"/>
      <c r="AD2890" s="47"/>
      <c r="AE2890" s="47"/>
    </row>
    <row r="2891" spans="1:31" x14ac:dyDescent="0.35">
      <c r="A2891" s="41"/>
      <c r="B2891" s="41"/>
      <c r="C2891" s="42"/>
      <c r="D2891" s="43"/>
      <c r="E2891" s="43"/>
      <c r="F2891" s="43"/>
      <c r="G2891" s="43"/>
      <c r="H2891" s="43"/>
      <c r="I2891" s="43"/>
      <c r="J2891" s="43"/>
      <c r="K2891" s="43"/>
      <c r="L2891" s="43"/>
      <c r="M2891" s="43"/>
      <c r="N2891" s="43"/>
      <c r="O2891" s="43"/>
      <c r="P2891" s="43"/>
      <c r="Q2891" s="43"/>
      <c r="R2891" s="43"/>
      <c r="S2891" s="43"/>
      <c r="T2891" s="43"/>
      <c r="U2891" s="43"/>
      <c r="V2891" s="41"/>
      <c r="W2891" s="41"/>
      <c r="X2891" s="41"/>
      <c r="Y2891" s="41"/>
      <c r="Z2891" s="41"/>
      <c r="AA2891" s="44"/>
      <c r="AB2891" s="44"/>
      <c r="AC2891" s="43"/>
      <c r="AD2891" s="43"/>
      <c r="AE2891" s="43"/>
    </row>
    <row r="2892" spans="1:31" x14ac:dyDescent="0.35">
      <c r="C2892" s="33"/>
      <c r="D2892" s="34"/>
      <c r="E2892" s="34"/>
      <c r="F2892" s="34"/>
      <c r="G2892" s="34"/>
      <c r="H2892" s="34"/>
      <c r="I2892" s="34"/>
      <c r="J2892" s="34"/>
      <c r="K2892" s="34"/>
      <c r="L2892" s="34"/>
      <c r="M2892" s="34"/>
      <c r="N2892" s="34"/>
      <c r="O2892" s="34"/>
      <c r="AA2892" s="35"/>
      <c r="AB2892" s="35"/>
      <c r="AC2892" s="34"/>
      <c r="AD2892" s="34"/>
      <c r="AE2892" s="34"/>
    </row>
    <row r="2893" spans="1:31" ht="15" thickBot="1" x14ac:dyDescent="0.4">
      <c r="A2893" s="45"/>
      <c r="B2893" s="45"/>
      <c r="C2893" s="46"/>
      <c r="D2893" s="47"/>
      <c r="E2893" s="47"/>
      <c r="F2893" s="47"/>
      <c r="G2893" s="47"/>
      <c r="H2893" s="47"/>
      <c r="I2893" s="47"/>
      <c r="J2893" s="47"/>
      <c r="K2893" s="47"/>
      <c r="L2893" s="47"/>
      <c r="M2893" s="47"/>
      <c r="N2893" s="47"/>
      <c r="O2893" s="47"/>
      <c r="P2893" s="47"/>
      <c r="Q2893" s="47"/>
      <c r="R2893" s="47"/>
      <c r="S2893" s="47"/>
      <c r="T2893" s="45"/>
      <c r="U2893" s="45"/>
      <c r="V2893" s="45"/>
      <c r="W2893" s="45"/>
      <c r="X2893" s="47"/>
      <c r="Y2893" s="45"/>
      <c r="Z2893" s="45"/>
      <c r="AA2893" s="48"/>
      <c r="AB2893" s="48"/>
      <c r="AC2893" s="47"/>
      <c r="AD2893" s="47"/>
      <c r="AE2893" s="47"/>
    </row>
    <row r="2894" spans="1:31" x14ac:dyDescent="0.35">
      <c r="A2894" s="41"/>
      <c r="B2894" s="41"/>
      <c r="C2894" s="42"/>
      <c r="D2894" s="43"/>
      <c r="E2894" s="43"/>
      <c r="F2894" s="43"/>
      <c r="G2894" s="43"/>
      <c r="H2894" s="43"/>
      <c r="I2894" s="43"/>
      <c r="J2894" s="43"/>
      <c r="K2894" s="43"/>
      <c r="L2894" s="43"/>
      <c r="M2894" s="43"/>
      <c r="N2894" s="43"/>
      <c r="O2894" s="43"/>
      <c r="P2894" s="43"/>
      <c r="Q2894" s="43"/>
      <c r="R2894" s="43"/>
      <c r="S2894" s="43"/>
      <c r="T2894" s="43"/>
      <c r="U2894" s="43"/>
      <c r="V2894" s="41"/>
      <c r="W2894" s="41"/>
      <c r="X2894" s="41"/>
      <c r="Y2894" s="41"/>
      <c r="Z2894" s="41"/>
      <c r="AA2894" s="44"/>
      <c r="AB2894" s="44"/>
      <c r="AC2894" s="43"/>
      <c r="AD2894" s="43"/>
      <c r="AE2894" s="43"/>
    </row>
    <row r="2895" spans="1:31" x14ac:dyDescent="0.35">
      <c r="C2895" s="33"/>
      <c r="D2895" s="34"/>
      <c r="E2895" s="34"/>
      <c r="F2895" s="34"/>
      <c r="G2895" s="34"/>
      <c r="H2895" s="34"/>
      <c r="I2895" s="34"/>
      <c r="J2895" s="34"/>
      <c r="K2895" s="34"/>
      <c r="L2895" s="34"/>
      <c r="M2895" s="34"/>
      <c r="N2895" s="34"/>
      <c r="O2895" s="34"/>
      <c r="AA2895" s="35"/>
      <c r="AB2895" s="35"/>
      <c r="AC2895" s="34"/>
      <c r="AD2895" s="34"/>
      <c r="AE2895" s="34"/>
    </row>
    <row r="2896" spans="1:31" ht="15" thickBot="1" x14ac:dyDescent="0.4">
      <c r="A2896" s="45"/>
      <c r="B2896" s="45"/>
      <c r="C2896" s="46"/>
      <c r="D2896" s="47"/>
      <c r="E2896" s="47"/>
      <c r="F2896" s="47"/>
      <c r="G2896" s="47"/>
      <c r="H2896" s="47"/>
      <c r="I2896" s="47"/>
      <c r="J2896" s="47"/>
      <c r="K2896" s="47"/>
      <c r="L2896" s="47"/>
      <c r="M2896" s="47"/>
      <c r="N2896" s="47"/>
      <c r="O2896" s="47"/>
      <c r="P2896" s="47"/>
      <c r="Q2896" s="47"/>
      <c r="R2896" s="47"/>
      <c r="S2896" s="47"/>
      <c r="T2896" s="45"/>
      <c r="U2896" s="45"/>
      <c r="V2896" s="45"/>
      <c r="W2896" s="45"/>
      <c r="X2896" s="47"/>
      <c r="Y2896" s="45"/>
      <c r="Z2896" s="45"/>
      <c r="AA2896" s="48"/>
      <c r="AB2896" s="48"/>
      <c r="AC2896" s="47"/>
      <c r="AD2896" s="47"/>
      <c r="AE2896" s="47"/>
    </row>
    <row r="2897" spans="1:31" x14ac:dyDescent="0.35">
      <c r="A2897" s="41"/>
      <c r="B2897" s="41"/>
      <c r="C2897" s="42"/>
      <c r="D2897" s="43"/>
      <c r="E2897" s="43"/>
      <c r="F2897" s="43"/>
      <c r="G2897" s="43"/>
      <c r="H2897" s="43"/>
      <c r="I2897" s="43"/>
      <c r="J2897" s="43"/>
      <c r="K2897" s="43"/>
      <c r="L2897" s="43"/>
      <c r="M2897" s="43"/>
      <c r="N2897" s="43"/>
      <c r="O2897" s="43"/>
      <c r="P2897" s="43"/>
      <c r="Q2897" s="43"/>
      <c r="R2897" s="43"/>
      <c r="S2897" s="43"/>
      <c r="T2897" s="43"/>
      <c r="U2897" s="43"/>
      <c r="V2897" s="41"/>
      <c r="W2897" s="41"/>
      <c r="X2897" s="41"/>
      <c r="Y2897" s="41"/>
      <c r="Z2897" s="41"/>
      <c r="AA2897" s="44"/>
      <c r="AB2897" s="44"/>
      <c r="AC2897" s="43"/>
      <c r="AD2897" s="43"/>
      <c r="AE2897" s="43"/>
    </row>
    <row r="2898" spans="1:31" x14ac:dyDescent="0.35">
      <c r="C2898" s="33"/>
      <c r="D2898" s="34"/>
      <c r="E2898" s="34"/>
      <c r="F2898" s="34"/>
      <c r="G2898" s="34"/>
      <c r="H2898" s="34"/>
      <c r="I2898" s="34"/>
      <c r="J2898" s="34"/>
      <c r="K2898" s="34"/>
      <c r="L2898" s="34"/>
      <c r="M2898" s="34"/>
      <c r="N2898" s="34"/>
      <c r="O2898" s="34"/>
      <c r="AA2898" s="35"/>
      <c r="AB2898" s="35"/>
      <c r="AC2898" s="34"/>
      <c r="AD2898" s="34"/>
      <c r="AE2898" s="34"/>
    </row>
    <row r="2899" spans="1:31" ht="15" thickBot="1" x14ac:dyDescent="0.4">
      <c r="A2899" s="45"/>
      <c r="B2899" s="45"/>
      <c r="C2899" s="46"/>
      <c r="D2899" s="47"/>
      <c r="E2899" s="47"/>
      <c r="F2899" s="47"/>
      <c r="G2899" s="47"/>
      <c r="H2899" s="47"/>
      <c r="I2899" s="47"/>
      <c r="J2899" s="47"/>
      <c r="K2899" s="47"/>
      <c r="L2899" s="47"/>
      <c r="M2899" s="47"/>
      <c r="N2899" s="47"/>
      <c r="O2899" s="47"/>
      <c r="P2899" s="47"/>
      <c r="Q2899" s="47"/>
      <c r="R2899" s="47"/>
      <c r="S2899" s="47"/>
      <c r="T2899" s="45"/>
      <c r="U2899" s="45"/>
      <c r="V2899" s="45"/>
      <c r="W2899" s="45"/>
      <c r="X2899" s="47"/>
      <c r="Y2899" s="45"/>
      <c r="Z2899" s="45"/>
      <c r="AA2899" s="48"/>
      <c r="AB2899" s="48"/>
      <c r="AC2899" s="47"/>
      <c r="AD2899" s="47"/>
      <c r="AE2899" s="47"/>
    </row>
    <row r="2900" spans="1:31" x14ac:dyDescent="0.35">
      <c r="A2900" s="41"/>
      <c r="B2900" s="41"/>
      <c r="C2900" s="42"/>
      <c r="D2900" s="43"/>
      <c r="E2900" s="43"/>
      <c r="F2900" s="43"/>
      <c r="G2900" s="43"/>
      <c r="H2900" s="43"/>
      <c r="I2900" s="43"/>
      <c r="J2900" s="43"/>
      <c r="K2900" s="43"/>
      <c r="L2900" s="43"/>
      <c r="M2900" s="43"/>
      <c r="N2900" s="43"/>
      <c r="O2900" s="43"/>
      <c r="P2900" s="43"/>
      <c r="Q2900" s="43"/>
      <c r="R2900" s="43"/>
      <c r="S2900" s="43"/>
      <c r="T2900" s="43"/>
      <c r="U2900" s="43"/>
      <c r="V2900" s="41"/>
      <c r="W2900" s="41"/>
      <c r="X2900" s="41"/>
      <c r="Y2900" s="41"/>
      <c r="Z2900" s="41"/>
      <c r="AA2900" s="44"/>
      <c r="AB2900" s="44"/>
      <c r="AC2900" s="43"/>
      <c r="AD2900" s="43"/>
      <c r="AE2900" s="43"/>
    </row>
    <row r="2901" spans="1:31" x14ac:dyDescent="0.35">
      <c r="C2901" s="33"/>
      <c r="D2901" s="34"/>
      <c r="E2901" s="34"/>
      <c r="F2901" s="34"/>
      <c r="G2901" s="34"/>
      <c r="H2901" s="34"/>
      <c r="I2901" s="34"/>
      <c r="J2901" s="34"/>
      <c r="K2901" s="34"/>
      <c r="L2901" s="34"/>
      <c r="M2901" s="34"/>
      <c r="N2901" s="34"/>
      <c r="O2901" s="34"/>
      <c r="AA2901" s="35"/>
      <c r="AB2901" s="35"/>
      <c r="AC2901" s="34"/>
      <c r="AD2901" s="34"/>
      <c r="AE2901" s="34"/>
    </row>
    <row r="2902" spans="1:31" ht="15" thickBot="1" x14ac:dyDescent="0.4">
      <c r="A2902" s="45"/>
      <c r="B2902" s="45"/>
      <c r="C2902" s="46"/>
      <c r="D2902" s="47"/>
      <c r="E2902" s="47"/>
      <c r="F2902" s="47"/>
      <c r="G2902" s="47"/>
      <c r="H2902" s="47"/>
      <c r="I2902" s="47"/>
      <c r="J2902" s="47"/>
      <c r="K2902" s="47"/>
      <c r="L2902" s="47"/>
      <c r="M2902" s="47"/>
      <c r="N2902" s="47"/>
      <c r="O2902" s="47"/>
      <c r="P2902" s="47"/>
      <c r="Q2902" s="47"/>
      <c r="R2902" s="47"/>
      <c r="S2902" s="47"/>
      <c r="T2902" s="45"/>
      <c r="U2902" s="45"/>
      <c r="V2902" s="45"/>
      <c r="W2902" s="45"/>
      <c r="X2902" s="47"/>
      <c r="Y2902" s="45"/>
      <c r="Z2902" s="45"/>
      <c r="AA2902" s="48"/>
      <c r="AB2902" s="48"/>
      <c r="AC2902" s="47"/>
      <c r="AD2902" s="47"/>
      <c r="AE2902" s="47"/>
    </row>
    <row r="2903" spans="1:31" x14ac:dyDescent="0.35">
      <c r="A2903" s="41"/>
      <c r="B2903" s="41"/>
      <c r="C2903" s="42"/>
      <c r="D2903" s="43"/>
      <c r="E2903" s="43"/>
      <c r="F2903" s="43"/>
      <c r="G2903" s="43"/>
      <c r="H2903" s="43"/>
      <c r="I2903" s="43"/>
      <c r="J2903" s="43"/>
      <c r="K2903" s="43"/>
      <c r="L2903" s="43"/>
      <c r="M2903" s="43"/>
      <c r="N2903" s="43"/>
      <c r="O2903" s="43"/>
      <c r="P2903" s="43"/>
      <c r="Q2903" s="43"/>
      <c r="R2903" s="43"/>
      <c r="S2903" s="43"/>
      <c r="T2903" s="43"/>
      <c r="U2903" s="43"/>
      <c r="V2903" s="41"/>
      <c r="W2903" s="41"/>
      <c r="X2903" s="41"/>
      <c r="Y2903" s="41"/>
      <c r="Z2903" s="41"/>
      <c r="AA2903" s="44"/>
      <c r="AB2903" s="44"/>
      <c r="AC2903" s="43"/>
      <c r="AD2903" s="43"/>
      <c r="AE2903" s="43"/>
    </row>
    <row r="2904" spans="1:31" x14ac:dyDescent="0.35">
      <c r="C2904" s="33"/>
      <c r="D2904" s="34"/>
      <c r="E2904" s="34"/>
      <c r="F2904" s="34"/>
      <c r="G2904" s="34"/>
      <c r="H2904" s="34"/>
      <c r="I2904" s="34"/>
      <c r="J2904" s="34"/>
      <c r="K2904" s="34"/>
      <c r="L2904" s="34"/>
      <c r="M2904" s="34"/>
      <c r="N2904" s="34"/>
      <c r="O2904" s="34"/>
      <c r="AA2904" s="35"/>
      <c r="AB2904" s="35"/>
      <c r="AC2904" s="34"/>
      <c r="AD2904" s="34"/>
      <c r="AE2904" s="34"/>
    </row>
    <row r="2905" spans="1:31" ht="15" thickBot="1" x14ac:dyDescent="0.4">
      <c r="A2905" s="45"/>
      <c r="B2905" s="45"/>
      <c r="C2905" s="46"/>
      <c r="D2905" s="47"/>
      <c r="E2905" s="47"/>
      <c r="F2905" s="47"/>
      <c r="G2905" s="47"/>
      <c r="H2905" s="47"/>
      <c r="I2905" s="47"/>
      <c r="J2905" s="47"/>
      <c r="K2905" s="47"/>
      <c r="L2905" s="47"/>
      <c r="M2905" s="47"/>
      <c r="N2905" s="47"/>
      <c r="O2905" s="47"/>
      <c r="P2905" s="47"/>
      <c r="Q2905" s="47"/>
      <c r="R2905" s="47"/>
      <c r="S2905" s="47"/>
      <c r="T2905" s="45"/>
      <c r="U2905" s="45"/>
      <c r="V2905" s="45"/>
      <c r="W2905" s="45"/>
      <c r="X2905" s="47"/>
      <c r="Y2905" s="45"/>
      <c r="Z2905" s="45"/>
      <c r="AA2905" s="48"/>
      <c r="AB2905" s="48"/>
      <c r="AC2905" s="47"/>
      <c r="AD2905" s="47"/>
      <c r="AE2905" s="47"/>
    </row>
    <row r="2906" spans="1:31" x14ac:dyDescent="0.35">
      <c r="A2906" s="41"/>
      <c r="B2906" s="41"/>
      <c r="C2906" s="42"/>
      <c r="D2906" s="43"/>
      <c r="E2906" s="43"/>
      <c r="F2906" s="43"/>
      <c r="G2906" s="43"/>
      <c r="H2906" s="43"/>
      <c r="I2906" s="43"/>
      <c r="J2906" s="43"/>
      <c r="K2906" s="43"/>
      <c r="L2906" s="43"/>
      <c r="M2906" s="43"/>
      <c r="N2906" s="43"/>
      <c r="O2906" s="43"/>
      <c r="P2906" s="43"/>
      <c r="Q2906" s="43"/>
      <c r="R2906" s="43"/>
      <c r="S2906" s="43"/>
      <c r="T2906" s="43"/>
      <c r="U2906" s="43"/>
      <c r="V2906" s="41"/>
      <c r="W2906" s="41"/>
      <c r="X2906" s="41"/>
      <c r="Y2906" s="41"/>
      <c r="Z2906" s="41"/>
      <c r="AA2906" s="44"/>
      <c r="AB2906" s="44"/>
      <c r="AC2906" s="43"/>
      <c r="AD2906" s="43"/>
      <c r="AE2906" s="43"/>
    </row>
    <row r="2907" spans="1:31" x14ac:dyDescent="0.35">
      <c r="C2907" s="33"/>
      <c r="D2907" s="34"/>
      <c r="E2907" s="34"/>
      <c r="F2907" s="34"/>
      <c r="G2907" s="34"/>
      <c r="H2907" s="34"/>
      <c r="I2907" s="34"/>
      <c r="J2907" s="34"/>
      <c r="K2907" s="34"/>
      <c r="L2907" s="34"/>
      <c r="M2907" s="34"/>
      <c r="N2907" s="34"/>
      <c r="O2907" s="34"/>
      <c r="AA2907" s="35"/>
      <c r="AB2907" s="35"/>
      <c r="AC2907" s="34"/>
      <c r="AD2907" s="34"/>
      <c r="AE2907" s="34"/>
    </row>
    <row r="2908" spans="1:31" ht="15" thickBot="1" x14ac:dyDescent="0.4">
      <c r="A2908" s="45"/>
      <c r="B2908" s="45"/>
      <c r="C2908" s="46"/>
      <c r="D2908" s="47"/>
      <c r="E2908" s="47"/>
      <c r="F2908" s="47"/>
      <c r="G2908" s="47"/>
      <c r="H2908" s="47"/>
      <c r="I2908" s="47"/>
      <c r="J2908" s="47"/>
      <c r="K2908" s="47"/>
      <c r="L2908" s="47"/>
      <c r="M2908" s="47"/>
      <c r="N2908" s="47"/>
      <c r="O2908" s="47"/>
      <c r="P2908" s="47"/>
      <c r="Q2908" s="47"/>
      <c r="R2908" s="47"/>
      <c r="S2908" s="47"/>
      <c r="T2908" s="45"/>
      <c r="U2908" s="45"/>
      <c r="V2908" s="45"/>
      <c r="W2908" s="45"/>
      <c r="X2908" s="47"/>
      <c r="Y2908" s="45"/>
      <c r="Z2908" s="45"/>
      <c r="AA2908" s="48"/>
      <c r="AB2908" s="48"/>
      <c r="AC2908" s="47"/>
      <c r="AD2908" s="47"/>
      <c r="AE2908" s="47"/>
    </row>
    <row r="2909" spans="1:31" x14ac:dyDescent="0.35">
      <c r="A2909" s="41"/>
      <c r="B2909" s="41"/>
      <c r="C2909" s="42"/>
      <c r="D2909" s="43"/>
      <c r="E2909" s="43"/>
      <c r="F2909" s="43"/>
      <c r="G2909" s="43"/>
      <c r="H2909" s="43"/>
      <c r="I2909" s="43"/>
      <c r="J2909" s="43"/>
      <c r="K2909" s="43"/>
      <c r="L2909" s="43"/>
      <c r="M2909" s="43"/>
      <c r="N2909" s="43"/>
      <c r="O2909" s="43"/>
      <c r="P2909" s="43"/>
      <c r="Q2909" s="43"/>
      <c r="R2909" s="43"/>
      <c r="S2909" s="43"/>
      <c r="T2909" s="43"/>
      <c r="U2909" s="43"/>
      <c r="V2909" s="41"/>
      <c r="W2909" s="41"/>
      <c r="X2909" s="41"/>
      <c r="Y2909" s="41"/>
      <c r="Z2909" s="41"/>
      <c r="AA2909" s="44"/>
      <c r="AB2909" s="44"/>
      <c r="AC2909" s="43"/>
      <c r="AD2909" s="43"/>
      <c r="AE2909" s="43"/>
    </row>
    <row r="2910" spans="1:31" x14ac:dyDescent="0.35">
      <c r="C2910" s="33"/>
      <c r="D2910" s="34"/>
      <c r="E2910" s="34"/>
      <c r="F2910" s="34"/>
      <c r="G2910" s="34"/>
      <c r="H2910" s="34"/>
      <c r="I2910" s="34"/>
      <c r="J2910" s="34"/>
      <c r="K2910" s="34"/>
      <c r="L2910" s="34"/>
      <c r="M2910" s="34"/>
      <c r="N2910" s="34"/>
      <c r="O2910" s="34"/>
      <c r="AA2910" s="35"/>
      <c r="AB2910" s="35"/>
      <c r="AC2910" s="34"/>
      <c r="AD2910" s="34"/>
      <c r="AE2910" s="34"/>
    </row>
    <row r="2911" spans="1:31" ht="15" thickBot="1" x14ac:dyDescent="0.4">
      <c r="A2911" s="45"/>
      <c r="B2911" s="45"/>
      <c r="C2911" s="46"/>
      <c r="D2911" s="47"/>
      <c r="E2911" s="47"/>
      <c r="F2911" s="47"/>
      <c r="G2911" s="47"/>
      <c r="H2911" s="47"/>
      <c r="I2911" s="47"/>
      <c r="J2911" s="47"/>
      <c r="K2911" s="47"/>
      <c r="L2911" s="47"/>
      <c r="M2911" s="47"/>
      <c r="N2911" s="47"/>
      <c r="O2911" s="47"/>
      <c r="P2911" s="47"/>
      <c r="Q2911" s="47"/>
      <c r="R2911" s="47"/>
      <c r="S2911" s="47"/>
      <c r="T2911" s="45"/>
      <c r="U2911" s="45"/>
      <c r="V2911" s="45"/>
      <c r="W2911" s="45"/>
      <c r="X2911" s="47"/>
      <c r="Y2911" s="45"/>
      <c r="Z2911" s="45"/>
      <c r="AA2911" s="48"/>
      <c r="AB2911" s="48"/>
      <c r="AC2911" s="47"/>
      <c r="AD2911" s="47"/>
      <c r="AE2911" s="47"/>
    </row>
    <row r="2912" spans="1:31" x14ac:dyDescent="0.35">
      <c r="A2912" s="41"/>
      <c r="B2912" s="41"/>
      <c r="C2912" s="42"/>
      <c r="D2912" s="43"/>
      <c r="E2912" s="43"/>
      <c r="F2912" s="43"/>
      <c r="G2912" s="43"/>
      <c r="H2912" s="43"/>
      <c r="I2912" s="43"/>
      <c r="J2912" s="43"/>
      <c r="K2912" s="43"/>
      <c r="L2912" s="43"/>
      <c r="M2912" s="43"/>
      <c r="N2912" s="43"/>
      <c r="O2912" s="43"/>
      <c r="P2912" s="43"/>
      <c r="Q2912" s="43"/>
      <c r="R2912" s="43"/>
      <c r="S2912" s="43"/>
      <c r="T2912" s="43"/>
      <c r="U2912" s="43"/>
      <c r="V2912" s="41"/>
      <c r="W2912" s="41"/>
      <c r="X2912" s="41"/>
      <c r="Y2912" s="41"/>
      <c r="Z2912" s="41"/>
      <c r="AA2912" s="44"/>
      <c r="AB2912" s="44"/>
      <c r="AC2912" s="43"/>
      <c r="AD2912" s="43"/>
      <c r="AE2912" s="43"/>
    </row>
    <row r="2913" spans="1:31" x14ac:dyDescent="0.35">
      <c r="C2913" s="33"/>
      <c r="D2913" s="34"/>
      <c r="E2913" s="34"/>
      <c r="F2913" s="34"/>
      <c r="G2913" s="34"/>
      <c r="H2913" s="34"/>
      <c r="I2913" s="34"/>
      <c r="J2913" s="34"/>
      <c r="K2913" s="34"/>
      <c r="L2913" s="34"/>
      <c r="M2913" s="34"/>
      <c r="N2913" s="34"/>
      <c r="O2913" s="34"/>
      <c r="AA2913" s="35"/>
      <c r="AB2913" s="35"/>
      <c r="AC2913" s="34"/>
      <c r="AD2913" s="34"/>
      <c r="AE2913" s="34"/>
    </row>
    <row r="2914" spans="1:31" ht="15" thickBot="1" x14ac:dyDescent="0.4">
      <c r="A2914" s="45"/>
      <c r="B2914" s="45"/>
      <c r="C2914" s="46"/>
      <c r="D2914" s="47"/>
      <c r="E2914" s="47"/>
      <c r="F2914" s="47"/>
      <c r="G2914" s="47"/>
      <c r="H2914" s="47"/>
      <c r="I2914" s="47"/>
      <c r="J2914" s="47"/>
      <c r="K2914" s="47"/>
      <c r="L2914" s="47"/>
      <c r="M2914" s="47"/>
      <c r="N2914" s="47"/>
      <c r="O2914" s="47"/>
      <c r="P2914" s="47"/>
      <c r="Q2914" s="47"/>
      <c r="R2914" s="47"/>
      <c r="S2914" s="47"/>
      <c r="T2914" s="45"/>
      <c r="U2914" s="45"/>
      <c r="V2914" s="45"/>
      <c r="W2914" s="45"/>
      <c r="X2914" s="47"/>
      <c r="Y2914" s="45"/>
      <c r="Z2914" s="45"/>
      <c r="AA2914" s="48"/>
      <c r="AB2914" s="48"/>
      <c r="AC2914" s="47"/>
      <c r="AD2914" s="47"/>
      <c r="AE2914" s="47"/>
    </row>
    <row r="2915" spans="1:31" x14ac:dyDescent="0.35">
      <c r="A2915" s="41"/>
      <c r="B2915" s="41"/>
      <c r="C2915" s="42"/>
      <c r="D2915" s="43"/>
      <c r="E2915" s="43"/>
      <c r="F2915" s="43"/>
      <c r="G2915" s="43"/>
      <c r="H2915" s="43"/>
      <c r="I2915" s="43"/>
      <c r="J2915" s="43"/>
      <c r="K2915" s="43"/>
      <c r="L2915" s="43"/>
      <c r="M2915" s="43"/>
      <c r="N2915" s="43"/>
      <c r="O2915" s="43"/>
      <c r="P2915" s="43"/>
      <c r="Q2915" s="43"/>
      <c r="R2915" s="43"/>
      <c r="S2915" s="43"/>
      <c r="T2915" s="43"/>
      <c r="U2915" s="43"/>
      <c r="V2915" s="41"/>
      <c r="W2915" s="41"/>
      <c r="X2915" s="41"/>
      <c r="Y2915" s="41"/>
      <c r="Z2915" s="41"/>
      <c r="AA2915" s="44"/>
      <c r="AB2915" s="44"/>
      <c r="AC2915" s="43"/>
      <c r="AD2915" s="43"/>
      <c r="AE2915" s="43"/>
    </row>
    <row r="2916" spans="1:31" x14ac:dyDescent="0.35">
      <c r="C2916" s="33"/>
      <c r="D2916" s="34"/>
      <c r="E2916" s="34"/>
      <c r="F2916" s="34"/>
      <c r="G2916" s="34"/>
      <c r="H2916" s="34"/>
      <c r="I2916" s="34"/>
      <c r="J2916" s="34"/>
      <c r="K2916" s="34"/>
      <c r="L2916" s="34"/>
      <c r="M2916" s="34"/>
      <c r="N2916" s="34"/>
      <c r="O2916" s="34"/>
      <c r="AA2916" s="35"/>
      <c r="AB2916" s="35"/>
      <c r="AC2916" s="34"/>
      <c r="AD2916" s="34"/>
      <c r="AE2916" s="34"/>
    </row>
    <row r="2917" spans="1:31" ht="15" thickBot="1" x14ac:dyDescent="0.4">
      <c r="A2917" s="45"/>
      <c r="B2917" s="45"/>
      <c r="C2917" s="46"/>
      <c r="D2917" s="47"/>
      <c r="E2917" s="47"/>
      <c r="F2917" s="47"/>
      <c r="G2917" s="47"/>
      <c r="H2917" s="47"/>
      <c r="I2917" s="47"/>
      <c r="J2917" s="47"/>
      <c r="K2917" s="47"/>
      <c r="L2917" s="47"/>
      <c r="M2917" s="47"/>
      <c r="N2917" s="47"/>
      <c r="O2917" s="47"/>
      <c r="P2917" s="47"/>
      <c r="Q2917" s="47"/>
      <c r="R2917" s="47"/>
      <c r="S2917" s="47"/>
      <c r="T2917" s="45"/>
      <c r="U2917" s="45"/>
      <c r="V2917" s="45"/>
      <c r="W2917" s="45"/>
      <c r="X2917" s="47"/>
      <c r="Y2917" s="45"/>
      <c r="Z2917" s="45"/>
      <c r="AA2917" s="48"/>
      <c r="AB2917" s="48"/>
      <c r="AC2917" s="47"/>
      <c r="AD2917" s="47"/>
      <c r="AE2917" s="47"/>
    </row>
    <row r="2918" spans="1:31" x14ac:dyDescent="0.35">
      <c r="A2918" s="41"/>
      <c r="B2918" s="41"/>
      <c r="C2918" s="42"/>
      <c r="D2918" s="43"/>
      <c r="E2918" s="43"/>
      <c r="F2918" s="43"/>
      <c r="G2918" s="43"/>
      <c r="H2918" s="43"/>
      <c r="I2918" s="43"/>
      <c r="J2918" s="43"/>
      <c r="K2918" s="43"/>
      <c r="L2918" s="43"/>
      <c r="M2918" s="43"/>
      <c r="N2918" s="43"/>
      <c r="O2918" s="43"/>
      <c r="P2918" s="43"/>
      <c r="Q2918" s="43"/>
      <c r="R2918" s="43"/>
      <c r="S2918" s="43"/>
      <c r="T2918" s="43"/>
      <c r="U2918" s="43"/>
      <c r="V2918" s="41"/>
      <c r="W2918" s="41"/>
      <c r="X2918" s="41"/>
      <c r="Y2918" s="41"/>
      <c r="Z2918" s="41"/>
      <c r="AA2918" s="44"/>
      <c r="AB2918" s="44"/>
      <c r="AC2918" s="43"/>
      <c r="AD2918" s="43"/>
      <c r="AE2918" s="43"/>
    </row>
    <row r="2919" spans="1:31" x14ac:dyDescent="0.35">
      <c r="C2919" s="33"/>
      <c r="D2919" s="34"/>
      <c r="E2919" s="34"/>
      <c r="F2919" s="34"/>
      <c r="G2919" s="34"/>
      <c r="H2919" s="34"/>
      <c r="I2919" s="34"/>
      <c r="J2919" s="34"/>
      <c r="K2919" s="34"/>
      <c r="L2919" s="34"/>
      <c r="M2919" s="34"/>
      <c r="N2919" s="34"/>
      <c r="O2919" s="34"/>
      <c r="AA2919" s="35"/>
      <c r="AB2919" s="35"/>
      <c r="AC2919" s="34"/>
      <c r="AD2919" s="34"/>
      <c r="AE2919" s="34"/>
    </row>
    <row r="2920" spans="1:31" ht="15" thickBot="1" x14ac:dyDescent="0.4">
      <c r="A2920" s="45"/>
      <c r="B2920" s="45"/>
      <c r="C2920" s="46"/>
      <c r="D2920" s="47"/>
      <c r="E2920" s="47"/>
      <c r="F2920" s="47"/>
      <c r="G2920" s="47"/>
      <c r="H2920" s="47"/>
      <c r="I2920" s="47"/>
      <c r="J2920" s="47"/>
      <c r="K2920" s="47"/>
      <c r="L2920" s="47"/>
      <c r="M2920" s="47"/>
      <c r="N2920" s="47"/>
      <c r="O2920" s="47"/>
      <c r="P2920" s="47"/>
      <c r="Q2920" s="47"/>
      <c r="R2920" s="47"/>
      <c r="S2920" s="47"/>
      <c r="T2920" s="45"/>
      <c r="U2920" s="45"/>
      <c r="V2920" s="45"/>
      <c r="W2920" s="45"/>
      <c r="X2920" s="47"/>
      <c r="Y2920" s="45"/>
      <c r="Z2920" s="45"/>
      <c r="AA2920" s="48"/>
      <c r="AB2920" s="48"/>
      <c r="AC2920" s="47"/>
      <c r="AD2920" s="47"/>
      <c r="AE2920" s="47"/>
    </row>
    <row r="2921" spans="1:31" x14ac:dyDescent="0.35">
      <c r="A2921" s="41"/>
      <c r="B2921" s="41"/>
      <c r="C2921" s="42"/>
      <c r="D2921" s="43"/>
      <c r="E2921" s="43"/>
      <c r="F2921" s="43"/>
      <c r="G2921" s="43"/>
      <c r="H2921" s="43"/>
      <c r="I2921" s="43"/>
      <c r="J2921" s="43"/>
      <c r="K2921" s="43"/>
      <c r="L2921" s="43"/>
      <c r="M2921" s="43"/>
      <c r="N2921" s="43"/>
      <c r="O2921" s="43"/>
      <c r="P2921" s="43"/>
      <c r="Q2921" s="43"/>
      <c r="R2921" s="43"/>
      <c r="S2921" s="43"/>
      <c r="T2921" s="43"/>
      <c r="U2921" s="43"/>
      <c r="V2921" s="41"/>
      <c r="W2921" s="41"/>
      <c r="X2921" s="41"/>
      <c r="Y2921" s="41"/>
      <c r="Z2921" s="41"/>
      <c r="AA2921" s="44"/>
      <c r="AB2921" s="44"/>
      <c r="AC2921" s="43"/>
      <c r="AD2921" s="43"/>
      <c r="AE2921" s="43"/>
    </row>
    <row r="2922" spans="1:31" x14ac:dyDescent="0.35">
      <c r="C2922" s="33"/>
      <c r="D2922" s="34"/>
      <c r="E2922" s="34"/>
      <c r="F2922" s="34"/>
      <c r="G2922" s="34"/>
      <c r="H2922" s="34"/>
      <c r="I2922" s="34"/>
      <c r="J2922" s="34"/>
      <c r="K2922" s="34"/>
      <c r="L2922" s="34"/>
      <c r="M2922" s="34"/>
      <c r="N2922" s="34"/>
      <c r="O2922" s="34"/>
      <c r="AA2922" s="35"/>
      <c r="AB2922" s="35"/>
      <c r="AC2922" s="34"/>
      <c r="AD2922" s="34"/>
      <c r="AE2922" s="34"/>
    </row>
    <row r="2923" spans="1:31" ht="15" thickBot="1" x14ac:dyDescent="0.4">
      <c r="A2923" s="45"/>
      <c r="B2923" s="45"/>
      <c r="C2923" s="46"/>
      <c r="D2923" s="47"/>
      <c r="E2923" s="47"/>
      <c r="F2923" s="47"/>
      <c r="G2923" s="47"/>
      <c r="H2923" s="47"/>
      <c r="I2923" s="47"/>
      <c r="J2923" s="47"/>
      <c r="K2923" s="47"/>
      <c r="L2923" s="47"/>
      <c r="M2923" s="47"/>
      <c r="N2923" s="47"/>
      <c r="O2923" s="47"/>
      <c r="P2923" s="47"/>
      <c r="Q2923" s="47"/>
      <c r="R2923" s="47"/>
      <c r="S2923" s="47"/>
      <c r="T2923" s="45"/>
      <c r="U2923" s="45"/>
      <c r="V2923" s="45"/>
      <c r="W2923" s="45"/>
      <c r="X2923" s="47"/>
      <c r="Y2923" s="45"/>
      <c r="Z2923" s="45"/>
      <c r="AA2923" s="48"/>
      <c r="AB2923" s="48"/>
      <c r="AC2923" s="47"/>
      <c r="AD2923" s="47"/>
      <c r="AE2923" s="47"/>
    </row>
    <row r="2924" spans="1:31" x14ac:dyDescent="0.35">
      <c r="A2924" s="41"/>
      <c r="B2924" s="41"/>
      <c r="C2924" s="42"/>
      <c r="D2924" s="43"/>
      <c r="E2924" s="43"/>
      <c r="F2924" s="43"/>
      <c r="G2924" s="43"/>
      <c r="H2924" s="43"/>
      <c r="I2924" s="43"/>
      <c r="J2924" s="43"/>
      <c r="K2924" s="43"/>
      <c r="L2924" s="43"/>
      <c r="M2924" s="43"/>
      <c r="N2924" s="43"/>
      <c r="O2924" s="43"/>
      <c r="P2924" s="43"/>
      <c r="Q2924" s="43"/>
      <c r="R2924" s="43"/>
      <c r="S2924" s="43"/>
      <c r="T2924" s="43"/>
      <c r="U2924" s="43"/>
      <c r="V2924" s="41"/>
      <c r="W2924" s="41"/>
      <c r="X2924" s="41"/>
      <c r="Y2924" s="41"/>
      <c r="Z2924" s="41"/>
      <c r="AA2924" s="44"/>
      <c r="AB2924" s="44"/>
      <c r="AC2924" s="43"/>
      <c r="AD2924" s="43"/>
      <c r="AE2924" s="43"/>
    </row>
    <row r="2925" spans="1:31" x14ac:dyDescent="0.35">
      <c r="C2925" s="33"/>
      <c r="D2925" s="34"/>
      <c r="E2925" s="34"/>
      <c r="F2925" s="34"/>
      <c r="G2925" s="34"/>
      <c r="H2925" s="34"/>
      <c r="I2925" s="34"/>
      <c r="J2925" s="34"/>
      <c r="K2925" s="34"/>
      <c r="L2925" s="34"/>
      <c r="M2925" s="34"/>
      <c r="N2925" s="34"/>
      <c r="O2925" s="34"/>
      <c r="AA2925" s="35"/>
      <c r="AB2925" s="35"/>
      <c r="AC2925" s="34"/>
      <c r="AD2925" s="34"/>
      <c r="AE2925" s="34"/>
    </row>
    <row r="2926" spans="1:31" ht="15" thickBot="1" x14ac:dyDescent="0.4">
      <c r="A2926" s="45"/>
      <c r="B2926" s="45"/>
      <c r="C2926" s="46"/>
      <c r="D2926" s="47"/>
      <c r="E2926" s="47"/>
      <c r="F2926" s="47"/>
      <c r="G2926" s="47"/>
      <c r="H2926" s="47"/>
      <c r="I2926" s="47"/>
      <c r="J2926" s="47"/>
      <c r="K2926" s="47"/>
      <c r="L2926" s="47"/>
      <c r="M2926" s="47"/>
      <c r="N2926" s="47"/>
      <c r="O2926" s="47"/>
      <c r="P2926" s="47"/>
      <c r="Q2926" s="47"/>
      <c r="R2926" s="47"/>
      <c r="S2926" s="47"/>
      <c r="T2926" s="45"/>
      <c r="U2926" s="45"/>
      <c r="V2926" s="45"/>
      <c r="W2926" s="45"/>
      <c r="X2926" s="47"/>
      <c r="Y2926" s="45"/>
      <c r="Z2926" s="45"/>
      <c r="AA2926" s="48"/>
      <c r="AB2926" s="48"/>
      <c r="AC2926" s="47"/>
      <c r="AD2926" s="47"/>
      <c r="AE2926" s="47"/>
    </row>
    <row r="2927" spans="1:31" x14ac:dyDescent="0.35">
      <c r="A2927" s="41"/>
      <c r="B2927" s="41"/>
      <c r="C2927" s="42"/>
      <c r="D2927" s="43"/>
      <c r="E2927" s="43"/>
      <c r="F2927" s="43"/>
      <c r="G2927" s="43"/>
      <c r="H2927" s="43"/>
      <c r="I2927" s="43"/>
      <c r="J2927" s="43"/>
      <c r="K2927" s="43"/>
      <c r="L2927" s="43"/>
      <c r="M2927" s="43"/>
      <c r="N2927" s="43"/>
      <c r="O2927" s="43"/>
      <c r="P2927" s="43"/>
      <c r="Q2927" s="43"/>
      <c r="R2927" s="43"/>
      <c r="S2927" s="43"/>
      <c r="T2927" s="43"/>
      <c r="U2927" s="43"/>
      <c r="V2927" s="41"/>
      <c r="W2927" s="41"/>
      <c r="X2927" s="41"/>
      <c r="Y2927" s="41"/>
      <c r="Z2927" s="41"/>
      <c r="AA2927" s="44"/>
      <c r="AB2927" s="44"/>
      <c r="AC2927" s="43"/>
      <c r="AD2927" s="43"/>
      <c r="AE2927" s="43"/>
    </row>
    <row r="2928" spans="1:31" x14ac:dyDescent="0.35">
      <c r="C2928" s="33"/>
      <c r="D2928" s="34"/>
      <c r="E2928" s="34"/>
      <c r="F2928" s="34"/>
      <c r="G2928" s="34"/>
      <c r="H2928" s="34"/>
      <c r="I2928" s="34"/>
      <c r="J2928" s="34"/>
      <c r="K2928" s="34"/>
      <c r="L2928" s="34"/>
      <c r="M2928" s="34"/>
      <c r="N2928" s="34"/>
      <c r="O2928" s="34"/>
      <c r="AA2928" s="35"/>
      <c r="AB2928" s="35"/>
      <c r="AC2928" s="34"/>
      <c r="AD2928" s="34"/>
      <c r="AE2928" s="34"/>
    </row>
    <row r="2929" spans="1:31" ht="15" thickBot="1" x14ac:dyDescent="0.4">
      <c r="A2929" s="45"/>
      <c r="B2929" s="45"/>
      <c r="C2929" s="46"/>
      <c r="D2929" s="47"/>
      <c r="E2929" s="47"/>
      <c r="F2929" s="47"/>
      <c r="G2929" s="47"/>
      <c r="H2929" s="47"/>
      <c r="I2929" s="47"/>
      <c r="J2929" s="47"/>
      <c r="K2929" s="47"/>
      <c r="L2929" s="47"/>
      <c r="M2929" s="47"/>
      <c r="N2929" s="47"/>
      <c r="O2929" s="47"/>
      <c r="P2929" s="47"/>
      <c r="Q2929" s="47"/>
      <c r="R2929" s="47"/>
      <c r="S2929" s="47"/>
      <c r="T2929" s="45"/>
      <c r="U2929" s="45"/>
      <c r="V2929" s="45"/>
      <c r="W2929" s="45"/>
      <c r="X2929" s="47"/>
      <c r="Y2929" s="45"/>
      <c r="Z2929" s="45"/>
      <c r="AA2929" s="48"/>
      <c r="AB2929" s="48"/>
      <c r="AC2929" s="47"/>
      <c r="AD2929" s="47"/>
      <c r="AE2929" s="47"/>
    </row>
    <row r="2930" spans="1:31" x14ac:dyDescent="0.35">
      <c r="A2930" s="41"/>
      <c r="B2930" s="41"/>
      <c r="C2930" s="42"/>
      <c r="D2930" s="43"/>
      <c r="E2930" s="43"/>
      <c r="F2930" s="43"/>
      <c r="G2930" s="43"/>
      <c r="H2930" s="43"/>
      <c r="I2930" s="43"/>
      <c r="J2930" s="43"/>
      <c r="K2930" s="43"/>
      <c r="L2930" s="43"/>
      <c r="M2930" s="43"/>
      <c r="N2930" s="43"/>
      <c r="O2930" s="43"/>
      <c r="P2930" s="43"/>
      <c r="Q2930" s="43"/>
      <c r="R2930" s="43"/>
      <c r="S2930" s="43"/>
      <c r="T2930" s="43"/>
      <c r="U2930" s="43"/>
      <c r="V2930" s="41"/>
      <c r="W2930" s="41"/>
      <c r="X2930" s="41"/>
      <c r="Y2930" s="41"/>
      <c r="Z2930" s="41"/>
      <c r="AA2930" s="44"/>
      <c r="AB2930" s="44"/>
      <c r="AC2930" s="43"/>
      <c r="AD2930" s="43"/>
      <c r="AE2930" s="43"/>
    </row>
    <row r="2931" spans="1:31" x14ac:dyDescent="0.35">
      <c r="C2931" s="33"/>
      <c r="D2931" s="34"/>
      <c r="E2931" s="34"/>
      <c r="F2931" s="34"/>
      <c r="G2931" s="34"/>
      <c r="H2931" s="34"/>
      <c r="I2931" s="34"/>
      <c r="J2931" s="34"/>
      <c r="K2931" s="34"/>
      <c r="L2931" s="34"/>
      <c r="M2931" s="34"/>
      <c r="N2931" s="34"/>
      <c r="O2931" s="34"/>
      <c r="AA2931" s="35"/>
      <c r="AB2931" s="35"/>
      <c r="AC2931" s="34"/>
      <c r="AD2931" s="34"/>
      <c r="AE2931" s="34"/>
    </row>
    <row r="2932" spans="1:31" ht="15" thickBot="1" x14ac:dyDescent="0.4">
      <c r="A2932" s="45"/>
      <c r="B2932" s="45"/>
      <c r="C2932" s="46"/>
      <c r="D2932" s="47"/>
      <c r="E2932" s="47"/>
      <c r="F2932" s="47"/>
      <c r="G2932" s="47"/>
      <c r="H2932" s="47"/>
      <c r="I2932" s="47"/>
      <c r="J2932" s="47"/>
      <c r="K2932" s="47"/>
      <c r="L2932" s="47"/>
      <c r="M2932" s="47"/>
      <c r="N2932" s="47"/>
      <c r="O2932" s="47"/>
      <c r="P2932" s="47"/>
      <c r="Q2932" s="47"/>
      <c r="R2932" s="47"/>
      <c r="S2932" s="47"/>
      <c r="T2932" s="45"/>
      <c r="U2932" s="45"/>
      <c r="V2932" s="45"/>
      <c r="W2932" s="45"/>
      <c r="X2932" s="47"/>
      <c r="Y2932" s="45"/>
      <c r="Z2932" s="45"/>
      <c r="AA2932" s="48"/>
      <c r="AB2932" s="48"/>
      <c r="AC2932" s="47"/>
      <c r="AD2932" s="47"/>
      <c r="AE2932" s="47"/>
    </row>
    <row r="2933" spans="1:31" x14ac:dyDescent="0.35">
      <c r="A2933" s="41"/>
      <c r="B2933" s="41"/>
      <c r="C2933" s="42"/>
      <c r="D2933" s="43"/>
      <c r="E2933" s="43"/>
      <c r="F2933" s="43"/>
      <c r="G2933" s="43"/>
      <c r="H2933" s="43"/>
      <c r="I2933" s="43"/>
      <c r="J2933" s="43"/>
      <c r="K2933" s="43"/>
      <c r="L2933" s="43"/>
      <c r="M2933" s="43"/>
      <c r="N2933" s="43"/>
      <c r="O2933" s="43"/>
      <c r="P2933" s="43"/>
      <c r="Q2933" s="43"/>
      <c r="R2933" s="43"/>
      <c r="S2933" s="43"/>
      <c r="T2933" s="43"/>
      <c r="U2933" s="43"/>
      <c r="V2933" s="41"/>
      <c r="W2933" s="41"/>
      <c r="X2933" s="41"/>
      <c r="Y2933" s="41"/>
      <c r="Z2933" s="41"/>
      <c r="AA2933" s="44"/>
      <c r="AB2933" s="44"/>
      <c r="AC2933" s="43"/>
      <c r="AD2933" s="43"/>
      <c r="AE2933" s="43"/>
    </row>
    <row r="2934" spans="1:31" x14ac:dyDescent="0.35">
      <c r="C2934" s="33"/>
      <c r="D2934" s="34"/>
      <c r="E2934" s="34"/>
      <c r="F2934" s="34"/>
      <c r="G2934" s="34"/>
      <c r="H2934" s="34"/>
      <c r="I2934" s="34"/>
      <c r="J2934" s="34"/>
      <c r="K2934" s="34"/>
      <c r="L2934" s="34"/>
      <c r="M2934" s="34"/>
      <c r="N2934" s="34"/>
      <c r="O2934" s="34"/>
      <c r="AA2934" s="35"/>
      <c r="AB2934" s="35"/>
      <c r="AC2934" s="34"/>
      <c r="AD2934" s="34"/>
      <c r="AE2934" s="34"/>
    </row>
    <row r="2935" spans="1:31" ht="15" thickBot="1" x14ac:dyDescent="0.4">
      <c r="A2935" s="45"/>
      <c r="B2935" s="45"/>
      <c r="C2935" s="46"/>
      <c r="D2935" s="47"/>
      <c r="E2935" s="47"/>
      <c r="F2935" s="47"/>
      <c r="G2935" s="47"/>
      <c r="H2935" s="47"/>
      <c r="I2935" s="47"/>
      <c r="J2935" s="47"/>
      <c r="K2935" s="47"/>
      <c r="L2935" s="47"/>
      <c r="M2935" s="47"/>
      <c r="N2935" s="47"/>
      <c r="O2935" s="47"/>
      <c r="P2935" s="47"/>
      <c r="Q2935" s="47"/>
      <c r="R2935" s="47"/>
      <c r="S2935" s="47"/>
      <c r="T2935" s="45"/>
      <c r="U2935" s="45"/>
      <c r="V2935" s="45"/>
      <c r="W2935" s="45"/>
      <c r="X2935" s="47"/>
      <c r="Y2935" s="45"/>
      <c r="Z2935" s="45"/>
      <c r="AA2935" s="48"/>
      <c r="AB2935" s="48"/>
      <c r="AC2935" s="47"/>
      <c r="AD2935" s="47"/>
      <c r="AE2935" s="47"/>
    </row>
    <row r="2936" spans="1:31" x14ac:dyDescent="0.35">
      <c r="A2936" s="41"/>
      <c r="B2936" s="41"/>
      <c r="C2936" s="42"/>
      <c r="D2936" s="43"/>
      <c r="E2936" s="43"/>
      <c r="F2936" s="43"/>
      <c r="G2936" s="43"/>
      <c r="H2936" s="43"/>
      <c r="I2936" s="43"/>
      <c r="J2936" s="43"/>
      <c r="K2936" s="43"/>
      <c r="L2936" s="43"/>
      <c r="M2936" s="43"/>
      <c r="N2936" s="43"/>
      <c r="O2936" s="43"/>
      <c r="P2936" s="43"/>
      <c r="Q2936" s="43"/>
      <c r="R2936" s="43"/>
      <c r="S2936" s="43"/>
      <c r="T2936" s="43"/>
      <c r="U2936" s="43"/>
      <c r="V2936" s="41"/>
      <c r="W2936" s="41"/>
      <c r="X2936" s="41"/>
      <c r="Y2936" s="41"/>
      <c r="Z2936" s="41"/>
      <c r="AA2936" s="44"/>
      <c r="AB2936" s="44"/>
      <c r="AC2936" s="43"/>
      <c r="AD2936" s="43"/>
      <c r="AE2936" s="43"/>
    </row>
    <row r="2937" spans="1:31" x14ac:dyDescent="0.35">
      <c r="C2937" s="33"/>
      <c r="D2937" s="34"/>
      <c r="E2937" s="34"/>
      <c r="F2937" s="34"/>
      <c r="G2937" s="34"/>
      <c r="H2937" s="34"/>
      <c r="I2937" s="34"/>
      <c r="J2937" s="34"/>
      <c r="K2937" s="34"/>
      <c r="L2937" s="34"/>
      <c r="M2937" s="34"/>
      <c r="N2937" s="34"/>
      <c r="O2937" s="34"/>
      <c r="AA2937" s="35"/>
      <c r="AB2937" s="35"/>
      <c r="AC2937" s="34"/>
      <c r="AD2937" s="34"/>
      <c r="AE2937" s="34"/>
    </row>
    <row r="2938" spans="1:31" ht="15" thickBot="1" x14ac:dyDescent="0.4">
      <c r="A2938" s="45"/>
      <c r="B2938" s="45"/>
      <c r="C2938" s="46"/>
      <c r="D2938" s="47"/>
      <c r="E2938" s="47"/>
      <c r="F2938" s="47"/>
      <c r="G2938" s="47"/>
      <c r="H2938" s="47"/>
      <c r="I2938" s="47"/>
      <c r="J2938" s="47"/>
      <c r="K2938" s="47"/>
      <c r="L2938" s="47"/>
      <c r="M2938" s="47"/>
      <c r="N2938" s="47"/>
      <c r="O2938" s="47"/>
      <c r="P2938" s="47"/>
      <c r="Q2938" s="47"/>
      <c r="R2938" s="47"/>
      <c r="S2938" s="47"/>
      <c r="T2938" s="45"/>
      <c r="U2938" s="45"/>
      <c r="V2938" s="45"/>
      <c r="W2938" s="45"/>
      <c r="X2938" s="47"/>
      <c r="Y2938" s="45"/>
      <c r="Z2938" s="45"/>
      <c r="AA2938" s="48"/>
      <c r="AB2938" s="48"/>
      <c r="AC2938" s="47"/>
      <c r="AD2938" s="47"/>
      <c r="AE2938" s="47"/>
    </row>
    <row r="2939" spans="1:31" x14ac:dyDescent="0.35">
      <c r="A2939" s="41"/>
      <c r="B2939" s="41"/>
      <c r="C2939" s="42"/>
      <c r="D2939" s="43"/>
      <c r="E2939" s="43"/>
      <c r="F2939" s="43"/>
      <c r="G2939" s="43"/>
      <c r="H2939" s="43"/>
      <c r="I2939" s="43"/>
      <c r="J2939" s="43"/>
      <c r="K2939" s="43"/>
      <c r="L2939" s="43"/>
      <c r="M2939" s="43"/>
      <c r="N2939" s="43"/>
      <c r="O2939" s="43"/>
      <c r="P2939" s="43"/>
      <c r="Q2939" s="43"/>
      <c r="R2939" s="43"/>
      <c r="S2939" s="43"/>
      <c r="T2939" s="43"/>
      <c r="U2939" s="43"/>
      <c r="V2939" s="41"/>
      <c r="W2939" s="41"/>
      <c r="X2939" s="41"/>
      <c r="Y2939" s="41"/>
      <c r="Z2939" s="41"/>
      <c r="AA2939" s="44"/>
      <c r="AB2939" s="44"/>
      <c r="AC2939" s="43"/>
      <c r="AD2939" s="43"/>
      <c r="AE2939" s="43"/>
    </row>
    <row r="2940" spans="1:31" x14ac:dyDescent="0.35">
      <c r="C2940" s="33"/>
      <c r="D2940" s="34"/>
      <c r="E2940" s="34"/>
      <c r="F2940" s="34"/>
      <c r="G2940" s="34"/>
      <c r="H2940" s="34"/>
      <c r="I2940" s="34"/>
      <c r="J2940" s="34"/>
      <c r="K2940" s="34"/>
      <c r="L2940" s="34"/>
      <c r="M2940" s="34"/>
      <c r="N2940" s="34"/>
      <c r="O2940" s="34"/>
      <c r="AA2940" s="35"/>
      <c r="AB2940" s="35"/>
      <c r="AC2940" s="34"/>
      <c r="AD2940" s="34"/>
      <c r="AE2940" s="34"/>
    </row>
    <row r="2941" spans="1:31" ht="15" thickBot="1" x14ac:dyDescent="0.4">
      <c r="A2941" s="45"/>
      <c r="B2941" s="45"/>
      <c r="C2941" s="46"/>
      <c r="D2941" s="47"/>
      <c r="E2941" s="47"/>
      <c r="F2941" s="47"/>
      <c r="G2941" s="47"/>
      <c r="H2941" s="47"/>
      <c r="I2941" s="47"/>
      <c r="J2941" s="47"/>
      <c r="K2941" s="47"/>
      <c r="L2941" s="47"/>
      <c r="M2941" s="47"/>
      <c r="N2941" s="47"/>
      <c r="O2941" s="47"/>
      <c r="P2941" s="47"/>
      <c r="Q2941" s="47"/>
      <c r="R2941" s="47"/>
      <c r="S2941" s="47"/>
      <c r="T2941" s="45"/>
      <c r="U2941" s="45"/>
      <c r="V2941" s="45"/>
      <c r="W2941" s="45"/>
      <c r="X2941" s="47"/>
      <c r="Y2941" s="45"/>
      <c r="Z2941" s="45"/>
      <c r="AA2941" s="48"/>
      <c r="AB2941" s="48"/>
      <c r="AC2941" s="47"/>
      <c r="AD2941" s="47"/>
      <c r="AE2941" s="47"/>
    </row>
    <row r="2942" spans="1:31" x14ac:dyDescent="0.35">
      <c r="A2942" s="41"/>
      <c r="B2942" s="41"/>
      <c r="C2942" s="42"/>
      <c r="D2942" s="43"/>
      <c r="E2942" s="43"/>
      <c r="F2942" s="43"/>
      <c r="G2942" s="43"/>
      <c r="H2942" s="43"/>
      <c r="I2942" s="43"/>
      <c r="J2942" s="43"/>
      <c r="K2942" s="43"/>
      <c r="L2942" s="43"/>
      <c r="M2942" s="43"/>
      <c r="N2942" s="43"/>
      <c r="O2942" s="43"/>
      <c r="P2942" s="43"/>
      <c r="Q2942" s="43"/>
      <c r="R2942" s="43"/>
      <c r="S2942" s="43"/>
      <c r="T2942" s="43"/>
      <c r="U2942" s="43"/>
      <c r="V2942" s="41"/>
      <c r="W2942" s="41"/>
      <c r="X2942" s="41"/>
      <c r="Y2942" s="41"/>
      <c r="Z2942" s="41"/>
      <c r="AA2942" s="44"/>
      <c r="AB2942" s="44"/>
      <c r="AC2942" s="43"/>
      <c r="AD2942" s="43"/>
      <c r="AE2942" s="43"/>
    </row>
    <row r="2943" spans="1:31" x14ac:dyDescent="0.35">
      <c r="C2943" s="33"/>
      <c r="D2943" s="34"/>
      <c r="E2943" s="34"/>
      <c r="F2943" s="34"/>
      <c r="G2943" s="34"/>
      <c r="H2943" s="34"/>
      <c r="I2943" s="34"/>
      <c r="J2943" s="34"/>
      <c r="K2943" s="34"/>
      <c r="L2943" s="34"/>
      <c r="M2943" s="34"/>
      <c r="N2943" s="34"/>
      <c r="O2943" s="34"/>
      <c r="AA2943" s="35"/>
      <c r="AB2943" s="35"/>
      <c r="AC2943" s="34"/>
      <c r="AD2943" s="34"/>
      <c r="AE2943" s="34"/>
    </row>
    <row r="2944" spans="1:31" ht="15" thickBot="1" x14ac:dyDescent="0.4">
      <c r="A2944" s="45"/>
      <c r="B2944" s="45"/>
      <c r="C2944" s="46"/>
      <c r="D2944" s="47"/>
      <c r="E2944" s="47"/>
      <c r="F2944" s="47"/>
      <c r="G2944" s="47"/>
      <c r="H2944" s="47"/>
      <c r="I2944" s="47"/>
      <c r="J2944" s="47"/>
      <c r="K2944" s="47"/>
      <c r="L2944" s="47"/>
      <c r="M2944" s="47"/>
      <c r="N2944" s="47"/>
      <c r="O2944" s="47"/>
      <c r="P2944" s="47"/>
      <c r="Q2944" s="47"/>
      <c r="R2944" s="47"/>
      <c r="S2944" s="47"/>
      <c r="T2944" s="45"/>
      <c r="U2944" s="45"/>
      <c r="V2944" s="45"/>
      <c r="W2944" s="45"/>
      <c r="X2944" s="47"/>
      <c r="Y2944" s="45"/>
      <c r="Z2944" s="45"/>
      <c r="AA2944" s="48"/>
      <c r="AB2944" s="48"/>
      <c r="AC2944" s="47"/>
      <c r="AD2944" s="47"/>
      <c r="AE2944" s="47"/>
    </row>
    <row r="2945" spans="1:31" x14ac:dyDescent="0.35">
      <c r="A2945" s="41"/>
      <c r="B2945" s="41"/>
      <c r="C2945" s="42"/>
      <c r="D2945" s="43"/>
      <c r="E2945" s="43"/>
      <c r="F2945" s="43"/>
      <c r="G2945" s="43"/>
      <c r="H2945" s="43"/>
      <c r="I2945" s="43"/>
      <c r="J2945" s="43"/>
      <c r="K2945" s="43"/>
      <c r="L2945" s="43"/>
      <c r="M2945" s="43"/>
      <c r="N2945" s="43"/>
      <c r="O2945" s="43"/>
      <c r="P2945" s="43"/>
      <c r="Q2945" s="43"/>
      <c r="R2945" s="43"/>
      <c r="S2945" s="43"/>
      <c r="T2945" s="43"/>
      <c r="U2945" s="43"/>
      <c r="V2945" s="41"/>
      <c r="W2945" s="41"/>
      <c r="X2945" s="41"/>
      <c r="Y2945" s="41"/>
      <c r="Z2945" s="41"/>
      <c r="AA2945" s="44"/>
      <c r="AB2945" s="44"/>
      <c r="AC2945" s="43"/>
      <c r="AD2945" s="43"/>
      <c r="AE2945" s="43"/>
    </row>
    <row r="2946" spans="1:31" x14ac:dyDescent="0.35">
      <c r="C2946" s="33"/>
      <c r="D2946" s="34"/>
      <c r="E2946" s="34"/>
      <c r="F2946" s="34"/>
      <c r="G2946" s="34"/>
      <c r="H2946" s="34"/>
      <c r="I2946" s="34"/>
      <c r="J2946" s="34"/>
      <c r="K2946" s="34"/>
      <c r="L2946" s="34"/>
      <c r="M2946" s="34"/>
      <c r="N2946" s="34"/>
      <c r="O2946" s="34"/>
      <c r="AA2946" s="35"/>
      <c r="AB2946" s="35"/>
      <c r="AC2946" s="34"/>
      <c r="AD2946" s="34"/>
      <c r="AE2946" s="34"/>
    </row>
    <row r="2947" spans="1:31" ht="15" thickBot="1" x14ac:dyDescent="0.4">
      <c r="A2947" s="45"/>
      <c r="B2947" s="45"/>
      <c r="C2947" s="46"/>
      <c r="D2947" s="47"/>
      <c r="E2947" s="47"/>
      <c r="F2947" s="47"/>
      <c r="G2947" s="47"/>
      <c r="H2947" s="47"/>
      <c r="I2947" s="47"/>
      <c r="J2947" s="47"/>
      <c r="K2947" s="47"/>
      <c r="L2947" s="47"/>
      <c r="M2947" s="47"/>
      <c r="N2947" s="47"/>
      <c r="O2947" s="47"/>
      <c r="P2947" s="47"/>
      <c r="Q2947" s="47"/>
      <c r="R2947" s="47"/>
      <c r="S2947" s="47"/>
      <c r="T2947" s="45"/>
      <c r="U2947" s="45"/>
      <c r="V2947" s="45"/>
      <c r="W2947" s="45"/>
      <c r="X2947" s="47"/>
      <c r="Y2947" s="45"/>
      <c r="Z2947" s="45"/>
      <c r="AA2947" s="48"/>
      <c r="AB2947" s="48"/>
      <c r="AC2947" s="47"/>
      <c r="AD2947" s="47"/>
      <c r="AE2947" s="47"/>
    </row>
    <row r="2948" spans="1:31" x14ac:dyDescent="0.35">
      <c r="A2948" s="41"/>
      <c r="B2948" s="41"/>
      <c r="C2948" s="42"/>
      <c r="D2948" s="43"/>
      <c r="E2948" s="43"/>
      <c r="F2948" s="43"/>
      <c r="G2948" s="43"/>
      <c r="H2948" s="43"/>
      <c r="I2948" s="43"/>
      <c r="J2948" s="43"/>
      <c r="K2948" s="43"/>
      <c r="L2948" s="43"/>
      <c r="M2948" s="43"/>
      <c r="N2948" s="43"/>
      <c r="O2948" s="43"/>
      <c r="P2948" s="43"/>
      <c r="Q2948" s="43"/>
      <c r="R2948" s="43"/>
      <c r="S2948" s="43"/>
      <c r="T2948" s="43"/>
      <c r="U2948" s="43"/>
      <c r="V2948" s="41"/>
      <c r="W2948" s="41"/>
      <c r="X2948" s="41"/>
      <c r="Y2948" s="41"/>
      <c r="Z2948" s="41"/>
      <c r="AA2948" s="44"/>
      <c r="AB2948" s="44"/>
      <c r="AC2948" s="43"/>
      <c r="AD2948" s="43"/>
      <c r="AE2948" s="43"/>
    </row>
    <row r="2949" spans="1:31" x14ac:dyDescent="0.35">
      <c r="C2949" s="33"/>
      <c r="D2949" s="34"/>
      <c r="E2949" s="34"/>
      <c r="F2949" s="34"/>
      <c r="G2949" s="34"/>
      <c r="H2949" s="34"/>
      <c r="I2949" s="34"/>
      <c r="J2949" s="34"/>
      <c r="K2949" s="34"/>
      <c r="L2949" s="34"/>
      <c r="M2949" s="34"/>
      <c r="N2949" s="34"/>
      <c r="O2949" s="34"/>
      <c r="AA2949" s="35"/>
      <c r="AB2949" s="35"/>
      <c r="AC2949" s="34"/>
      <c r="AD2949" s="34"/>
      <c r="AE2949" s="34"/>
    </row>
    <row r="2950" spans="1:31" ht="15" thickBot="1" x14ac:dyDescent="0.4">
      <c r="A2950" s="45"/>
      <c r="B2950" s="45"/>
      <c r="C2950" s="46"/>
      <c r="D2950" s="47"/>
      <c r="E2950" s="47"/>
      <c r="F2950" s="47"/>
      <c r="G2950" s="47"/>
      <c r="H2950" s="47"/>
      <c r="I2950" s="47"/>
      <c r="J2950" s="47"/>
      <c r="K2950" s="47"/>
      <c r="L2950" s="47"/>
      <c r="M2950" s="47"/>
      <c r="N2950" s="47"/>
      <c r="O2950" s="47"/>
      <c r="P2950" s="47"/>
      <c r="Q2950" s="47"/>
      <c r="R2950" s="47"/>
      <c r="S2950" s="47"/>
      <c r="T2950" s="45"/>
      <c r="U2950" s="45"/>
      <c r="V2950" s="45"/>
      <c r="W2950" s="45"/>
      <c r="X2950" s="47"/>
      <c r="Y2950" s="45"/>
      <c r="Z2950" s="45"/>
      <c r="AA2950" s="48"/>
      <c r="AB2950" s="48"/>
      <c r="AC2950" s="47"/>
      <c r="AD2950" s="47"/>
      <c r="AE2950" s="47"/>
    </row>
    <row r="2951" spans="1:31" x14ac:dyDescent="0.35">
      <c r="A2951" s="41"/>
      <c r="B2951" s="41"/>
      <c r="C2951" s="42"/>
      <c r="D2951" s="43"/>
      <c r="E2951" s="43"/>
      <c r="F2951" s="43"/>
      <c r="G2951" s="43"/>
      <c r="H2951" s="43"/>
      <c r="I2951" s="43"/>
      <c r="J2951" s="43"/>
      <c r="K2951" s="43"/>
      <c r="L2951" s="43"/>
      <c r="M2951" s="43"/>
      <c r="N2951" s="43"/>
      <c r="O2951" s="43"/>
      <c r="P2951" s="43"/>
      <c r="Q2951" s="43"/>
      <c r="R2951" s="43"/>
      <c r="S2951" s="43"/>
      <c r="T2951" s="43"/>
      <c r="U2951" s="43"/>
      <c r="V2951" s="41"/>
      <c r="W2951" s="41"/>
      <c r="X2951" s="41"/>
      <c r="Y2951" s="41"/>
      <c r="Z2951" s="41"/>
      <c r="AA2951" s="44"/>
      <c r="AB2951" s="44"/>
      <c r="AC2951" s="43"/>
      <c r="AD2951" s="43"/>
      <c r="AE2951" s="43"/>
    </row>
    <row r="2952" spans="1:31" x14ac:dyDescent="0.35">
      <c r="C2952" s="33"/>
      <c r="D2952" s="34"/>
      <c r="E2952" s="34"/>
      <c r="F2952" s="34"/>
      <c r="G2952" s="34"/>
      <c r="H2952" s="34"/>
      <c r="I2952" s="34"/>
      <c r="J2952" s="34"/>
      <c r="K2952" s="34"/>
      <c r="L2952" s="34"/>
      <c r="M2952" s="34"/>
      <c r="N2952" s="34"/>
      <c r="O2952" s="34"/>
      <c r="AA2952" s="35"/>
      <c r="AB2952" s="35"/>
      <c r="AC2952" s="34"/>
      <c r="AD2952" s="34"/>
      <c r="AE2952" s="34"/>
    </row>
    <row r="2953" spans="1:31" ht="15" thickBot="1" x14ac:dyDescent="0.4">
      <c r="A2953" s="45"/>
      <c r="B2953" s="45"/>
      <c r="C2953" s="46"/>
      <c r="D2953" s="47"/>
      <c r="E2953" s="47"/>
      <c r="F2953" s="47"/>
      <c r="G2953" s="47"/>
      <c r="H2953" s="47"/>
      <c r="I2953" s="47"/>
      <c r="J2953" s="47"/>
      <c r="K2953" s="47"/>
      <c r="L2953" s="47"/>
      <c r="M2953" s="47"/>
      <c r="N2953" s="47"/>
      <c r="O2953" s="47"/>
      <c r="P2953" s="47"/>
      <c r="Q2953" s="47"/>
      <c r="R2953" s="47"/>
      <c r="S2953" s="47"/>
      <c r="T2953" s="45"/>
      <c r="U2953" s="45"/>
      <c r="V2953" s="45"/>
      <c r="W2953" s="45"/>
      <c r="X2953" s="47"/>
      <c r="Y2953" s="45"/>
      <c r="Z2953" s="45"/>
      <c r="AA2953" s="48"/>
      <c r="AB2953" s="48"/>
      <c r="AC2953" s="47"/>
      <c r="AD2953" s="47"/>
      <c r="AE2953" s="47"/>
    </row>
    <row r="2954" spans="1:31" x14ac:dyDescent="0.35">
      <c r="A2954" s="41"/>
      <c r="B2954" s="41"/>
      <c r="C2954" s="42"/>
      <c r="D2954" s="43"/>
      <c r="E2954" s="43"/>
      <c r="F2954" s="43"/>
      <c r="G2954" s="43"/>
      <c r="H2954" s="43"/>
      <c r="I2954" s="43"/>
      <c r="J2954" s="43"/>
      <c r="K2954" s="43"/>
      <c r="L2954" s="43"/>
      <c r="M2954" s="43"/>
      <c r="N2954" s="43"/>
      <c r="O2954" s="43"/>
      <c r="P2954" s="43"/>
      <c r="Q2954" s="43"/>
      <c r="R2954" s="43"/>
      <c r="S2954" s="43"/>
      <c r="T2954" s="43"/>
      <c r="U2954" s="43"/>
      <c r="V2954" s="41"/>
      <c r="W2954" s="41"/>
      <c r="X2954" s="41"/>
      <c r="Y2954" s="41"/>
      <c r="Z2954" s="41"/>
      <c r="AA2954" s="44"/>
      <c r="AB2954" s="44"/>
      <c r="AC2954" s="43"/>
      <c r="AD2954" s="43"/>
      <c r="AE2954" s="43"/>
    </row>
    <row r="2955" spans="1:31" x14ac:dyDescent="0.35">
      <c r="C2955" s="33"/>
      <c r="D2955" s="34"/>
      <c r="E2955" s="34"/>
      <c r="F2955" s="34"/>
      <c r="G2955" s="34"/>
      <c r="H2955" s="34"/>
      <c r="I2955" s="34"/>
      <c r="J2955" s="34"/>
      <c r="K2955" s="34"/>
      <c r="L2955" s="34"/>
      <c r="M2955" s="34"/>
      <c r="N2955" s="34"/>
      <c r="O2955" s="34"/>
      <c r="AA2955" s="35"/>
      <c r="AB2955" s="35"/>
      <c r="AC2955" s="34"/>
      <c r="AD2955" s="34"/>
      <c r="AE2955" s="34"/>
    </row>
    <row r="2956" spans="1:31" ht="15" thickBot="1" x14ac:dyDescent="0.4">
      <c r="A2956" s="45"/>
      <c r="B2956" s="45"/>
      <c r="C2956" s="46"/>
      <c r="D2956" s="47"/>
      <c r="E2956" s="47"/>
      <c r="F2956" s="47"/>
      <c r="G2956" s="47"/>
      <c r="H2956" s="47"/>
      <c r="I2956" s="47"/>
      <c r="J2956" s="47"/>
      <c r="K2956" s="47"/>
      <c r="L2956" s="47"/>
      <c r="M2956" s="47"/>
      <c r="N2956" s="47"/>
      <c r="O2956" s="47"/>
      <c r="P2956" s="47"/>
      <c r="Q2956" s="47"/>
      <c r="R2956" s="47"/>
      <c r="S2956" s="47"/>
      <c r="T2956" s="45"/>
      <c r="U2956" s="45"/>
      <c r="V2956" s="45"/>
      <c r="W2956" s="45"/>
      <c r="X2956" s="47"/>
      <c r="Y2956" s="45"/>
      <c r="Z2956" s="45"/>
      <c r="AA2956" s="48"/>
      <c r="AB2956" s="48"/>
      <c r="AC2956" s="47"/>
      <c r="AD2956" s="47"/>
      <c r="AE2956" s="47"/>
    </row>
    <row r="2957" spans="1:31" x14ac:dyDescent="0.35">
      <c r="A2957" s="41"/>
      <c r="B2957" s="41"/>
      <c r="C2957" s="42"/>
      <c r="D2957" s="43"/>
      <c r="E2957" s="43"/>
      <c r="F2957" s="43"/>
      <c r="G2957" s="43"/>
      <c r="H2957" s="43"/>
      <c r="I2957" s="43"/>
      <c r="J2957" s="43"/>
      <c r="K2957" s="43"/>
      <c r="L2957" s="43"/>
      <c r="M2957" s="43"/>
      <c r="N2957" s="43"/>
      <c r="O2957" s="43"/>
      <c r="P2957" s="43"/>
      <c r="Q2957" s="43"/>
      <c r="R2957" s="43"/>
      <c r="S2957" s="43"/>
      <c r="T2957" s="43"/>
      <c r="U2957" s="43"/>
      <c r="V2957" s="41"/>
      <c r="W2957" s="41"/>
      <c r="X2957" s="41"/>
      <c r="Y2957" s="41"/>
      <c r="Z2957" s="41"/>
      <c r="AA2957" s="44"/>
      <c r="AB2957" s="44"/>
      <c r="AC2957" s="43"/>
      <c r="AD2957" s="43"/>
      <c r="AE2957" s="43"/>
    </row>
    <row r="2958" spans="1:31" x14ac:dyDescent="0.35">
      <c r="C2958" s="33"/>
      <c r="D2958" s="34"/>
      <c r="E2958" s="34"/>
      <c r="F2958" s="34"/>
      <c r="G2958" s="34"/>
      <c r="H2958" s="34"/>
      <c r="I2958" s="34"/>
      <c r="J2958" s="34"/>
      <c r="K2958" s="34"/>
      <c r="L2958" s="34"/>
      <c r="M2958" s="34"/>
      <c r="N2958" s="34"/>
      <c r="O2958" s="34"/>
      <c r="AA2958" s="35"/>
      <c r="AB2958" s="35"/>
      <c r="AC2958" s="34"/>
      <c r="AD2958" s="34"/>
      <c r="AE2958" s="34"/>
    </row>
    <row r="2959" spans="1:31" ht="15" thickBot="1" x14ac:dyDescent="0.4">
      <c r="A2959" s="45"/>
      <c r="B2959" s="45"/>
      <c r="C2959" s="46"/>
      <c r="D2959" s="47"/>
      <c r="E2959" s="47"/>
      <c r="F2959" s="47"/>
      <c r="G2959" s="47"/>
      <c r="H2959" s="47"/>
      <c r="I2959" s="47"/>
      <c r="J2959" s="47"/>
      <c r="K2959" s="47"/>
      <c r="L2959" s="47"/>
      <c r="M2959" s="47"/>
      <c r="N2959" s="47"/>
      <c r="O2959" s="47"/>
      <c r="P2959" s="47"/>
      <c r="Q2959" s="47"/>
      <c r="R2959" s="47"/>
      <c r="S2959" s="47"/>
      <c r="T2959" s="45"/>
      <c r="U2959" s="45"/>
      <c r="V2959" s="45"/>
      <c r="W2959" s="45"/>
      <c r="X2959" s="47"/>
      <c r="Y2959" s="45"/>
      <c r="Z2959" s="45"/>
      <c r="AA2959" s="48"/>
      <c r="AB2959" s="48"/>
      <c r="AC2959" s="47"/>
      <c r="AD2959" s="47"/>
      <c r="AE2959" s="47"/>
    </row>
    <row r="2960" spans="1:31" x14ac:dyDescent="0.35">
      <c r="A2960" s="41"/>
      <c r="B2960" s="41"/>
      <c r="C2960" s="42"/>
      <c r="D2960" s="43"/>
      <c r="E2960" s="43"/>
      <c r="F2960" s="43"/>
      <c r="G2960" s="43"/>
      <c r="H2960" s="43"/>
      <c r="I2960" s="43"/>
      <c r="J2960" s="43"/>
      <c r="K2960" s="43"/>
      <c r="L2960" s="43"/>
      <c r="M2960" s="43"/>
      <c r="N2960" s="43"/>
      <c r="O2960" s="43"/>
      <c r="P2960" s="43"/>
      <c r="Q2960" s="43"/>
      <c r="R2960" s="43"/>
      <c r="S2960" s="43"/>
      <c r="T2960" s="43"/>
      <c r="U2960" s="43"/>
      <c r="V2960" s="41"/>
      <c r="W2960" s="41"/>
      <c r="X2960" s="41"/>
      <c r="Y2960" s="41"/>
      <c r="Z2960" s="41"/>
      <c r="AA2960" s="44"/>
      <c r="AB2960" s="44"/>
      <c r="AC2960" s="43"/>
      <c r="AD2960" s="43"/>
      <c r="AE2960" s="43"/>
    </row>
    <row r="2961" spans="1:31" x14ac:dyDescent="0.35">
      <c r="C2961" s="33"/>
      <c r="D2961" s="34"/>
      <c r="E2961" s="34"/>
      <c r="F2961" s="34"/>
      <c r="G2961" s="34"/>
      <c r="H2961" s="34"/>
      <c r="I2961" s="34"/>
      <c r="J2961" s="34"/>
      <c r="K2961" s="34"/>
      <c r="L2961" s="34"/>
      <c r="M2961" s="34"/>
      <c r="N2961" s="34"/>
      <c r="O2961" s="34"/>
      <c r="AA2961" s="35"/>
      <c r="AB2961" s="35"/>
      <c r="AC2961" s="34"/>
      <c r="AD2961" s="34"/>
      <c r="AE2961" s="34"/>
    </row>
    <row r="2962" spans="1:31" ht="15" thickBot="1" x14ac:dyDescent="0.4">
      <c r="A2962" s="45"/>
      <c r="B2962" s="45"/>
      <c r="C2962" s="46"/>
      <c r="D2962" s="47"/>
      <c r="E2962" s="47"/>
      <c r="F2962" s="47"/>
      <c r="G2962" s="47"/>
      <c r="H2962" s="47"/>
      <c r="I2962" s="47"/>
      <c r="J2962" s="47"/>
      <c r="K2962" s="47"/>
      <c r="L2962" s="47"/>
      <c r="M2962" s="47"/>
      <c r="N2962" s="47"/>
      <c r="O2962" s="47"/>
      <c r="P2962" s="47"/>
      <c r="Q2962" s="47"/>
      <c r="R2962" s="47"/>
      <c r="S2962" s="47"/>
      <c r="T2962" s="45"/>
      <c r="U2962" s="45"/>
      <c r="V2962" s="45"/>
      <c r="W2962" s="45"/>
      <c r="X2962" s="47"/>
      <c r="Y2962" s="45"/>
      <c r="Z2962" s="45"/>
      <c r="AA2962" s="48"/>
      <c r="AB2962" s="48"/>
      <c r="AC2962" s="47"/>
      <c r="AD2962" s="47"/>
      <c r="AE2962" s="47"/>
    </row>
    <row r="2963" spans="1:31" x14ac:dyDescent="0.35">
      <c r="A2963" s="41"/>
      <c r="B2963" s="41"/>
      <c r="C2963" s="42"/>
      <c r="D2963" s="43"/>
      <c r="E2963" s="43"/>
      <c r="F2963" s="43"/>
      <c r="G2963" s="43"/>
      <c r="H2963" s="43"/>
      <c r="I2963" s="43"/>
      <c r="J2963" s="43"/>
      <c r="K2963" s="43"/>
      <c r="L2963" s="43"/>
      <c r="M2963" s="43"/>
      <c r="N2963" s="43"/>
      <c r="O2963" s="43"/>
      <c r="P2963" s="43"/>
      <c r="Q2963" s="43"/>
      <c r="R2963" s="43"/>
      <c r="S2963" s="43"/>
      <c r="T2963" s="43"/>
      <c r="U2963" s="43"/>
      <c r="V2963" s="41"/>
      <c r="W2963" s="41"/>
      <c r="X2963" s="41"/>
      <c r="Y2963" s="41"/>
      <c r="Z2963" s="41"/>
      <c r="AA2963" s="44"/>
      <c r="AB2963" s="44"/>
      <c r="AC2963" s="43"/>
      <c r="AD2963" s="43"/>
      <c r="AE2963" s="43"/>
    </row>
    <row r="2964" spans="1:31" x14ac:dyDescent="0.35">
      <c r="C2964" s="33"/>
      <c r="D2964" s="34"/>
      <c r="E2964" s="34"/>
      <c r="F2964" s="34"/>
      <c r="G2964" s="34"/>
      <c r="H2964" s="34"/>
      <c r="I2964" s="34"/>
      <c r="J2964" s="34"/>
      <c r="K2964" s="34"/>
      <c r="L2964" s="34"/>
      <c r="M2964" s="34"/>
      <c r="N2964" s="34"/>
      <c r="O2964" s="34"/>
      <c r="AA2964" s="35"/>
      <c r="AB2964" s="35"/>
      <c r="AC2964" s="34"/>
      <c r="AD2964" s="34"/>
      <c r="AE2964" s="34"/>
    </row>
    <row r="2965" spans="1:31" ht="15" thickBot="1" x14ac:dyDescent="0.4">
      <c r="A2965" s="45"/>
      <c r="B2965" s="45"/>
      <c r="C2965" s="46"/>
      <c r="D2965" s="47"/>
      <c r="E2965" s="47"/>
      <c r="F2965" s="47"/>
      <c r="G2965" s="47"/>
      <c r="H2965" s="47"/>
      <c r="I2965" s="47"/>
      <c r="J2965" s="47"/>
      <c r="K2965" s="47"/>
      <c r="L2965" s="47"/>
      <c r="M2965" s="47"/>
      <c r="N2965" s="47"/>
      <c r="O2965" s="47"/>
      <c r="P2965" s="47"/>
      <c r="Q2965" s="47"/>
      <c r="R2965" s="47"/>
      <c r="S2965" s="47"/>
      <c r="T2965" s="45"/>
      <c r="U2965" s="45"/>
      <c r="V2965" s="45"/>
      <c r="W2965" s="45"/>
      <c r="X2965" s="47"/>
      <c r="Y2965" s="45"/>
      <c r="Z2965" s="45"/>
      <c r="AA2965" s="48"/>
      <c r="AB2965" s="48"/>
      <c r="AC2965" s="47"/>
      <c r="AD2965" s="47"/>
      <c r="AE2965" s="47"/>
    </row>
    <row r="2966" spans="1:31" x14ac:dyDescent="0.35">
      <c r="A2966" s="41"/>
      <c r="B2966" s="41"/>
      <c r="C2966" s="42"/>
      <c r="D2966" s="43"/>
      <c r="E2966" s="43"/>
      <c r="F2966" s="43"/>
      <c r="G2966" s="43"/>
      <c r="H2966" s="43"/>
      <c r="I2966" s="43"/>
      <c r="J2966" s="43"/>
      <c r="K2966" s="43"/>
      <c r="L2966" s="43"/>
      <c r="M2966" s="43"/>
      <c r="N2966" s="43"/>
      <c r="O2966" s="43"/>
      <c r="P2966" s="43"/>
      <c r="Q2966" s="43"/>
      <c r="R2966" s="43"/>
      <c r="S2966" s="43"/>
      <c r="T2966" s="43"/>
      <c r="U2966" s="43"/>
      <c r="V2966" s="41"/>
      <c r="W2966" s="41"/>
      <c r="X2966" s="41"/>
      <c r="Y2966" s="41"/>
      <c r="Z2966" s="41"/>
      <c r="AA2966" s="44"/>
      <c r="AB2966" s="44"/>
      <c r="AC2966" s="43"/>
      <c r="AD2966" s="43"/>
      <c r="AE2966" s="43"/>
    </row>
    <row r="2967" spans="1:31" x14ac:dyDescent="0.35">
      <c r="C2967" s="33"/>
      <c r="D2967" s="34"/>
      <c r="E2967" s="34"/>
      <c r="F2967" s="34"/>
      <c r="G2967" s="34"/>
      <c r="H2967" s="34"/>
      <c r="I2967" s="34"/>
      <c r="J2967" s="34"/>
      <c r="K2967" s="34"/>
      <c r="L2967" s="34"/>
      <c r="M2967" s="34"/>
      <c r="N2967" s="34"/>
      <c r="O2967" s="34"/>
      <c r="AA2967" s="35"/>
      <c r="AB2967" s="35"/>
      <c r="AC2967" s="34"/>
      <c r="AD2967" s="34"/>
      <c r="AE2967" s="34"/>
    </row>
    <row r="2968" spans="1:31" ht="15" thickBot="1" x14ac:dyDescent="0.4">
      <c r="A2968" s="45"/>
      <c r="B2968" s="45"/>
      <c r="C2968" s="46"/>
      <c r="D2968" s="47"/>
      <c r="E2968" s="47"/>
      <c r="F2968" s="47"/>
      <c r="G2968" s="47"/>
      <c r="H2968" s="47"/>
      <c r="I2968" s="47"/>
      <c r="J2968" s="47"/>
      <c r="K2968" s="47"/>
      <c r="L2968" s="47"/>
      <c r="M2968" s="47"/>
      <c r="N2968" s="47"/>
      <c r="O2968" s="47"/>
      <c r="P2968" s="47"/>
      <c r="Q2968" s="47"/>
      <c r="R2968" s="47"/>
      <c r="S2968" s="47"/>
      <c r="T2968" s="45"/>
      <c r="U2968" s="45"/>
      <c r="V2968" s="45"/>
      <c r="W2968" s="45"/>
      <c r="X2968" s="47"/>
      <c r="Y2968" s="45"/>
      <c r="Z2968" s="45"/>
      <c r="AA2968" s="48"/>
      <c r="AB2968" s="48"/>
      <c r="AC2968" s="47"/>
      <c r="AD2968" s="47"/>
      <c r="AE2968" s="47"/>
    </row>
    <row r="2969" spans="1:31" x14ac:dyDescent="0.35">
      <c r="A2969" s="41"/>
      <c r="B2969" s="41"/>
      <c r="C2969" s="42"/>
      <c r="D2969" s="43"/>
      <c r="E2969" s="43"/>
      <c r="F2969" s="43"/>
      <c r="G2969" s="43"/>
      <c r="H2969" s="43"/>
      <c r="I2969" s="43"/>
      <c r="J2969" s="43"/>
      <c r="K2969" s="43"/>
      <c r="L2969" s="43"/>
      <c r="M2969" s="43"/>
      <c r="N2969" s="43"/>
      <c r="O2969" s="43"/>
      <c r="P2969" s="43"/>
      <c r="Q2969" s="43"/>
      <c r="R2969" s="43"/>
      <c r="S2969" s="43"/>
      <c r="T2969" s="43"/>
      <c r="U2969" s="43"/>
      <c r="V2969" s="41"/>
      <c r="W2969" s="41"/>
      <c r="X2969" s="41"/>
      <c r="Y2969" s="41"/>
      <c r="Z2969" s="41"/>
      <c r="AA2969" s="44"/>
      <c r="AB2969" s="44"/>
      <c r="AC2969" s="43"/>
      <c r="AD2969" s="43"/>
      <c r="AE2969" s="43"/>
    </row>
    <row r="2970" spans="1:31" x14ac:dyDescent="0.35">
      <c r="C2970" s="33"/>
      <c r="D2970" s="34"/>
      <c r="E2970" s="34"/>
      <c r="F2970" s="34"/>
      <c r="G2970" s="34"/>
      <c r="H2970" s="34"/>
      <c r="I2970" s="34"/>
      <c r="J2970" s="34"/>
      <c r="K2970" s="34"/>
      <c r="L2970" s="34"/>
      <c r="M2970" s="34"/>
      <c r="N2970" s="34"/>
      <c r="O2970" s="34"/>
      <c r="AA2970" s="35"/>
      <c r="AB2970" s="35"/>
      <c r="AC2970" s="34"/>
      <c r="AD2970" s="34"/>
      <c r="AE2970" s="34"/>
    </row>
    <row r="2971" spans="1:31" ht="15" thickBot="1" x14ac:dyDescent="0.4">
      <c r="A2971" s="45"/>
      <c r="B2971" s="45"/>
      <c r="C2971" s="46"/>
      <c r="D2971" s="47"/>
      <c r="E2971" s="47"/>
      <c r="F2971" s="47"/>
      <c r="G2971" s="47"/>
      <c r="H2971" s="47"/>
      <c r="I2971" s="47"/>
      <c r="J2971" s="47"/>
      <c r="K2971" s="47"/>
      <c r="L2971" s="47"/>
      <c r="M2971" s="47"/>
      <c r="N2971" s="47"/>
      <c r="O2971" s="47"/>
      <c r="P2971" s="47"/>
      <c r="Q2971" s="47"/>
      <c r="R2971" s="47"/>
      <c r="S2971" s="47"/>
      <c r="T2971" s="45"/>
      <c r="U2971" s="45"/>
      <c r="V2971" s="45"/>
      <c r="W2971" s="45"/>
      <c r="X2971" s="47"/>
      <c r="Y2971" s="45"/>
      <c r="Z2971" s="45"/>
      <c r="AA2971" s="48"/>
      <c r="AB2971" s="48"/>
      <c r="AC2971" s="47"/>
      <c r="AD2971" s="47"/>
      <c r="AE2971" s="47"/>
    </row>
    <row r="2972" spans="1:31" x14ac:dyDescent="0.35">
      <c r="A2972" s="41"/>
      <c r="B2972" s="41"/>
      <c r="C2972" s="42"/>
      <c r="D2972" s="43"/>
      <c r="E2972" s="43"/>
      <c r="F2972" s="43"/>
      <c r="G2972" s="43"/>
      <c r="H2972" s="43"/>
      <c r="I2972" s="43"/>
      <c r="J2972" s="43"/>
      <c r="K2972" s="43"/>
      <c r="L2972" s="43"/>
      <c r="M2972" s="43"/>
      <c r="N2972" s="43"/>
      <c r="O2972" s="43"/>
      <c r="P2972" s="43"/>
      <c r="Q2972" s="43"/>
      <c r="R2972" s="43"/>
      <c r="S2972" s="43"/>
      <c r="T2972" s="43"/>
      <c r="U2972" s="43"/>
      <c r="V2972" s="41"/>
      <c r="W2972" s="41"/>
      <c r="X2972" s="41"/>
      <c r="Y2972" s="41"/>
      <c r="Z2972" s="41"/>
      <c r="AA2972" s="44"/>
      <c r="AB2972" s="44"/>
      <c r="AC2972" s="43"/>
      <c r="AD2972" s="43"/>
      <c r="AE2972" s="43"/>
    </row>
    <row r="2973" spans="1:31" x14ac:dyDescent="0.35">
      <c r="C2973" s="33"/>
      <c r="D2973" s="34"/>
      <c r="E2973" s="34"/>
      <c r="F2973" s="34"/>
      <c r="G2973" s="34"/>
      <c r="H2973" s="34"/>
      <c r="I2973" s="34"/>
      <c r="J2973" s="34"/>
      <c r="K2973" s="34"/>
      <c r="L2973" s="34"/>
      <c r="M2973" s="34"/>
      <c r="N2973" s="34"/>
      <c r="O2973" s="34"/>
      <c r="AA2973" s="35"/>
      <c r="AB2973" s="35"/>
      <c r="AC2973" s="34"/>
      <c r="AD2973" s="34"/>
      <c r="AE2973" s="34"/>
    </row>
    <row r="2974" spans="1:31" ht="15" thickBot="1" x14ac:dyDescent="0.4">
      <c r="A2974" s="45"/>
      <c r="B2974" s="45"/>
      <c r="C2974" s="46"/>
      <c r="D2974" s="47"/>
      <c r="E2974" s="47"/>
      <c r="F2974" s="47"/>
      <c r="G2974" s="47"/>
      <c r="H2974" s="47"/>
      <c r="I2974" s="47"/>
      <c r="J2974" s="47"/>
      <c r="K2974" s="47"/>
      <c r="L2974" s="47"/>
      <c r="M2974" s="47"/>
      <c r="N2974" s="47"/>
      <c r="O2974" s="47"/>
      <c r="P2974" s="47"/>
      <c r="Q2974" s="47"/>
      <c r="R2974" s="47"/>
      <c r="S2974" s="47"/>
      <c r="T2974" s="45"/>
      <c r="U2974" s="45"/>
      <c r="V2974" s="45"/>
      <c r="W2974" s="45"/>
      <c r="X2974" s="47"/>
      <c r="Y2974" s="45"/>
      <c r="Z2974" s="45"/>
      <c r="AA2974" s="48"/>
      <c r="AB2974" s="48"/>
      <c r="AC2974" s="47"/>
      <c r="AD2974" s="47"/>
      <c r="AE2974" s="47"/>
    </row>
    <row r="2975" spans="1:31" x14ac:dyDescent="0.35">
      <c r="A2975" s="41"/>
      <c r="B2975" s="41"/>
      <c r="C2975" s="42"/>
      <c r="D2975" s="43"/>
      <c r="E2975" s="43"/>
      <c r="F2975" s="43"/>
      <c r="G2975" s="43"/>
      <c r="H2975" s="43"/>
      <c r="I2975" s="43"/>
      <c r="J2975" s="43"/>
      <c r="K2975" s="43"/>
      <c r="L2975" s="43"/>
      <c r="M2975" s="43"/>
      <c r="N2975" s="43"/>
      <c r="O2975" s="43"/>
      <c r="P2975" s="43"/>
      <c r="Q2975" s="43"/>
      <c r="R2975" s="43"/>
      <c r="S2975" s="43"/>
      <c r="T2975" s="43"/>
      <c r="U2975" s="43"/>
      <c r="V2975" s="41"/>
      <c r="W2975" s="41"/>
      <c r="X2975" s="41"/>
      <c r="Y2975" s="41"/>
      <c r="Z2975" s="41"/>
      <c r="AA2975" s="44"/>
      <c r="AB2975" s="44"/>
      <c r="AC2975" s="43"/>
      <c r="AD2975" s="43"/>
      <c r="AE2975" s="43"/>
    </row>
    <row r="2976" spans="1:31" x14ac:dyDescent="0.35">
      <c r="C2976" s="33"/>
      <c r="D2976" s="34"/>
      <c r="E2976" s="34"/>
      <c r="F2976" s="34"/>
      <c r="G2976" s="34"/>
      <c r="H2976" s="34"/>
      <c r="I2976" s="34"/>
      <c r="J2976" s="34"/>
      <c r="K2976" s="34"/>
      <c r="L2976" s="34"/>
      <c r="M2976" s="34"/>
      <c r="N2976" s="34"/>
      <c r="O2976" s="34"/>
      <c r="AA2976" s="35"/>
      <c r="AB2976" s="35"/>
      <c r="AC2976" s="34"/>
      <c r="AD2976" s="34"/>
      <c r="AE2976" s="34"/>
    </row>
    <row r="2977" spans="1:31" ht="15" thickBot="1" x14ac:dyDescent="0.4">
      <c r="A2977" s="45"/>
      <c r="B2977" s="45"/>
      <c r="C2977" s="46"/>
      <c r="D2977" s="47"/>
      <c r="E2977" s="47"/>
      <c r="F2977" s="47"/>
      <c r="G2977" s="47"/>
      <c r="H2977" s="47"/>
      <c r="I2977" s="47"/>
      <c r="J2977" s="47"/>
      <c r="K2977" s="47"/>
      <c r="L2977" s="47"/>
      <c r="M2977" s="47"/>
      <c r="N2977" s="47"/>
      <c r="O2977" s="47"/>
      <c r="P2977" s="47"/>
      <c r="Q2977" s="47"/>
      <c r="R2977" s="47"/>
      <c r="S2977" s="47"/>
      <c r="T2977" s="45"/>
      <c r="U2977" s="45"/>
      <c r="V2977" s="45"/>
      <c r="W2977" s="45"/>
      <c r="X2977" s="47"/>
      <c r="Y2977" s="45"/>
      <c r="Z2977" s="45"/>
      <c r="AA2977" s="48"/>
      <c r="AB2977" s="48"/>
      <c r="AC2977" s="47"/>
      <c r="AD2977" s="47"/>
      <c r="AE2977" s="47"/>
    </row>
    <row r="2978" spans="1:31" x14ac:dyDescent="0.35">
      <c r="A2978" s="41"/>
      <c r="B2978" s="41"/>
      <c r="C2978" s="42"/>
      <c r="D2978" s="43"/>
      <c r="E2978" s="43"/>
      <c r="F2978" s="43"/>
      <c r="G2978" s="43"/>
      <c r="H2978" s="43"/>
      <c r="I2978" s="43"/>
      <c r="J2978" s="43"/>
      <c r="K2978" s="43"/>
      <c r="L2978" s="43"/>
      <c r="M2978" s="43"/>
      <c r="N2978" s="43"/>
      <c r="O2978" s="43"/>
      <c r="P2978" s="43"/>
      <c r="Q2978" s="43"/>
      <c r="R2978" s="43"/>
      <c r="S2978" s="43"/>
      <c r="T2978" s="43"/>
      <c r="U2978" s="43"/>
      <c r="V2978" s="41"/>
      <c r="W2978" s="41"/>
      <c r="X2978" s="41"/>
      <c r="Y2978" s="41"/>
      <c r="Z2978" s="41"/>
      <c r="AA2978" s="44"/>
      <c r="AB2978" s="44"/>
      <c r="AC2978" s="43"/>
      <c r="AD2978" s="43"/>
      <c r="AE2978" s="43"/>
    </row>
    <row r="2979" spans="1:31" x14ac:dyDescent="0.35">
      <c r="C2979" s="33"/>
      <c r="D2979" s="34"/>
      <c r="E2979" s="34"/>
      <c r="F2979" s="34"/>
      <c r="G2979" s="34"/>
      <c r="H2979" s="34"/>
      <c r="I2979" s="34"/>
      <c r="J2979" s="34"/>
      <c r="K2979" s="34"/>
      <c r="L2979" s="34"/>
      <c r="M2979" s="34"/>
      <c r="N2979" s="34"/>
      <c r="O2979" s="34"/>
      <c r="AA2979" s="35"/>
      <c r="AB2979" s="35"/>
      <c r="AC2979" s="34"/>
      <c r="AD2979" s="34"/>
      <c r="AE2979" s="34"/>
    </row>
    <row r="2980" spans="1:31" ht="15" thickBot="1" x14ac:dyDescent="0.4">
      <c r="A2980" s="45"/>
      <c r="B2980" s="45"/>
      <c r="C2980" s="46"/>
      <c r="D2980" s="47"/>
      <c r="E2980" s="47"/>
      <c r="F2980" s="47"/>
      <c r="G2980" s="47"/>
      <c r="H2980" s="47"/>
      <c r="I2980" s="47"/>
      <c r="J2980" s="47"/>
      <c r="K2980" s="47"/>
      <c r="L2980" s="47"/>
      <c r="M2980" s="47"/>
      <c r="N2980" s="47"/>
      <c r="O2980" s="47"/>
      <c r="P2980" s="47"/>
      <c r="Q2980" s="47"/>
      <c r="R2980" s="47"/>
      <c r="S2980" s="47"/>
      <c r="T2980" s="45"/>
      <c r="U2980" s="45"/>
      <c r="V2980" s="45"/>
      <c r="W2980" s="45"/>
      <c r="X2980" s="47"/>
      <c r="Y2980" s="45"/>
      <c r="Z2980" s="45"/>
      <c r="AA2980" s="48"/>
      <c r="AB2980" s="48"/>
      <c r="AC2980" s="47"/>
      <c r="AD2980" s="47"/>
      <c r="AE2980" s="47"/>
    </row>
    <row r="2981" spans="1:31" x14ac:dyDescent="0.35">
      <c r="A2981" s="41"/>
      <c r="B2981" s="41"/>
      <c r="C2981" s="42"/>
      <c r="D2981" s="43"/>
      <c r="E2981" s="43"/>
      <c r="F2981" s="43"/>
      <c r="G2981" s="43"/>
      <c r="H2981" s="43"/>
      <c r="I2981" s="43"/>
      <c r="J2981" s="43"/>
      <c r="K2981" s="43"/>
      <c r="L2981" s="43"/>
      <c r="M2981" s="43"/>
      <c r="N2981" s="43"/>
      <c r="O2981" s="43"/>
      <c r="P2981" s="43"/>
      <c r="Q2981" s="43"/>
      <c r="R2981" s="43"/>
      <c r="S2981" s="43"/>
      <c r="T2981" s="43"/>
      <c r="U2981" s="43"/>
      <c r="V2981" s="41"/>
      <c r="W2981" s="41"/>
      <c r="X2981" s="41"/>
      <c r="Y2981" s="41"/>
      <c r="Z2981" s="41"/>
      <c r="AA2981" s="44"/>
      <c r="AB2981" s="44"/>
      <c r="AC2981" s="43"/>
      <c r="AD2981" s="43"/>
      <c r="AE2981" s="43"/>
    </row>
    <row r="2982" spans="1:31" x14ac:dyDescent="0.35">
      <c r="C2982" s="33"/>
      <c r="D2982" s="34"/>
      <c r="E2982" s="34"/>
      <c r="F2982" s="34"/>
      <c r="G2982" s="34"/>
      <c r="H2982" s="34"/>
      <c r="I2982" s="34"/>
      <c r="J2982" s="34"/>
      <c r="K2982" s="34"/>
      <c r="L2982" s="34"/>
      <c r="M2982" s="34"/>
      <c r="N2982" s="34"/>
      <c r="O2982" s="34"/>
      <c r="AA2982" s="35"/>
      <c r="AB2982" s="35"/>
      <c r="AC2982" s="34"/>
      <c r="AD2982" s="34"/>
      <c r="AE2982" s="34"/>
    </row>
    <row r="2983" spans="1:31" ht="15" thickBot="1" x14ac:dyDescent="0.4">
      <c r="A2983" s="45"/>
      <c r="B2983" s="45"/>
      <c r="C2983" s="46"/>
      <c r="D2983" s="47"/>
      <c r="E2983" s="47"/>
      <c r="F2983" s="47"/>
      <c r="G2983" s="47"/>
      <c r="H2983" s="47"/>
      <c r="I2983" s="47"/>
      <c r="J2983" s="47"/>
      <c r="K2983" s="47"/>
      <c r="L2983" s="47"/>
      <c r="M2983" s="47"/>
      <c r="N2983" s="47"/>
      <c r="O2983" s="47"/>
      <c r="P2983" s="47"/>
      <c r="Q2983" s="47"/>
      <c r="R2983" s="47"/>
      <c r="S2983" s="47"/>
      <c r="T2983" s="45"/>
      <c r="U2983" s="45"/>
      <c r="V2983" s="45"/>
      <c r="W2983" s="45"/>
      <c r="X2983" s="47"/>
      <c r="Y2983" s="45"/>
      <c r="Z2983" s="45"/>
      <c r="AA2983" s="48"/>
      <c r="AB2983" s="48"/>
      <c r="AC2983" s="47"/>
      <c r="AD2983" s="47"/>
      <c r="AE2983" s="47"/>
    </row>
    <row r="2984" spans="1:31" x14ac:dyDescent="0.35">
      <c r="A2984" s="41"/>
      <c r="B2984" s="41"/>
      <c r="C2984" s="42"/>
      <c r="D2984" s="43"/>
      <c r="E2984" s="43"/>
      <c r="F2984" s="43"/>
      <c r="G2984" s="43"/>
      <c r="H2984" s="43"/>
      <c r="I2984" s="43"/>
      <c r="J2984" s="43"/>
      <c r="K2984" s="43"/>
      <c r="L2984" s="43"/>
      <c r="M2984" s="43"/>
      <c r="N2984" s="43"/>
      <c r="O2984" s="43"/>
      <c r="P2984" s="43"/>
      <c r="Q2984" s="43"/>
      <c r="R2984" s="43"/>
      <c r="S2984" s="43"/>
      <c r="T2984" s="43"/>
      <c r="U2984" s="43"/>
      <c r="V2984" s="41"/>
      <c r="W2984" s="41"/>
      <c r="X2984" s="41"/>
      <c r="Y2984" s="41"/>
      <c r="Z2984" s="41"/>
      <c r="AA2984" s="44"/>
      <c r="AB2984" s="44"/>
      <c r="AC2984" s="43"/>
      <c r="AD2984" s="43"/>
      <c r="AE2984" s="43"/>
    </row>
    <row r="2985" spans="1:31" x14ac:dyDescent="0.35">
      <c r="C2985" s="33"/>
      <c r="D2985" s="34"/>
      <c r="E2985" s="34"/>
      <c r="F2985" s="34"/>
      <c r="G2985" s="34"/>
      <c r="H2985" s="34"/>
      <c r="I2985" s="34"/>
      <c r="J2985" s="34"/>
      <c r="K2985" s="34"/>
      <c r="L2985" s="34"/>
      <c r="M2985" s="34"/>
      <c r="N2985" s="34"/>
      <c r="O2985" s="34"/>
      <c r="AA2985" s="35"/>
      <c r="AB2985" s="35"/>
      <c r="AC2985" s="34"/>
      <c r="AD2985" s="34"/>
      <c r="AE2985" s="34"/>
    </row>
    <row r="2986" spans="1:31" ht="15" thickBot="1" x14ac:dyDescent="0.4">
      <c r="A2986" s="45"/>
      <c r="B2986" s="45"/>
      <c r="C2986" s="46"/>
      <c r="D2986" s="47"/>
      <c r="E2986" s="47"/>
      <c r="F2986" s="47"/>
      <c r="G2986" s="47"/>
      <c r="H2986" s="47"/>
      <c r="I2986" s="47"/>
      <c r="J2986" s="47"/>
      <c r="K2986" s="47"/>
      <c r="L2986" s="47"/>
      <c r="M2986" s="47"/>
      <c r="N2986" s="47"/>
      <c r="O2986" s="47"/>
      <c r="P2986" s="47"/>
      <c r="Q2986" s="47"/>
      <c r="R2986" s="47"/>
      <c r="S2986" s="47"/>
      <c r="T2986" s="45"/>
      <c r="U2986" s="45"/>
      <c r="V2986" s="45"/>
      <c r="W2986" s="45"/>
      <c r="X2986" s="47"/>
      <c r="Y2986" s="45"/>
      <c r="Z2986" s="45"/>
      <c r="AA2986" s="48"/>
      <c r="AB2986" s="48"/>
      <c r="AC2986" s="47"/>
      <c r="AD2986" s="47"/>
      <c r="AE2986" s="47"/>
    </row>
    <row r="2987" spans="1:31" x14ac:dyDescent="0.35">
      <c r="A2987" s="41"/>
      <c r="B2987" s="41"/>
      <c r="C2987" s="42"/>
      <c r="D2987" s="43"/>
      <c r="E2987" s="43"/>
      <c r="F2987" s="43"/>
      <c r="G2987" s="43"/>
      <c r="H2987" s="43"/>
      <c r="I2987" s="43"/>
      <c r="J2987" s="43"/>
      <c r="K2987" s="43"/>
      <c r="L2987" s="43"/>
      <c r="M2987" s="43"/>
      <c r="N2987" s="43"/>
      <c r="O2987" s="43"/>
      <c r="P2987" s="43"/>
      <c r="Q2987" s="43"/>
      <c r="R2987" s="43"/>
      <c r="S2987" s="43"/>
      <c r="T2987" s="43"/>
      <c r="U2987" s="43"/>
      <c r="V2987" s="41"/>
      <c r="W2987" s="41"/>
      <c r="X2987" s="41"/>
      <c r="Y2987" s="41"/>
      <c r="Z2987" s="41"/>
      <c r="AA2987" s="44"/>
      <c r="AB2987" s="44"/>
      <c r="AC2987" s="43"/>
      <c r="AD2987" s="43"/>
      <c r="AE2987" s="43"/>
    </row>
    <row r="2988" spans="1:31" x14ac:dyDescent="0.35">
      <c r="C2988" s="33"/>
      <c r="D2988" s="34"/>
      <c r="E2988" s="34"/>
      <c r="F2988" s="34"/>
      <c r="G2988" s="34"/>
      <c r="H2988" s="34"/>
      <c r="I2988" s="34"/>
      <c r="J2988" s="34"/>
      <c r="K2988" s="34"/>
      <c r="L2988" s="34"/>
      <c r="M2988" s="34"/>
      <c r="N2988" s="34"/>
      <c r="O2988" s="34"/>
      <c r="AA2988" s="35"/>
      <c r="AB2988" s="35"/>
      <c r="AC2988" s="34"/>
      <c r="AD2988" s="34"/>
      <c r="AE2988" s="34"/>
    </row>
    <row r="2989" spans="1:31" ht="15" thickBot="1" x14ac:dyDescent="0.4">
      <c r="A2989" s="45"/>
      <c r="B2989" s="45"/>
      <c r="C2989" s="46"/>
      <c r="D2989" s="47"/>
      <c r="E2989" s="47"/>
      <c r="F2989" s="47"/>
      <c r="G2989" s="47"/>
      <c r="H2989" s="47"/>
      <c r="I2989" s="47"/>
      <c r="J2989" s="47"/>
      <c r="K2989" s="47"/>
      <c r="L2989" s="47"/>
      <c r="M2989" s="47"/>
      <c r="N2989" s="47"/>
      <c r="O2989" s="47"/>
      <c r="P2989" s="47"/>
      <c r="Q2989" s="47"/>
      <c r="R2989" s="47"/>
      <c r="S2989" s="47"/>
      <c r="T2989" s="45"/>
      <c r="U2989" s="45"/>
      <c r="V2989" s="45"/>
      <c r="W2989" s="45"/>
      <c r="X2989" s="47"/>
      <c r="Y2989" s="45"/>
      <c r="Z2989" s="45"/>
      <c r="AA2989" s="48"/>
      <c r="AB2989" s="48"/>
      <c r="AC2989" s="47"/>
      <c r="AD2989" s="47"/>
      <c r="AE2989" s="47"/>
    </row>
    <row r="2990" spans="1:31" x14ac:dyDescent="0.35">
      <c r="A2990" s="41"/>
      <c r="B2990" s="41"/>
      <c r="C2990" s="42"/>
      <c r="D2990" s="43"/>
      <c r="E2990" s="43"/>
      <c r="F2990" s="43"/>
      <c r="G2990" s="43"/>
      <c r="H2990" s="43"/>
      <c r="I2990" s="43"/>
      <c r="J2990" s="43"/>
      <c r="K2990" s="43"/>
      <c r="L2990" s="43"/>
      <c r="M2990" s="43"/>
      <c r="N2990" s="43"/>
      <c r="O2990" s="43"/>
      <c r="P2990" s="43"/>
      <c r="Q2990" s="43"/>
      <c r="R2990" s="43"/>
      <c r="S2990" s="43"/>
      <c r="T2990" s="43"/>
      <c r="U2990" s="43"/>
      <c r="V2990" s="41"/>
      <c r="W2990" s="41"/>
      <c r="X2990" s="41"/>
      <c r="Y2990" s="41"/>
      <c r="Z2990" s="41"/>
      <c r="AA2990" s="44"/>
      <c r="AB2990" s="44"/>
      <c r="AC2990" s="43"/>
      <c r="AD2990" s="43"/>
      <c r="AE2990" s="43"/>
    </row>
    <row r="2991" spans="1:31" x14ac:dyDescent="0.35">
      <c r="C2991" s="33"/>
      <c r="D2991" s="34"/>
      <c r="E2991" s="34"/>
      <c r="F2991" s="34"/>
      <c r="G2991" s="34"/>
      <c r="H2991" s="34"/>
      <c r="I2991" s="34"/>
      <c r="J2991" s="34"/>
      <c r="K2991" s="34"/>
      <c r="L2991" s="34"/>
      <c r="M2991" s="34"/>
      <c r="N2991" s="34"/>
      <c r="O2991" s="34"/>
      <c r="AA2991" s="35"/>
      <c r="AB2991" s="35"/>
      <c r="AC2991" s="34"/>
      <c r="AD2991" s="34"/>
      <c r="AE2991" s="34"/>
    </row>
    <row r="2992" spans="1:31" ht="15" thickBot="1" x14ac:dyDescent="0.4">
      <c r="A2992" s="45"/>
      <c r="B2992" s="45"/>
      <c r="C2992" s="46"/>
      <c r="D2992" s="47"/>
      <c r="E2992" s="47"/>
      <c r="F2992" s="47"/>
      <c r="G2992" s="47"/>
      <c r="H2992" s="47"/>
      <c r="I2992" s="47"/>
      <c r="J2992" s="47"/>
      <c r="K2992" s="47"/>
      <c r="L2992" s="47"/>
      <c r="M2992" s="47"/>
      <c r="N2992" s="47"/>
      <c r="O2992" s="47"/>
      <c r="P2992" s="47"/>
      <c r="Q2992" s="47"/>
      <c r="R2992" s="47"/>
      <c r="S2992" s="47"/>
      <c r="T2992" s="45"/>
      <c r="U2992" s="45"/>
      <c r="V2992" s="45"/>
      <c r="W2992" s="45"/>
      <c r="X2992" s="47"/>
      <c r="Y2992" s="45"/>
      <c r="Z2992" s="45"/>
      <c r="AA2992" s="48"/>
      <c r="AB2992" s="48"/>
      <c r="AC2992" s="47"/>
      <c r="AD2992" s="47"/>
      <c r="AE2992" s="47"/>
    </row>
    <row r="2993" spans="1:31" x14ac:dyDescent="0.35">
      <c r="A2993" s="41"/>
      <c r="B2993" s="41"/>
      <c r="C2993" s="42"/>
      <c r="D2993" s="43"/>
      <c r="E2993" s="43"/>
      <c r="F2993" s="43"/>
      <c r="G2993" s="43"/>
      <c r="H2993" s="43"/>
      <c r="I2993" s="43"/>
      <c r="J2993" s="43"/>
      <c r="K2993" s="43"/>
      <c r="L2993" s="43"/>
      <c r="M2993" s="43"/>
      <c r="N2993" s="43"/>
      <c r="O2993" s="43"/>
      <c r="P2993" s="43"/>
      <c r="Q2993" s="43"/>
      <c r="R2993" s="43"/>
      <c r="S2993" s="43"/>
      <c r="T2993" s="43"/>
      <c r="U2993" s="43"/>
      <c r="V2993" s="41"/>
      <c r="W2993" s="41"/>
      <c r="X2993" s="41"/>
      <c r="Y2993" s="41"/>
      <c r="Z2993" s="41"/>
      <c r="AA2993" s="44"/>
      <c r="AB2993" s="44"/>
      <c r="AC2993" s="43"/>
      <c r="AD2993" s="43"/>
      <c r="AE2993" s="43"/>
    </row>
    <row r="2994" spans="1:31" x14ac:dyDescent="0.35">
      <c r="C2994" s="33"/>
      <c r="D2994" s="34"/>
      <c r="E2994" s="34"/>
      <c r="F2994" s="34"/>
      <c r="G2994" s="34"/>
      <c r="H2994" s="34"/>
      <c r="I2994" s="34"/>
      <c r="J2994" s="34"/>
      <c r="K2994" s="34"/>
      <c r="L2994" s="34"/>
      <c r="M2994" s="34"/>
      <c r="N2994" s="34"/>
      <c r="O2994" s="34"/>
      <c r="AA2994" s="35"/>
      <c r="AB2994" s="35"/>
      <c r="AC2994" s="34"/>
      <c r="AD2994" s="34"/>
      <c r="AE2994" s="34"/>
    </row>
    <row r="2995" spans="1:31" ht="15" thickBot="1" x14ac:dyDescent="0.4">
      <c r="A2995" s="45"/>
      <c r="B2995" s="45"/>
      <c r="C2995" s="46"/>
      <c r="D2995" s="47"/>
      <c r="E2995" s="47"/>
      <c r="F2995" s="47"/>
      <c r="G2995" s="47"/>
      <c r="H2995" s="47"/>
      <c r="I2995" s="47"/>
      <c r="J2995" s="47"/>
      <c r="K2995" s="47"/>
      <c r="L2995" s="47"/>
      <c r="M2995" s="47"/>
      <c r="N2995" s="47"/>
      <c r="O2995" s="47"/>
      <c r="P2995" s="47"/>
      <c r="Q2995" s="47"/>
      <c r="R2995" s="47"/>
      <c r="S2995" s="47"/>
      <c r="T2995" s="45"/>
      <c r="U2995" s="45"/>
      <c r="V2995" s="45"/>
      <c r="W2995" s="45"/>
      <c r="X2995" s="47"/>
      <c r="Y2995" s="45"/>
      <c r="Z2995" s="45"/>
      <c r="AA2995" s="48"/>
      <c r="AB2995" s="48"/>
      <c r="AC2995" s="47"/>
      <c r="AD2995" s="47"/>
      <c r="AE2995" s="47"/>
    </row>
    <row r="2996" spans="1:31" x14ac:dyDescent="0.35">
      <c r="A2996" s="41"/>
      <c r="B2996" s="41"/>
      <c r="C2996" s="42"/>
      <c r="D2996" s="43"/>
      <c r="E2996" s="43"/>
      <c r="F2996" s="43"/>
      <c r="G2996" s="43"/>
      <c r="H2996" s="43"/>
      <c r="I2996" s="43"/>
      <c r="J2996" s="43"/>
      <c r="K2996" s="43"/>
      <c r="L2996" s="43"/>
      <c r="M2996" s="43"/>
      <c r="N2996" s="43"/>
      <c r="O2996" s="43"/>
      <c r="P2996" s="43"/>
      <c r="Q2996" s="43"/>
      <c r="R2996" s="43"/>
      <c r="S2996" s="43"/>
      <c r="T2996" s="43"/>
      <c r="U2996" s="43"/>
      <c r="V2996" s="41"/>
      <c r="W2996" s="41"/>
      <c r="X2996" s="41"/>
      <c r="Y2996" s="41"/>
      <c r="Z2996" s="41"/>
      <c r="AA2996" s="44"/>
      <c r="AB2996" s="44"/>
      <c r="AC2996" s="43"/>
      <c r="AD2996" s="43"/>
      <c r="AE2996" s="43"/>
    </row>
    <row r="2997" spans="1:31" x14ac:dyDescent="0.35">
      <c r="C2997" s="33"/>
      <c r="D2997" s="34"/>
      <c r="E2997" s="34"/>
      <c r="F2997" s="34"/>
      <c r="G2997" s="34"/>
      <c r="H2997" s="34"/>
      <c r="I2997" s="34"/>
      <c r="J2997" s="34"/>
      <c r="K2997" s="34"/>
      <c r="L2997" s="34"/>
      <c r="M2997" s="34"/>
      <c r="N2997" s="34"/>
      <c r="O2997" s="34"/>
      <c r="AA2997" s="35"/>
      <c r="AB2997" s="35"/>
      <c r="AC2997" s="34"/>
      <c r="AD2997" s="34"/>
      <c r="AE2997" s="34"/>
    </row>
    <row r="2998" spans="1:31" ht="15" thickBot="1" x14ac:dyDescent="0.4">
      <c r="A2998" s="45"/>
      <c r="B2998" s="45"/>
      <c r="C2998" s="46"/>
      <c r="D2998" s="47"/>
      <c r="E2998" s="47"/>
      <c r="F2998" s="47"/>
      <c r="G2998" s="47"/>
      <c r="H2998" s="47"/>
      <c r="I2998" s="47"/>
      <c r="J2998" s="47"/>
      <c r="K2998" s="47"/>
      <c r="L2998" s="47"/>
      <c r="M2998" s="47"/>
      <c r="N2998" s="47"/>
      <c r="O2998" s="47"/>
      <c r="P2998" s="47"/>
      <c r="Q2998" s="47"/>
      <c r="R2998" s="47"/>
      <c r="S2998" s="47"/>
      <c r="T2998" s="45"/>
      <c r="U2998" s="45"/>
      <c r="V2998" s="45"/>
      <c r="W2998" s="45"/>
      <c r="X2998" s="47"/>
      <c r="Y2998" s="45"/>
      <c r="Z2998" s="45"/>
      <c r="AA2998" s="48"/>
      <c r="AB2998" s="48"/>
      <c r="AC2998" s="47"/>
      <c r="AD2998" s="47"/>
      <c r="AE2998" s="47"/>
    </row>
    <row r="2999" spans="1:31" x14ac:dyDescent="0.35">
      <c r="A2999" s="41"/>
      <c r="B2999" s="41"/>
      <c r="C2999" s="42"/>
      <c r="D2999" s="43"/>
      <c r="E2999" s="43"/>
      <c r="F2999" s="43"/>
      <c r="G2999" s="43"/>
      <c r="H2999" s="43"/>
      <c r="I2999" s="43"/>
      <c r="J2999" s="43"/>
      <c r="K2999" s="43"/>
      <c r="L2999" s="43"/>
      <c r="M2999" s="43"/>
      <c r="N2999" s="43"/>
      <c r="O2999" s="43"/>
      <c r="P2999" s="43"/>
      <c r="Q2999" s="43"/>
      <c r="R2999" s="43"/>
      <c r="S2999" s="43"/>
      <c r="T2999" s="43"/>
      <c r="U2999" s="43"/>
      <c r="V2999" s="41"/>
      <c r="W2999" s="41"/>
      <c r="X2999" s="41"/>
      <c r="Y2999" s="41"/>
      <c r="Z2999" s="41"/>
      <c r="AA2999" s="44"/>
      <c r="AB2999" s="44"/>
      <c r="AC2999" s="43"/>
      <c r="AD2999" s="43"/>
      <c r="AE2999" s="43"/>
    </row>
    <row r="3000" spans="1:31" x14ac:dyDescent="0.35">
      <c r="C3000" s="33"/>
      <c r="D3000" s="34"/>
      <c r="E3000" s="34"/>
      <c r="F3000" s="34"/>
      <c r="G3000" s="34"/>
      <c r="H3000" s="34"/>
      <c r="I3000" s="34"/>
      <c r="J3000" s="34"/>
      <c r="K3000" s="34"/>
      <c r="L3000" s="34"/>
      <c r="M3000" s="34"/>
      <c r="N3000" s="34"/>
      <c r="O3000" s="34"/>
      <c r="AA3000" s="35"/>
      <c r="AB3000" s="35"/>
      <c r="AC3000" s="34"/>
      <c r="AD3000" s="34"/>
      <c r="AE3000" s="34"/>
    </row>
    <row r="3001" spans="1:31" ht="15" thickBot="1" x14ac:dyDescent="0.4">
      <c r="A3001" s="45"/>
      <c r="B3001" s="45"/>
      <c r="C3001" s="46"/>
      <c r="D3001" s="47"/>
      <c r="E3001" s="47"/>
      <c r="F3001" s="47"/>
      <c r="G3001" s="47"/>
      <c r="H3001" s="47"/>
      <c r="I3001" s="47"/>
      <c r="J3001" s="47"/>
      <c r="K3001" s="47"/>
      <c r="L3001" s="47"/>
      <c r="M3001" s="47"/>
      <c r="N3001" s="47"/>
      <c r="O3001" s="47"/>
      <c r="P3001" s="47"/>
      <c r="Q3001" s="47"/>
      <c r="R3001" s="47"/>
      <c r="S3001" s="47"/>
      <c r="T3001" s="45"/>
      <c r="U3001" s="45"/>
      <c r="V3001" s="45"/>
      <c r="W3001" s="45"/>
      <c r="X3001" s="47"/>
      <c r="Y3001" s="45"/>
      <c r="Z3001" s="45"/>
      <c r="AA3001" s="48"/>
      <c r="AB3001" s="48"/>
      <c r="AC3001" s="47"/>
      <c r="AD3001" s="47"/>
      <c r="AE3001" s="47"/>
    </row>
    <row r="3002" spans="1:31" x14ac:dyDescent="0.35">
      <c r="A3002" s="41"/>
      <c r="B3002" s="41"/>
      <c r="C3002" s="42"/>
      <c r="D3002" s="43"/>
      <c r="E3002" s="43"/>
      <c r="F3002" s="43"/>
      <c r="G3002" s="43"/>
      <c r="H3002" s="43"/>
      <c r="I3002" s="43"/>
      <c r="J3002" s="43"/>
      <c r="K3002" s="43"/>
      <c r="L3002" s="43"/>
      <c r="M3002" s="43"/>
      <c r="N3002" s="43"/>
      <c r="O3002" s="43"/>
      <c r="P3002" s="43"/>
      <c r="Q3002" s="43"/>
      <c r="R3002" s="43"/>
      <c r="S3002" s="43"/>
      <c r="T3002" s="43"/>
      <c r="U3002" s="43"/>
      <c r="V3002" s="41"/>
      <c r="W3002" s="41"/>
      <c r="X3002" s="41"/>
      <c r="Y3002" s="41"/>
      <c r="Z3002" s="41"/>
      <c r="AA3002" s="44"/>
      <c r="AB3002" s="44"/>
      <c r="AC3002" s="43"/>
      <c r="AD3002" s="43"/>
      <c r="AE3002" s="43"/>
    </row>
    <row r="3003" spans="1:31" x14ac:dyDescent="0.35">
      <c r="C3003" s="33"/>
      <c r="D3003" s="34"/>
      <c r="E3003" s="34"/>
      <c r="F3003" s="34"/>
      <c r="G3003" s="34"/>
      <c r="H3003" s="34"/>
      <c r="I3003" s="34"/>
      <c r="J3003" s="34"/>
      <c r="K3003" s="34"/>
      <c r="L3003" s="34"/>
      <c r="M3003" s="34"/>
      <c r="N3003" s="34"/>
      <c r="O3003" s="34"/>
      <c r="AA3003" s="35"/>
      <c r="AB3003" s="35"/>
      <c r="AC3003" s="34"/>
      <c r="AD3003" s="34"/>
      <c r="AE3003" s="34"/>
    </row>
    <row r="3004" spans="1:31" ht="15" thickBot="1" x14ac:dyDescent="0.4">
      <c r="A3004" s="45"/>
      <c r="B3004" s="45"/>
      <c r="C3004" s="46"/>
      <c r="D3004" s="47"/>
      <c r="E3004" s="47"/>
      <c r="F3004" s="47"/>
      <c r="G3004" s="47"/>
      <c r="H3004" s="47"/>
      <c r="I3004" s="47"/>
      <c r="J3004" s="47"/>
      <c r="K3004" s="47"/>
      <c r="L3004" s="47"/>
      <c r="M3004" s="47"/>
      <c r="N3004" s="47"/>
      <c r="O3004" s="47"/>
      <c r="P3004" s="47"/>
      <c r="Q3004" s="47"/>
      <c r="R3004" s="47"/>
      <c r="S3004" s="47"/>
      <c r="T3004" s="45"/>
      <c r="U3004" s="45"/>
      <c r="V3004" s="45"/>
      <c r="W3004" s="45"/>
      <c r="X3004" s="47"/>
      <c r="Y3004" s="45"/>
      <c r="Z3004" s="45"/>
      <c r="AA3004" s="48"/>
      <c r="AB3004" s="48"/>
      <c r="AC3004" s="47"/>
      <c r="AD3004" s="47"/>
      <c r="AE3004" s="47"/>
    </row>
    <row r="3005" spans="1:31" x14ac:dyDescent="0.35">
      <c r="A3005" s="41"/>
      <c r="B3005" s="41"/>
      <c r="C3005" s="42"/>
      <c r="D3005" s="43"/>
      <c r="E3005" s="43"/>
      <c r="F3005" s="43"/>
      <c r="G3005" s="43"/>
      <c r="H3005" s="43"/>
      <c r="I3005" s="43"/>
      <c r="J3005" s="43"/>
      <c r="K3005" s="43"/>
      <c r="L3005" s="43"/>
      <c r="M3005" s="43"/>
      <c r="N3005" s="43"/>
      <c r="O3005" s="43"/>
      <c r="P3005" s="43"/>
      <c r="Q3005" s="43"/>
      <c r="R3005" s="43"/>
      <c r="S3005" s="43"/>
      <c r="T3005" s="43"/>
      <c r="U3005" s="43"/>
      <c r="V3005" s="41"/>
      <c r="W3005" s="41"/>
      <c r="X3005" s="41"/>
      <c r="Y3005" s="41"/>
      <c r="Z3005" s="41"/>
      <c r="AA3005" s="44"/>
      <c r="AB3005" s="44"/>
      <c r="AC3005" s="43"/>
      <c r="AD3005" s="43"/>
      <c r="AE3005" s="43"/>
    </row>
    <row r="3006" spans="1:31" x14ac:dyDescent="0.35">
      <c r="C3006" s="33"/>
      <c r="D3006" s="34"/>
      <c r="E3006" s="34"/>
      <c r="F3006" s="34"/>
      <c r="G3006" s="34"/>
      <c r="H3006" s="34"/>
      <c r="I3006" s="34"/>
      <c r="J3006" s="34"/>
      <c r="K3006" s="34"/>
      <c r="L3006" s="34"/>
      <c r="M3006" s="34"/>
      <c r="N3006" s="34"/>
      <c r="O3006" s="34"/>
      <c r="AA3006" s="35"/>
      <c r="AB3006" s="35"/>
      <c r="AC3006" s="34"/>
      <c r="AD3006" s="34"/>
      <c r="AE3006" s="34"/>
    </row>
    <row r="3007" spans="1:31" ht="15" thickBot="1" x14ac:dyDescent="0.4">
      <c r="A3007" s="45"/>
      <c r="B3007" s="45"/>
      <c r="C3007" s="46"/>
      <c r="D3007" s="47"/>
      <c r="E3007" s="47"/>
      <c r="F3007" s="47"/>
      <c r="G3007" s="47"/>
      <c r="H3007" s="47"/>
      <c r="I3007" s="47"/>
      <c r="J3007" s="47"/>
      <c r="K3007" s="47"/>
      <c r="L3007" s="47"/>
      <c r="M3007" s="47"/>
      <c r="N3007" s="47"/>
      <c r="O3007" s="47"/>
      <c r="P3007" s="47"/>
      <c r="Q3007" s="47"/>
      <c r="R3007" s="47"/>
      <c r="S3007" s="47"/>
      <c r="T3007" s="45"/>
      <c r="U3007" s="45"/>
      <c r="V3007" s="45"/>
      <c r="W3007" s="45"/>
      <c r="X3007" s="47"/>
      <c r="Y3007" s="45"/>
      <c r="Z3007" s="45"/>
      <c r="AA3007" s="48"/>
      <c r="AB3007" s="48"/>
      <c r="AC3007" s="47"/>
      <c r="AD3007" s="47"/>
      <c r="AE3007" s="47"/>
    </row>
    <row r="3008" spans="1:31" x14ac:dyDescent="0.35">
      <c r="A3008" s="41"/>
      <c r="B3008" s="41"/>
      <c r="C3008" s="42"/>
      <c r="D3008" s="43"/>
      <c r="E3008" s="43"/>
      <c r="F3008" s="43"/>
      <c r="G3008" s="43"/>
      <c r="H3008" s="43"/>
      <c r="I3008" s="43"/>
      <c r="J3008" s="43"/>
      <c r="K3008" s="43"/>
      <c r="L3008" s="43"/>
      <c r="M3008" s="43"/>
      <c r="N3008" s="43"/>
      <c r="O3008" s="43"/>
      <c r="P3008" s="43"/>
      <c r="Q3008" s="43"/>
      <c r="R3008" s="43"/>
      <c r="S3008" s="43"/>
      <c r="T3008" s="43"/>
      <c r="U3008" s="43"/>
      <c r="V3008" s="41"/>
      <c r="W3008" s="41"/>
      <c r="X3008" s="41"/>
      <c r="Y3008" s="41"/>
      <c r="Z3008" s="41"/>
      <c r="AA3008" s="44"/>
      <c r="AB3008" s="44"/>
      <c r="AC3008" s="43"/>
      <c r="AD3008" s="43"/>
      <c r="AE3008" s="43"/>
    </row>
    <row r="3009" spans="1:31" x14ac:dyDescent="0.35">
      <c r="C3009" s="33"/>
      <c r="D3009" s="34"/>
      <c r="E3009" s="34"/>
      <c r="F3009" s="34"/>
      <c r="G3009" s="34"/>
      <c r="H3009" s="34"/>
      <c r="I3009" s="34"/>
      <c r="J3009" s="34"/>
      <c r="K3009" s="34"/>
      <c r="L3009" s="34"/>
      <c r="M3009" s="34"/>
      <c r="N3009" s="34"/>
      <c r="O3009" s="34"/>
      <c r="AA3009" s="35"/>
      <c r="AB3009" s="35"/>
      <c r="AC3009" s="34"/>
      <c r="AD3009" s="34"/>
      <c r="AE3009" s="34"/>
    </row>
    <row r="3010" spans="1:31" ht="15" thickBot="1" x14ac:dyDescent="0.4">
      <c r="A3010" s="45"/>
      <c r="B3010" s="45"/>
      <c r="C3010" s="46"/>
      <c r="D3010" s="47"/>
      <c r="E3010" s="47"/>
      <c r="F3010" s="47"/>
      <c r="G3010" s="47"/>
      <c r="H3010" s="47"/>
      <c r="I3010" s="47"/>
      <c r="J3010" s="47"/>
      <c r="K3010" s="47"/>
      <c r="L3010" s="47"/>
      <c r="M3010" s="47"/>
      <c r="N3010" s="47"/>
      <c r="O3010" s="47"/>
      <c r="P3010" s="47"/>
      <c r="Q3010" s="47"/>
      <c r="R3010" s="47"/>
      <c r="S3010" s="47"/>
      <c r="T3010" s="45"/>
      <c r="U3010" s="45"/>
      <c r="V3010" s="45"/>
      <c r="W3010" s="45"/>
      <c r="X3010" s="47"/>
      <c r="Y3010" s="45"/>
      <c r="Z3010" s="45"/>
      <c r="AA3010" s="48"/>
      <c r="AB3010" s="48"/>
      <c r="AC3010" s="47"/>
      <c r="AD3010" s="47"/>
      <c r="AE3010" s="47"/>
    </row>
    <row r="3011" spans="1:31" x14ac:dyDescent="0.35">
      <c r="A3011" s="41"/>
      <c r="B3011" s="41"/>
      <c r="C3011" s="42"/>
      <c r="D3011" s="43"/>
      <c r="E3011" s="43"/>
      <c r="F3011" s="43"/>
      <c r="G3011" s="43"/>
      <c r="H3011" s="43"/>
      <c r="I3011" s="43"/>
      <c r="J3011" s="43"/>
      <c r="K3011" s="43"/>
      <c r="L3011" s="43"/>
      <c r="M3011" s="43"/>
      <c r="N3011" s="43"/>
      <c r="O3011" s="43"/>
      <c r="P3011" s="43"/>
      <c r="Q3011" s="43"/>
      <c r="R3011" s="43"/>
      <c r="S3011" s="43"/>
      <c r="T3011" s="43"/>
      <c r="U3011" s="43"/>
      <c r="V3011" s="41"/>
      <c r="W3011" s="41"/>
      <c r="X3011" s="41"/>
      <c r="Y3011" s="41"/>
      <c r="Z3011" s="41"/>
      <c r="AA3011" s="44"/>
      <c r="AB3011" s="44"/>
      <c r="AC3011" s="43"/>
      <c r="AD3011" s="43"/>
      <c r="AE3011" s="43"/>
    </row>
    <row r="3012" spans="1:31" x14ac:dyDescent="0.35">
      <c r="C3012" s="33"/>
      <c r="D3012" s="34"/>
      <c r="E3012" s="34"/>
      <c r="F3012" s="34"/>
      <c r="G3012" s="34"/>
      <c r="H3012" s="34"/>
      <c r="I3012" s="34"/>
      <c r="J3012" s="34"/>
      <c r="K3012" s="34"/>
      <c r="L3012" s="34"/>
      <c r="M3012" s="34"/>
      <c r="N3012" s="34"/>
      <c r="O3012" s="34"/>
      <c r="AA3012" s="35"/>
      <c r="AB3012" s="35"/>
      <c r="AC3012" s="34"/>
      <c r="AD3012" s="34"/>
      <c r="AE3012" s="34"/>
    </row>
    <row r="3013" spans="1:31" ht="15" thickBot="1" x14ac:dyDescent="0.4">
      <c r="A3013" s="45"/>
      <c r="B3013" s="45"/>
      <c r="C3013" s="46"/>
      <c r="D3013" s="47"/>
      <c r="E3013" s="47"/>
      <c r="F3013" s="47"/>
      <c r="G3013" s="47"/>
      <c r="H3013" s="47"/>
      <c r="I3013" s="47"/>
      <c r="J3013" s="47"/>
      <c r="K3013" s="47"/>
      <c r="L3013" s="47"/>
      <c r="M3013" s="47"/>
      <c r="N3013" s="47"/>
      <c r="O3013" s="47"/>
      <c r="P3013" s="47"/>
      <c r="Q3013" s="47"/>
      <c r="R3013" s="47"/>
      <c r="S3013" s="47"/>
      <c r="T3013" s="45"/>
      <c r="U3013" s="45"/>
      <c r="V3013" s="45"/>
      <c r="W3013" s="45"/>
      <c r="X3013" s="47"/>
      <c r="Y3013" s="45"/>
      <c r="Z3013" s="45"/>
      <c r="AA3013" s="48"/>
      <c r="AB3013" s="48"/>
      <c r="AC3013" s="47"/>
      <c r="AD3013" s="47"/>
      <c r="AE3013" s="47"/>
    </row>
    <row r="3014" spans="1:31" x14ac:dyDescent="0.35">
      <c r="A3014" s="41"/>
      <c r="B3014" s="41"/>
      <c r="C3014" s="42"/>
      <c r="D3014" s="43"/>
      <c r="E3014" s="43"/>
      <c r="F3014" s="43"/>
      <c r="G3014" s="43"/>
      <c r="H3014" s="43"/>
      <c r="I3014" s="43"/>
      <c r="J3014" s="43"/>
      <c r="K3014" s="43"/>
      <c r="L3014" s="43"/>
      <c r="M3014" s="43"/>
      <c r="N3014" s="43"/>
      <c r="O3014" s="43"/>
      <c r="P3014" s="43"/>
      <c r="Q3014" s="43"/>
      <c r="R3014" s="43"/>
      <c r="S3014" s="43"/>
      <c r="T3014" s="43"/>
      <c r="U3014" s="43"/>
      <c r="V3014" s="41"/>
      <c r="W3014" s="41"/>
      <c r="X3014" s="41"/>
      <c r="Y3014" s="41"/>
      <c r="Z3014" s="41"/>
      <c r="AA3014" s="44"/>
      <c r="AB3014" s="44"/>
      <c r="AC3014" s="43"/>
      <c r="AD3014" s="43"/>
      <c r="AE3014" s="43"/>
    </row>
    <row r="3015" spans="1:31" x14ac:dyDescent="0.35">
      <c r="C3015" s="33"/>
      <c r="D3015" s="34"/>
      <c r="E3015" s="34"/>
      <c r="F3015" s="34"/>
      <c r="G3015" s="34"/>
      <c r="H3015" s="34"/>
      <c r="I3015" s="34"/>
      <c r="J3015" s="34"/>
      <c r="K3015" s="34"/>
      <c r="L3015" s="34"/>
      <c r="M3015" s="34"/>
      <c r="N3015" s="34"/>
      <c r="O3015" s="34"/>
      <c r="AA3015" s="35"/>
      <c r="AB3015" s="35"/>
      <c r="AC3015" s="34"/>
      <c r="AD3015" s="34"/>
      <c r="AE3015" s="34"/>
    </row>
    <row r="3016" spans="1:31" ht="15" thickBot="1" x14ac:dyDescent="0.4">
      <c r="A3016" s="45"/>
      <c r="B3016" s="45"/>
      <c r="C3016" s="46"/>
      <c r="D3016" s="47"/>
      <c r="E3016" s="47"/>
      <c r="F3016" s="47"/>
      <c r="G3016" s="47"/>
      <c r="H3016" s="47"/>
      <c r="I3016" s="47"/>
      <c r="J3016" s="47"/>
      <c r="K3016" s="47"/>
      <c r="L3016" s="47"/>
      <c r="M3016" s="47"/>
      <c r="N3016" s="47"/>
      <c r="O3016" s="47"/>
      <c r="P3016" s="47"/>
      <c r="Q3016" s="47"/>
      <c r="R3016" s="47"/>
      <c r="S3016" s="47"/>
      <c r="T3016" s="45"/>
      <c r="U3016" s="45"/>
      <c r="V3016" s="45"/>
      <c r="W3016" s="45"/>
      <c r="X3016" s="47"/>
      <c r="Y3016" s="45"/>
      <c r="Z3016" s="45"/>
      <c r="AA3016" s="48"/>
      <c r="AB3016" s="48"/>
      <c r="AC3016" s="47"/>
      <c r="AD3016" s="47"/>
      <c r="AE3016" s="47"/>
    </row>
    <row r="3017" spans="1:31" x14ac:dyDescent="0.35">
      <c r="A3017" s="41"/>
      <c r="B3017" s="41"/>
      <c r="C3017" s="42"/>
      <c r="D3017" s="43"/>
      <c r="E3017" s="43"/>
      <c r="F3017" s="43"/>
      <c r="G3017" s="43"/>
      <c r="H3017" s="43"/>
      <c r="I3017" s="43"/>
      <c r="J3017" s="43"/>
      <c r="K3017" s="43"/>
      <c r="L3017" s="43"/>
      <c r="M3017" s="43"/>
      <c r="N3017" s="43"/>
      <c r="O3017" s="43"/>
      <c r="P3017" s="43"/>
      <c r="Q3017" s="43"/>
      <c r="R3017" s="43"/>
      <c r="S3017" s="43"/>
      <c r="T3017" s="43"/>
      <c r="U3017" s="43"/>
      <c r="V3017" s="41"/>
      <c r="W3017" s="41"/>
      <c r="X3017" s="41"/>
      <c r="Y3017" s="41"/>
      <c r="Z3017" s="41"/>
      <c r="AA3017" s="44"/>
      <c r="AB3017" s="44"/>
      <c r="AC3017" s="43"/>
      <c r="AD3017" s="43"/>
      <c r="AE3017" s="43"/>
    </row>
    <row r="3018" spans="1:31" x14ac:dyDescent="0.35">
      <c r="C3018" s="33"/>
      <c r="D3018" s="34"/>
      <c r="E3018" s="34"/>
      <c r="F3018" s="34"/>
      <c r="G3018" s="34"/>
      <c r="H3018" s="34"/>
      <c r="I3018" s="34"/>
      <c r="J3018" s="34"/>
      <c r="K3018" s="34"/>
      <c r="L3018" s="34"/>
      <c r="M3018" s="34"/>
      <c r="N3018" s="34"/>
      <c r="O3018" s="34"/>
      <c r="AA3018" s="35"/>
      <c r="AB3018" s="35"/>
      <c r="AC3018" s="34"/>
      <c r="AD3018" s="34"/>
      <c r="AE3018" s="34"/>
    </row>
    <row r="3019" spans="1:31" ht="15" thickBot="1" x14ac:dyDescent="0.4">
      <c r="A3019" s="45"/>
      <c r="B3019" s="45"/>
      <c r="C3019" s="46"/>
      <c r="D3019" s="47"/>
      <c r="E3019" s="47"/>
      <c r="F3019" s="47"/>
      <c r="G3019" s="47"/>
      <c r="H3019" s="47"/>
      <c r="I3019" s="47"/>
      <c r="J3019" s="47"/>
      <c r="K3019" s="47"/>
      <c r="L3019" s="47"/>
      <c r="M3019" s="47"/>
      <c r="N3019" s="47"/>
      <c r="O3019" s="47"/>
      <c r="P3019" s="47"/>
      <c r="Q3019" s="47"/>
      <c r="R3019" s="47"/>
      <c r="S3019" s="47"/>
      <c r="T3019" s="45"/>
      <c r="U3019" s="45"/>
      <c r="V3019" s="45"/>
      <c r="W3019" s="45"/>
      <c r="X3019" s="47"/>
      <c r="Y3019" s="45"/>
      <c r="Z3019" s="45"/>
      <c r="AA3019" s="48"/>
      <c r="AB3019" s="48"/>
      <c r="AC3019" s="47"/>
      <c r="AD3019" s="47"/>
      <c r="AE3019" s="47"/>
    </row>
    <row r="3020" spans="1:31" x14ac:dyDescent="0.35">
      <c r="A3020" s="41"/>
      <c r="B3020" s="41"/>
      <c r="C3020" s="42"/>
      <c r="D3020" s="43"/>
      <c r="E3020" s="43"/>
      <c r="F3020" s="43"/>
      <c r="G3020" s="43"/>
      <c r="H3020" s="43"/>
      <c r="I3020" s="43"/>
      <c r="J3020" s="43"/>
      <c r="K3020" s="43"/>
      <c r="L3020" s="43"/>
      <c r="M3020" s="43"/>
      <c r="N3020" s="43"/>
      <c r="O3020" s="43"/>
      <c r="P3020" s="43"/>
      <c r="Q3020" s="43"/>
      <c r="R3020" s="43"/>
      <c r="S3020" s="43"/>
      <c r="T3020" s="43"/>
      <c r="U3020" s="43"/>
      <c r="V3020" s="41"/>
      <c r="W3020" s="41"/>
      <c r="X3020" s="41"/>
      <c r="Y3020" s="41"/>
      <c r="Z3020" s="41"/>
      <c r="AA3020" s="44"/>
      <c r="AB3020" s="44"/>
      <c r="AC3020" s="43"/>
      <c r="AD3020" s="43"/>
      <c r="AE3020" s="43"/>
    </row>
    <row r="3021" spans="1:31" x14ac:dyDescent="0.35">
      <c r="C3021" s="33"/>
      <c r="D3021" s="34"/>
      <c r="E3021" s="34"/>
      <c r="F3021" s="34"/>
      <c r="G3021" s="34"/>
      <c r="H3021" s="34"/>
      <c r="I3021" s="34"/>
      <c r="J3021" s="34"/>
      <c r="K3021" s="34"/>
      <c r="L3021" s="34"/>
      <c r="M3021" s="34"/>
      <c r="N3021" s="34"/>
      <c r="O3021" s="34"/>
      <c r="AA3021" s="35"/>
      <c r="AB3021" s="35"/>
      <c r="AC3021" s="34"/>
      <c r="AD3021" s="34"/>
      <c r="AE3021" s="34"/>
    </row>
    <row r="3022" spans="1:31" ht="15" thickBot="1" x14ac:dyDescent="0.4">
      <c r="A3022" s="45"/>
      <c r="B3022" s="45"/>
      <c r="C3022" s="46"/>
      <c r="D3022" s="47"/>
      <c r="E3022" s="47"/>
      <c r="F3022" s="47"/>
      <c r="G3022" s="47"/>
      <c r="H3022" s="47"/>
      <c r="I3022" s="47"/>
      <c r="J3022" s="47"/>
      <c r="K3022" s="47"/>
      <c r="L3022" s="47"/>
      <c r="M3022" s="47"/>
      <c r="N3022" s="47"/>
      <c r="O3022" s="47"/>
      <c r="P3022" s="47"/>
      <c r="Q3022" s="47"/>
      <c r="R3022" s="47"/>
      <c r="S3022" s="47"/>
      <c r="T3022" s="45"/>
      <c r="U3022" s="45"/>
      <c r="V3022" s="45"/>
      <c r="W3022" s="45"/>
      <c r="X3022" s="47"/>
      <c r="Y3022" s="45"/>
      <c r="Z3022" s="45"/>
      <c r="AA3022" s="48"/>
      <c r="AB3022" s="48"/>
      <c r="AC3022" s="47"/>
      <c r="AD3022" s="47"/>
      <c r="AE3022" s="47"/>
    </row>
    <row r="3023" spans="1:31" x14ac:dyDescent="0.35">
      <c r="A3023" s="41"/>
      <c r="B3023" s="41"/>
      <c r="C3023" s="42"/>
      <c r="D3023" s="43"/>
      <c r="E3023" s="43"/>
      <c r="F3023" s="43"/>
      <c r="G3023" s="43"/>
      <c r="H3023" s="43"/>
      <c r="I3023" s="43"/>
      <c r="J3023" s="43"/>
      <c r="K3023" s="43"/>
      <c r="L3023" s="43"/>
      <c r="M3023" s="43"/>
      <c r="N3023" s="43"/>
      <c r="O3023" s="43"/>
      <c r="P3023" s="43"/>
      <c r="Q3023" s="43"/>
      <c r="R3023" s="43"/>
      <c r="S3023" s="43"/>
      <c r="T3023" s="43"/>
      <c r="U3023" s="43"/>
      <c r="V3023" s="41"/>
      <c r="W3023" s="41"/>
      <c r="X3023" s="41"/>
      <c r="Y3023" s="41"/>
      <c r="Z3023" s="41"/>
      <c r="AA3023" s="44"/>
      <c r="AB3023" s="44"/>
      <c r="AC3023" s="43"/>
      <c r="AD3023" s="43"/>
      <c r="AE3023" s="43"/>
    </row>
    <row r="3024" spans="1:31" x14ac:dyDescent="0.35">
      <c r="C3024" s="33"/>
      <c r="D3024" s="34"/>
      <c r="E3024" s="34"/>
      <c r="F3024" s="34"/>
      <c r="G3024" s="34"/>
      <c r="H3024" s="34"/>
      <c r="I3024" s="34"/>
      <c r="J3024" s="34"/>
      <c r="K3024" s="34"/>
      <c r="L3024" s="34"/>
      <c r="M3024" s="34"/>
      <c r="N3024" s="34"/>
      <c r="O3024" s="34"/>
      <c r="AA3024" s="35"/>
      <c r="AB3024" s="35"/>
      <c r="AC3024" s="34"/>
      <c r="AD3024" s="34"/>
      <c r="AE3024" s="34"/>
    </row>
    <row r="3025" spans="1:31" ht="15" thickBot="1" x14ac:dyDescent="0.4">
      <c r="A3025" s="45"/>
      <c r="B3025" s="45"/>
      <c r="C3025" s="46"/>
      <c r="D3025" s="47"/>
      <c r="E3025" s="47"/>
      <c r="F3025" s="47"/>
      <c r="G3025" s="47"/>
      <c r="H3025" s="47"/>
      <c r="I3025" s="47"/>
      <c r="J3025" s="47"/>
      <c r="K3025" s="47"/>
      <c r="L3025" s="47"/>
      <c r="M3025" s="47"/>
      <c r="N3025" s="47"/>
      <c r="O3025" s="47"/>
      <c r="P3025" s="47"/>
      <c r="Q3025" s="47"/>
      <c r="R3025" s="47"/>
      <c r="S3025" s="47"/>
      <c r="T3025" s="45"/>
      <c r="U3025" s="45"/>
      <c r="V3025" s="45"/>
      <c r="W3025" s="45"/>
      <c r="X3025" s="47"/>
      <c r="Y3025" s="45"/>
      <c r="Z3025" s="45"/>
      <c r="AA3025" s="48"/>
      <c r="AB3025" s="48"/>
      <c r="AC3025" s="47"/>
      <c r="AD3025" s="47"/>
      <c r="AE3025" s="47"/>
    </row>
    <row r="3026" spans="1:31" x14ac:dyDescent="0.35">
      <c r="A3026" s="41"/>
      <c r="B3026" s="41"/>
      <c r="C3026" s="42"/>
      <c r="D3026" s="43"/>
      <c r="E3026" s="43"/>
      <c r="F3026" s="43"/>
      <c r="G3026" s="43"/>
      <c r="H3026" s="43"/>
      <c r="I3026" s="43"/>
      <c r="J3026" s="43"/>
      <c r="K3026" s="43"/>
      <c r="L3026" s="43"/>
      <c r="M3026" s="43"/>
      <c r="N3026" s="43"/>
      <c r="O3026" s="43"/>
      <c r="P3026" s="43"/>
      <c r="Q3026" s="43"/>
      <c r="R3026" s="43"/>
      <c r="S3026" s="43"/>
      <c r="T3026" s="43"/>
      <c r="U3026" s="43"/>
      <c r="V3026" s="41"/>
      <c r="W3026" s="41"/>
      <c r="X3026" s="41"/>
      <c r="Y3026" s="41"/>
      <c r="Z3026" s="41"/>
      <c r="AA3026" s="44"/>
      <c r="AB3026" s="44"/>
      <c r="AC3026" s="43"/>
      <c r="AD3026" s="43"/>
      <c r="AE3026" s="43"/>
    </row>
    <row r="3027" spans="1:31" x14ac:dyDescent="0.35">
      <c r="C3027" s="33"/>
      <c r="D3027" s="34"/>
      <c r="E3027" s="34"/>
      <c r="F3027" s="34"/>
      <c r="G3027" s="34"/>
      <c r="H3027" s="34"/>
      <c r="I3027" s="34"/>
      <c r="J3027" s="34"/>
      <c r="K3027" s="34"/>
      <c r="L3027" s="34"/>
      <c r="M3027" s="34"/>
      <c r="N3027" s="34"/>
      <c r="O3027" s="34"/>
      <c r="AA3027" s="35"/>
      <c r="AB3027" s="35"/>
      <c r="AC3027" s="34"/>
      <c r="AD3027" s="34"/>
      <c r="AE3027" s="34"/>
    </row>
    <row r="3028" spans="1:31" ht="15" thickBot="1" x14ac:dyDescent="0.4">
      <c r="A3028" s="45"/>
      <c r="B3028" s="45"/>
      <c r="C3028" s="46"/>
      <c r="D3028" s="47"/>
      <c r="E3028" s="47"/>
      <c r="F3028" s="47"/>
      <c r="G3028" s="47"/>
      <c r="H3028" s="47"/>
      <c r="I3028" s="47"/>
      <c r="J3028" s="47"/>
      <c r="K3028" s="47"/>
      <c r="L3028" s="47"/>
      <c r="M3028" s="47"/>
      <c r="N3028" s="47"/>
      <c r="O3028" s="47"/>
      <c r="P3028" s="47"/>
      <c r="Q3028" s="47"/>
      <c r="R3028" s="47"/>
      <c r="S3028" s="47"/>
      <c r="T3028" s="45"/>
      <c r="U3028" s="45"/>
      <c r="V3028" s="45"/>
      <c r="W3028" s="45"/>
      <c r="X3028" s="47"/>
      <c r="Y3028" s="45"/>
      <c r="Z3028" s="45"/>
      <c r="AA3028" s="48"/>
      <c r="AB3028" s="48"/>
      <c r="AC3028" s="47"/>
      <c r="AD3028" s="47"/>
      <c r="AE3028" s="47"/>
    </row>
    <row r="3029" spans="1:31" x14ac:dyDescent="0.35">
      <c r="A3029" s="41"/>
      <c r="B3029" s="41"/>
      <c r="C3029" s="42"/>
      <c r="D3029" s="43"/>
      <c r="E3029" s="43"/>
      <c r="F3029" s="43"/>
      <c r="G3029" s="43"/>
      <c r="H3029" s="43"/>
      <c r="I3029" s="43"/>
      <c r="J3029" s="43"/>
      <c r="K3029" s="43"/>
      <c r="L3029" s="43"/>
      <c r="M3029" s="43"/>
      <c r="N3029" s="43"/>
      <c r="O3029" s="43"/>
      <c r="P3029" s="43"/>
      <c r="Q3029" s="43"/>
      <c r="R3029" s="43"/>
      <c r="S3029" s="43"/>
      <c r="T3029" s="43"/>
      <c r="U3029" s="43"/>
      <c r="V3029" s="41"/>
      <c r="W3029" s="41"/>
      <c r="X3029" s="41"/>
      <c r="Y3029" s="41"/>
      <c r="Z3029" s="41"/>
      <c r="AA3029" s="44"/>
      <c r="AB3029" s="44"/>
      <c r="AC3029" s="43"/>
      <c r="AD3029" s="43"/>
      <c r="AE3029" s="43"/>
    </row>
    <row r="3030" spans="1:31" x14ac:dyDescent="0.35">
      <c r="C3030" s="33"/>
      <c r="D3030" s="34"/>
      <c r="E3030" s="34"/>
      <c r="F3030" s="34"/>
      <c r="G3030" s="34"/>
      <c r="H3030" s="34"/>
      <c r="I3030" s="34"/>
      <c r="J3030" s="34"/>
      <c r="K3030" s="34"/>
      <c r="L3030" s="34"/>
      <c r="M3030" s="34"/>
      <c r="N3030" s="34"/>
      <c r="O3030" s="34"/>
      <c r="AA3030" s="35"/>
      <c r="AB3030" s="35"/>
      <c r="AC3030" s="34"/>
      <c r="AD3030" s="34"/>
      <c r="AE3030" s="34"/>
    </row>
    <row r="3031" spans="1:31" ht="15" thickBot="1" x14ac:dyDescent="0.4">
      <c r="A3031" s="45"/>
      <c r="B3031" s="45"/>
      <c r="C3031" s="46"/>
      <c r="D3031" s="47"/>
      <c r="E3031" s="47"/>
      <c r="F3031" s="47"/>
      <c r="G3031" s="47"/>
      <c r="H3031" s="47"/>
      <c r="I3031" s="47"/>
      <c r="J3031" s="47"/>
      <c r="K3031" s="47"/>
      <c r="L3031" s="47"/>
      <c r="M3031" s="47"/>
      <c r="N3031" s="47"/>
      <c r="O3031" s="47"/>
      <c r="P3031" s="47"/>
      <c r="Q3031" s="47"/>
      <c r="R3031" s="47"/>
      <c r="S3031" s="47"/>
      <c r="T3031" s="45"/>
      <c r="U3031" s="45"/>
      <c r="V3031" s="45"/>
      <c r="W3031" s="45"/>
      <c r="X3031" s="47"/>
      <c r="Y3031" s="45"/>
      <c r="Z3031" s="45"/>
      <c r="AA3031" s="48"/>
      <c r="AB3031" s="48"/>
      <c r="AC3031" s="47"/>
      <c r="AD3031" s="47"/>
      <c r="AE3031" s="47"/>
    </row>
    <row r="3032" spans="1:31" x14ac:dyDescent="0.35">
      <c r="A3032" s="41"/>
      <c r="B3032" s="41"/>
      <c r="C3032" s="42"/>
      <c r="D3032" s="43"/>
      <c r="E3032" s="43"/>
      <c r="F3032" s="43"/>
      <c r="G3032" s="43"/>
      <c r="H3032" s="43"/>
      <c r="I3032" s="43"/>
      <c r="J3032" s="43"/>
      <c r="K3032" s="43"/>
      <c r="L3032" s="43"/>
      <c r="M3032" s="43"/>
      <c r="N3032" s="43"/>
      <c r="O3032" s="43"/>
      <c r="P3032" s="43"/>
      <c r="Q3032" s="43"/>
      <c r="R3032" s="43"/>
      <c r="S3032" s="43"/>
      <c r="T3032" s="43"/>
      <c r="U3032" s="43"/>
      <c r="V3032" s="41"/>
      <c r="W3032" s="41"/>
      <c r="X3032" s="41"/>
      <c r="Y3032" s="41"/>
      <c r="Z3032" s="41"/>
      <c r="AA3032" s="44"/>
      <c r="AB3032" s="44"/>
      <c r="AC3032" s="43"/>
      <c r="AD3032" s="43"/>
      <c r="AE3032" s="43"/>
    </row>
    <row r="3033" spans="1:31" x14ac:dyDescent="0.35">
      <c r="C3033" s="33"/>
      <c r="D3033" s="34"/>
      <c r="E3033" s="34"/>
      <c r="F3033" s="34"/>
      <c r="G3033" s="34"/>
      <c r="H3033" s="34"/>
      <c r="I3033" s="34"/>
      <c r="J3033" s="34"/>
      <c r="K3033" s="34"/>
      <c r="L3033" s="34"/>
      <c r="M3033" s="34"/>
      <c r="N3033" s="34"/>
      <c r="O3033" s="34"/>
      <c r="AA3033" s="35"/>
      <c r="AB3033" s="35"/>
      <c r="AC3033" s="34"/>
      <c r="AD3033" s="34"/>
      <c r="AE3033" s="34"/>
    </row>
    <row r="3034" spans="1:31" ht="15" thickBot="1" x14ac:dyDescent="0.4">
      <c r="A3034" s="45"/>
      <c r="B3034" s="45"/>
      <c r="C3034" s="46"/>
      <c r="D3034" s="47"/>
      <c r="E3034" s="47"/>
      <c r="F3034" s="47"/>
      <c r="G3034" s="47"/>
      <c r="H3034" s="47"/>
      <c r="I3034" s="47"/>
      <c r="J3034" s="47"/>
      <c r="K3034" s="47"/>
      <c r="L3034" s="47"/>
      <c r="M3034" s="47"/>
      <c r="N3034" s="47"/>
      <c r="O3034" s="47"/>
      <c r="P3034" s="47"/>
      <c r="Q3034" s="47"/>
      <c r="R3034" s="47"/>
      <c r="S3034" s="47"/>
      <c r="T3034" s="45"/>
      <c r="U3034" s="45"/>
      <c r="V3034" s="45"/>
      <c r="W3034" s="45"/>
      <c r="X3034" s="47"/>
      <c r="Y3034" s="45"/>
      <c r="Z3034" s="45"/>
      <c r="AA3034" s="48"/>
      <c r="AB3034" s="48"/>
      <c r="AC3034" s="47"/>
      <c r="AD3034" s="47"/>
      <c r="AE3034" s="47"/>
    </row>
    <row r="3035" spans="1:31" x14ac:dyDescent="0.35">
      <c r="A3035" s="41"/>
      <c r="B3035" s="41"/>
      <c r="C3035" s="42"/>
      <c r="D3035" s="43"/>
      <c r="E3035" s="43"/>
      <c r="F3035" s="43"/>
      <c r="G3035" s="43"/>
      <c r="H3035" s="43"/>
      <c r="I3035" s="43"/>
      <c r="J3035" s="43"/>
      <c r="K3035" s="43"/>
      <c r="L3035" s="43"/>
      <c r="M3035" s="43"/>
      <c r="N3035" s="43"/>
      <c r="O3035" s="43"/>
      <c r="P3035" s="43"/>
      <c r="Q3035" s="43"/>
      <c r="R3035" s="43"/>
      <c r="S3035" s="43"/>
      <c r="T3035" s="43"/>
      <c r="U3035" s="43"/>
      <c r="V3035" s="41"/>
      <c r="W3035" s="41"/>
      <c r="X3035" s="41"/>
      <c r="Y3035" s="41"/>
      <c r="Z3035" s="41"/>
      <c r="AA3035" s="44"/>
      <c r="AB3035" s="44"/>
      <c r="AC3035" s="43"/>
      <c r="AD3035" s="43"/>
      <c r="AE3035" s="43"/>
    </row>
    <row r="3036" spans="1:31" x14ac:dyDescent="0.35">
      <c r="C3036" s="33"/>
      <c r="D3036" s="34"/>
      <c r="E3036" s="34"/>
      <c r="F3036" s="34"/>
      <c r="G3036" s="34"/>
      <c r="H3036" s="34"/>
      <c r="I3036" s="34"/>
      <c r="J3036" s="34"/>
      <c r="K3036" s="34"/>
      <c r="L3036" s="34"/>
      <c r="M3036" s="34"/>
      <c r="N3036" s="34"/>
      <c r="O3036" s="34"/>
      <c r="AA3036" s="35"/>
      <c r="AB3036" s="35"/>
      <c r="AC3036" s="34"/>
      <c r="AD3036" s="34"/>
      <c r="AE3036" s="34"/>
    </row>
    <row r="3037" spans="1:31" ht="15" thickBot="1" x14ac:dyDescent="0.4">
      <c r="A3037" s="45"/>
      <c r="B3037" s="45"/>
      <c r="C3037" s="46"/>
      <c r="D3037" s="47"/>
      <c r="E3037" s="47"/>
      <c r="F3037" s="47"/>
      <c r="G3037" s="47"/>
      <c r="H3037" s="47"/>
      <c r="I3037" s="47"/>
      <c r="J3037" s="47"/>
      <c r="K3037" s="47"/>
      <c r="L3037" s="47"/>
      <c r="M3037" s="47"/>
      <c r="N3037" s="47"/>
      <c r="O3037" s="47"/>
      <c r="P3037" s="47"/>
      <c r="Q3037" s="47"/>
      <c r="R3037" s="47"/>
      <c r="S3037" s="47"/>
      <c r="T3037" s="45"/>
      <c r="U3037" s="45"/>
      <c r="V3037" s="45"/>
      <c r="W3037" s="45"/>
      <c r="X3037" s="47"/>
      <c r="Y3037" s="45"/>
      <c r="Z3037" s="45"/>
      <c r="AA3037" s="48"/>
      <c r="AB3037" s="48"/>
      <c r="AC3037" s="47"/>
      <c r="AD3037" s="47"/>
      <c r="AE3037" s="47"/>
    </row>
    <row r="3038" spans="1:31" x14ac:dyDescent="0.35">
      <c r="A3038" s="41"/>
      <c r="B3038" s="41"/>
      <c r="C3038" s="42"/>
      <c r="D3038" s="43"/>
      <c r="E3038" s="43"/>
      <c r="F3038" s="43"/>
      <c r="G3038" s="43"/>
      <c r="H3038" s="43"/>
      <c r="I3038" s="43"/>
      <c r="J3038" s="43"/>
      <c r="K3038" s="43"/>
      <c r="L3038" s="43"/>
      <c r="M3038" s="43"/>
      <c r="N3038" s="43"/>
      <c r="O3038" s="43"/>
      <c r="P3038" s="43"/>
      <c r="Q3038" s="43"/>
      <c r="R3038" s="43"/>
      <c r="S3038" s="43"/>
      <c r="T3038" s="43"/>
      <c r="U3038" s="43"/>
      <c r="V3038" s="41"/>
      <c r="W3038" s="41"/>
      <c r="X3038" s="41"/>
      <c r="Y3038" s="41"/>
      <c r="Z3038" s="41"/>
      <c r="AA3038" s="44"/>
      <c r="AB3038" s="44"/>
      <c r="AC3038" s="43"/>
      <c r="AD3038" s="43"/>
      <c r="AE3038" s="43"/>
    </row>
    <row r="3039" spans="1:31" x14ac:dyDescent="0.35">
      <c r="C3039" s="33"/>
      <c r="D3039" s="34"/>
      <c r="E3039" s="34"/>
      <c r="F3039" s="34"/>
      <c r="G3039" s="34"/>
      <c r="H3039" s="34"/>
      <c r="I3039" s="34"/>
      <c r="J3039" s="34"/>
      <c r="K3039" s="34"/>
      <c r="L3039" s="34"/>
      <c r="M3039" s="34"/>
      <c r="N3039" s="34"/>
      <c r="O3039" s="34"/>
      <c r="AA3039" s="35"/>
      <c r="AB3039" s="35"/>
      <c r="AC3039" s="34"/>
      <c r="AD3039" s="34"/>
      <c r="AE3039" s="34"/>
    </row>
    <row r="3040" spans="1:31" ht="15" thickBot="1" x14ac:dyDescent="0.4">
      <c r="A3040" s="45"/>
      <c r="B3040" s="45"/>
      <c r="C3040" s="46"/>
      <c r="D3040" s="47"/>
      <c r="E3040" s="47"/>
      <c r="F3040" s="47"/>
      <c r="G3040" s="47"/>
      <c r="H3040" s="47"/>
      <c r="I3040" s="47"/>
      <c r="J3040" s="47"/>
      <c r="K3040" s="47"/>
      <c r="L3040" s="47"/>
      <c r="M3040" s="47"/>
      <c r="N3040" s="47"/>
      <c r="O3040" s="47"/>
      <c r="P3040" s="47"/>
      <c r="Q3040" s="47"/>
      <c r="R3040" s="47"/>
      <c r="S3040" s="47"/>
      <c r="T3040" s="45"/>
      <c r="U3040" s="45"/>
      <c r="V3040" s="45"/>
      <c r="W3040" s="45"/>
      <c r="X3040" s="47"/>
      <c r="Y3040" s="45"/>
      <c r="Z3040" s="45"/>
      <c r="AA3040" s="48"/>
      <c r="AB3040" s="48"/>
      <c r="AC3040" s="47"/>
      <c r="AD3040" s="47"/>
      <c r="AE3040" s="47"/>
    </row>
    <row r="3041" spans="1:31" x14ac:dyDescent="0.35">
      <c r="A3041" s="41"/>
      <c r="B3041" s="41"/>
      <c r="C3041" s="42"/>
      <c r="D3041" s="43"/>
      <c r="E3041" s="43"/>
      <c r="F3041" s="43"/>
      <c r="G3041" s="43"/>
      <c r="H3041" s="43"/>
      <c r="I3041" s="43"/>
      <c r="J3041" s="43"/>
      <c r="K3041" s="43"/>
      <c r="L3041" s="43"/>
      <c r="M3041" s="43"/>
      <c r="N3041" s="43"/>
      <c r="O3041" s="43"/>
      <c r="P3041" s="43"/>
      <c r="Q3041" s="43"/>
      <c r="R3041" s="43"/>
      <c r="S3041" s="43"/>
      <c r="T3041" s="43"/>
      <c r="U3041" s="43"/>
      <c r="V3041" s="41"/>
      <c r="W3041" s="41"/>
      <c r="X3041" s="41"/>
      <c r="Y3041" s="41"/>
      <c r="Z3041" s="41"/>
      <c r="AA3041" s="44"/>
      <c r="AB3041" s="44"/>
      <c r="AC3041" s="43"/>
      <c r="AD3041" s="43"/>
      <c r="AE3041" s="43"/>
    </row>
    <row r="3042" spans="1:31" x14ac:dyDescent="0.35">
      <c r="C3042" s="33"/>
      <c r="D3042" s="34"/>
      <c r="E3042" s="34"/>
      <c r="F3042" s="34"/>
      <c r="G3042" s="34"/>
      <c r="H3042" s="34"/>
      <c r="I3042" s="34"/>
      <c r="J3042" s="34"/>
      <c r="K3042" s="34"/>
      <c r="L3042" s="34"/>
      <c r="M3042" s="34"/>
      <c r="N3042" s="34"/>
      <c r="O3042" s="34"/>
      <c r="AA3042" s="35"/>
      <c r="AB3042" s="35"/>
      <c r="AC3042" s="34"/>
      <c r="AD3042" s="34"/>
      <c r="AE3042" s="34"/>
    </row>
    <row r="3043" spans="1:31" ht="15" thickBot="1" x14ac:dyDescent="0.4">
      <c r="A3043" s="45"/>
      <c r="B3043" s="45"/>
      <c r="C3043" s="46"/>
      <c r="D3043" s="47"/>
      <c r="E3043" s="47"/>
      <c r="F3043" s="47"/>
      <c r="G3043" s="47"/>
      <c r="H3043" s="47"/>
      <c r="I3043" s="47"/>
      <c r="J3043" s="47"/>
      <c r="K3043" s="47"/>
      <c r="L3043" s="47"/>
      <c r="M3043" s="47"/>
      <c r="N3043" s="47"/>
      <c r="O3043" s="47"/>
      <c r="P3043" s="47"/>
      <c r="Q3043" s="47"/>
      <c r="R3043" s="47"/>
      <c r="S3043" s="47"/>
      <c r="T3043" s="45"/>
      <c r="U3043" s="45"/>
      <c r="V3043" s="45"/>
      <c r="W3043" s="45"/>
      <c r="X3043" s="47"/>
      <c r="Y3043" s="45"/>
      <c r="Z3043" s="45"/>
      <c r="AA3043" s="48"/>
      <c r="AB3043" s="48"/>
      <c r="AC3043" s="47"/>
      <c r="AD3043" s="47"/>
      <c r="AE3043" s="47"/>
    </row>
    <row r="3044" spans="1:31" x14ac:dyDescent="0.35">
      <c r="A3044" s="41"/>
      <c r="B3044" s="41"/>
      <c r="C3044" s="42"/>
      <c r="D3044" s="43"/>
      <c r="E3044" s="43"/>
      <c r="F3044" s="43"/>
      <c r="G3044" s="43"/>
      <c r="H3044" s="43"/>
      <c r="I3044" s="43"/>
      <c r="J3044" s="43"/>
      <c r="K3044" s="43"/>
      <c r="L3044" s="43"/>
      <c r="M3044" s="43"/>
      <c r="N3044" s="43"/>
      <c r="O3044" s="43"/>
      <c r="P3044" s="43"/>
      <c r="Q3044" s="43"/>
      <c r="R3044" s="43"/>
      <c r="S3044" s="43"/>
      <c r="T3044" s="43"/>
      <c r="U3044" s="43"/>
      <c r="V3044" s="41"/>
      <c r="W3044" s="41"/>
      <c r="X3044" s="41"/>
      <c r="Y3044" s="41"/>
      <c r="Z3044" s="41"/>
      <c r="AA3044" s="44"/>
      <c r="AB3044" s="44"/>
      <c r="AC3044" s="43"/>
      <c r="AD3044" s="43"/>
      <c r="AE3044" s="43"/>
    </row>
    <row r="3045" spans="1:31" x14ac:dyDescent="0.35">
      <c r="C3045" s="33"/>
      <c r="D3045" s="34"/>
      <c r="E3045" s="34"/>
      <c r="F3045" s="34"/>
      <c r="G3045" s="34"/>
      <c r="H3045" s="34"/>
      <c r="I3045" s="34"/>
      <c r="J3045" s="34"/>
      <c r="K3045" s="34"/>
      <c r="L3045" s="34"/>
      <c r="M3045" s="34"/>
      <c r="N3045" s="34"/>
      <c r="O3045" s="34"/>
      <c r="AA3045" s="35"/>
      <c r="AB3045" s="35"/>
      <c r="AC3045" s="34"/>
      <c r="AD3045" s="34"/>
      <c r="AE3045" s="34"/>
    </row>
    <row r="3046" spans="1:31" ht="15" thickBot="1" x14ac:dyDescent="0.4">
      <c r="A3046" s="45"/>
      <c r="B3046" s="45"/>
      <c r="C3046" s="46"/>
      <c r="D3046" s="47"/>
      <c r="E3046" s="47"/>
      <c r="F3046" s="47"/>
      <c r="G3046" s="47"/>
      <c r="H3046" s="47"/>
      <c r="I3046" s="47"/>
      <c r="J3046" s="47"/>
      <c r="K3046" s="47"/>
      <c r="L3046" s="47"/>
      <c r="M3046" s="47"/>
      <c r="N3046" s="47"/>
      <c r="O3046" s="47"/>
      <c r="P3046" s="47"/>
      <c r="Q3046" s="47"/>
      <c r="R3046" s="47"/>
      <c r="S3046" s="47"/>
      <c r="T3046" s="45"/>
      <c r="U3046" s="45"/>
      <c r="V3046" s="45"/>
      <c r="W3046" s="45"/>
      <c r="X3046" s="47"/>
      <c r="Y3046" s="45"/>
      <c r="Z3046" s="45"/>
      <c r="AA3046" s="48"/>
      <c r="AB3046" s="48"/>
      <c r="AC3046" s="47"/>
      <c r="AD3046" s="47"/>
      <c r="AE3046" s="47"/>
    </row>
    <row r="3047" spans="1:31" x14ac:dyDescent="0.35">
      <c r="A3047" s="41"/>
      <c r="B3047" s="41"/>
      <c r="C3047" s="42"/>
      <c r="D3047" s="43"/>
      <c r="E3047" s="43"/>
      <c r="F3047" s="43"/>
      <c r="G3047" s="43"/>
      <c r="H3047" s="43"/>
      <c r="I3047" s="43"/>
      <c r="J3047" s="43"/>
      <c r="K3047" s="43"/>
      <c r="L3047" s="43"/>
      <c r="M3047" s="43"/>
      <c r="N3047" s="43"/>
      <c r="O3047" s="43"/>
      <c r="P3047" s="43"/>
      <c r="Q3047" s="43"/>
      <c r="R3047" s="43"/>
      <c r="S3047" s="43"/>
      <c r="T3047" s="43"/>
      <c r="U3047" s="43"/>
      <c r="V3047" s="41"/>
      <c r="W3047" s="41"/>
      <c r="X3047" s="41"/>
      <c r="Y3047" s="41"/>
      <c r="Z3047" s="41"/>
      <c r="AA3047" s="44"/>
      <c r="AB3047" s="44"/>
      <c r="AC3047" s="43"/>
      <c r="AD3047" s="43"/>
      <c r="AE3047" s="43"/>
    </row>
    <row r="3048" spans="1:31" x14ac:dyDescent="0.35">
      <c r="C3048" s="33"/>
      <c r="D3048" s="34"/>
      <c r="E3048" s="34"/>
      <c r="F3048" s="34"/>
      <c r="G3048" s="34"/>
      <c r="H3048" s="34"/>
      <c r="I3048" s="34"/>
      <c r="J3048" s="34"/>
      <c r="K3048" s="34"/>
      <c r="L3048" s="34"/>
      <c r="M3048" s="34"/>
      <c r="N3048" s="34"/>
      <c r="O3048" s="34"/>
      <c r="AA3048" s="35"/>
      <c r="AB3048" s="35"/>
      <c r="AC3048" s="34"/>
      <c r="AD3048" s="34"/>
      <c r="AE3048" s="34"/>
    </row>
    <row r="3049" spans="1:31" ht="15" thickBot="1" x14ac:dyDescent="0.4">
      <c r="A3049" s="45"/>
      <c r="B3049" s="45"/>
      <c r="C3049" s="46"/>
      <c r="D3049" s="47"/>
      <c r="E3049" s="47"/>
      <c r="F3049" s="47"/>
      <c r="G3049" s="47"/>
      <c r="H3049" s="47"/>
      <c r="I3049" s="47"/>
      <c r="J3049" s="47"/>
      <c r="K3049" s="47"/>
      <c r="L3049" s="47"/>
      <c r="M3049" s="47"/>
      <c r="N3049" s="47"/>
      <c r="O3049" s="47"/>
      <c r="P3049" s="47"/>
      <c r="Q3049" s="47"/>
      <c r="R3049" s="47"/>
      <c r="S3049" s="47"/>
      <c r="T3049" s="45"/>
      <c r="U3049" s="45"/>
      <c r="V3049" s="45"/>
      <c r="W3049" s="45"/>
      <c r="X3049" s="47"/>
      <c r="Y3049" s="45"/>
      <c r="Z3049" s="45"/>
      <c r="AA3049" s="48"/>
      <c r="AB3049" s="48"/>
      <c r="AC3049" s="47"/>
      <c r="AD3049" s="47"/>
      <c r="AE3049" s="47"/>
    </row>
    <row r="3050" spans="1:31" x14ac:dyDescent="0.35">
      <c r="A3050" s="41"/>
      <c r="B3050" s="41"/>
      <c r="C3050" s="42"/>
      <c r="D3050" s="43"/>
      <c r="E3050" s="43"/>
      <c r="F3050" s="43"/>
      <c r="G3050" s="43"/>
      <c r="H3050" s="43"/>
      <c r="I3050" s="43"/>
      <c r="J3050" s="43"/>
      <c r="K3050" s="43"/>
      <c r="L3050" s="43"/>
      <c r="M3050" s="43"/>
      <c r="N3050" s="43"/>
      <c r="O3050" s="43"/>
      <c r="P3050" s="43"/>
      <c r="Q3050" s="43"/>
      <c r="R3050" s="43"/>
      <c r="S3050" s="43"/>
      <c r="T3050" s="43"/>
      <c r="U3050" s="43"/>
      <c r="V3050" s="41"/>
      <c r="W3050" s="41"/>
      <c r="X3050" s="41"/>
      <c r="Y3050" s="41"/>
      <c r="Z3050" s="41"/>
      <c r="AA3050" s="44"/>
      <c r="AB3050" s="44"/>
      <c r="AC3050" s="43"/>
      <c r="AD3050" s="43"/>
      <c r="AE3050" s="43"/>
    </row>
    <row r="3051" spans="1:31" x14ac:dyDescent="0.35">
      <c r="C3051" s="33"/>
      <c r="D3051" s="34"/>
      <c r="E3051" s="34"/>
      <c r="F3051" s="34"/>
      <c r="G3051" s="34"/>
      <c r="H3051" s="34"/>
      <c r="I3051" s="34"/>
      <c r="J3051" s="34"/>
      <c r="K3051" s="34"/>
      <c r="L3051" s="34"/>
      <c r="M3051" s="34"/>
      <c r="N3051" s="34"/>
      <c r="O3051" s="34"/>
      <c r="AA3051" s="35"/>
      <c r="AB3051" s="35"/>
      <c r="AC3051" s="34"/>
      <c r="AD3051" s="34"/>
      <c r="AE3051" s="34"/>
    </row>
    <row r="3052" spans="1:31" ht="15" thickBot="1" x14ac:dyDescent="0.4">
      <c r="A3052" s="45"/>
      <c r="B3052" s="45"/>
      <c r="C3052" s="46"/>
      <c r="D3052" s="47"/>
      <c r="E3052" s="47"/>
      <c r="F3052" s="47"/>
      <c r="G3052" s="47"/>
      <c r="H3052" s="47"/>
      <c r="I3052" s="47"/>
      <c r="J3052" s="47"/>
      <c r="K3052" s="47"/>
      <c r="L3052" s="47"/>
      <c r="M3052" s="47"/>
      <c r="N3052" s="47"/>
      <c r="O3052" s="47"/>
      <c r="P3052" s="47"/>
      <c r="Q3052" s="47"/>
      <c r="R3052" s="47"/>
      <c r="S3052" s="47"/>
      <c r="T3052" s="45"/>
      <c r="U3052" s="45"/>
      <c r="V3052" s="45"/>
      <c r="W3052" s="45"/>
      <c r="X3052" s="47"/>
      <c r="Y3052" s="45"/>
      <c r="Z3052" s="45"/>
      <c r="AA3052" s="48"/>
      <c r="AB3052" s="48"/>
      <c r="AC3052" s="47"/>
      <c r="AD3052" s="47"/>
      <c r="AE3052" s="47"/>
    </row>
    <row r="3053" spans="1:31" x14ac:dyDescent="0.35">
      <c r="A3053" s="41"/>
      <c r="B3053" s="41"/>
      <c r="C3053" s="42"/>
      <c r="D3053" s="43"/>
      <c r="E3053" s="43"/>
      <c r="F3053" s="43"/>
      <c r="G3053" s="43"/>
      <c r="H3053" s="43"/>
      <c r="I3053" s="43"/>
      <c r="J3053" s="43"/>
      <c r="K3053" s="43"/>
      <c r="L3053" s="43"/>
      <c r="M3053" s="43"/>
      <c r="N3053" s="43"/>
      <c r="O3053" s="43"/>
      <c r="P3053" s="43"/>
      <c r="Q3053" s="43"/>
      <c r="R3053" s="43"/>
      <c r="S3053" s="43"/>
      <c r="T3053" s="43"/>
      <c r="U3053" s="43"/>
      <c r="V3053" s="41"/>
      <c r="W3053" s="41"/>
      <c r="X3053" s="41"/>
      <c r="Y3053" s="41"/>
      <c r="Z3053" s="41"/>
      <c r="AA3053" s="44"/>
      <c r="AB3053" s="44"/>
      <c r="AC3053" s="43"/>
      <c r="AD3053" s="43"/>
      <c r="AE3053" s="43"/>
    </row>
    <row r="3054" spans="1:31" x14ac:dyDescent="0.35">
      <c r="C3054" s="33"/>
      <c r="D3054" s="34"/>
      <c r="E3054" s="34"/>
      <c r="F3054" s="34"/>
      <c r="G3054" s="34"/>
      <c r="H3054" s="34"/>
      <c r="I3054" s="34"/>
      <c r="J3054" s="34"/>
      <c r="K3054" s="34"/>
      <c r="L3054" s="34"/>
      <c r="M3054" s="34"/>
      <c r="N3054" s="34"/>
      <c r="O3054" s="34"/>
      <c r="AA3054" s="35"/>
      <c r="AB3054" s="35"/>
      <c r="AC3054" s="34"/>
      <c r="AD3054" s="34"/>
      <c r="AE3054" s="34"/>
    </row>
    <row r="3055" spans="1:31" ht="15" thickBot="1" x14ac:dyDescent="0.4">
      <c r="A3055" s="45"/>
      <c r="B3055" s="45"/>
      <c r="C3055" s="46"/>
      <c r="D3055" s="47"/>
      <c r="E3055" s="47"/>
      <c r="F3055" s="47"/>
      <c r="G3055" s="47"/>
      <c r="H3055" s="47"/>
      <c r="I3055" s="47"/>
      <c r="J3055" s="47"/>
      <c r="K3055" s="47"/>
      <c r="L3055" s="47"/>
      <c r="M3055" s="47"/>
      <c r="N3055" s="47"/>
      <c r="O3055" s="47"/>
      <c r="P3055" s="47"/>
      <c r="Q3055" s="47"/>
      <c r="R3055" s="47"/>
      <c r="S3055" s="47"/>
      <c r="T3055" s="45"/>
      <c r="U3055" s="45"/>
      <c r="V3055" s="45"/>
      <c r="W3055" s="45"/>
      <c r="X3055" s="47"/>
      <c r="Y3055" s="45"/>
      <c r="Z3055" s="45"/>
      <c r="AA3055" s="48"/>
      <c r="AB3055" s="48"/>
      <c r="AC3055" s="47"/>
      <c r="AD3055" s="47"/>
      <c r="AE3055" s="47"/>
    </row>
    <row r="3056" spans="1:31" x14ac:dyDescent="0.35">
      <c r="A3056" s="41"/>
      <c r="B3056" s="41"/>
      <c r="C3056" s="42"/>
      <c r="D3056" s="43"/>
      <c r="E3056" s="43"/>
      <c r="F3056" s="43"/>
      <c r="G3056" s="43"/>
      <c r="H3056" s="43"/>
      <c r="I3056" s="43"/>
      <c r="J3056" s="43"/>
      <c r="K3056" s="43"/>
      <c r="L3056" s="43"/>
      <c r="M3056" s="43"/>
      <c r="N3056" s="43"/>
      <c r="O3056" s="43"/>
      <c r="P3056" s="43"/>
      <c r="Q3056" s="43"/>
      <c r="R3056" s="43"/>
      <c r="S3056" s="43"/>
      <c r="T3056" s="43"/>
      <c r="U3056" s="43"/>
      <c r="V3056" s="41"/>
      <c r="W3056" s="41"/>
      <c r="X3056" s="41"/>
      <c r="Y3056" s="41"/>
      <c r="Z3056" s="41"/>
      <c r="AA3056" s="44"/>
      <c r="AB3056" s="44"/>
      <c r="AC3056" s="43"/>
      <c r="AD3056" s="43"/>
      <c r="AE3056" s="43"/>
    </row>
    <row r="3057" spans="1:31" x14ac:dyDescent="0.35">
      <c r="C3057" s="33"/>
      <c r="D3057" s="34"/>
      <c r="E3057" s="34"/>
      <c r="F3057" s="34"/>
      <c r="G3057" s="34"/>
      <c r="H3057" s="34"/>
      <c r="I3057" s="34"/>
      <c r="J3057" s="34"/>
      <c r="K3057" s="34"/>
      <c r="L3057" s="34"/>
      <c r="M3057" s="34"/>
      <c r="N3057" s="34"/>
      <c r="O3057" s="34"/>
      <c r="AA3057" s="35"/>
      <c r="AB3057" s="35"/>
      <c r="AC3057" s="34"/>
      <c r="AD3057" s="34"/>
      <c r="AE3057" s="34"/>
    </row>
    <row r="3058" spans="1:31" ht="15" thickBot="1" x14ac:dyDescent="0.4">
      <c r="A3058" s="45"/>
      <c r="B3058" s="45"/>
      <c r="C3058" s="46"/>
      <c r="D3058" s="47"/>
      <c r="E3058" s="47"/>
      <c r="F3058" s="47"/>
      <c r="G3058" s="47"/>
      <c r="H3058" s="47"/>
      <c r="I3058" s="47"/>
      <c r="J3058" s="47"/>
      <c r="K3058" s="47"/>
      <c r="L3058" s="47"/>
      <c r="M3058" s="47"/>
      <c r="N3058" s="47"/>
      <c r="O3058" s="47"/>
      <c r="P3058" s="47"/>
      <c r="Q3058" s="47"/>
      <c r="R3058" s="47"/>
      <c r="S3058" s="47"/>
      <c r="T3058" s="45"/>
      <c r="U3058" s="45"/>
      <c r="V3058" s="45"/>
      <c r="W3058" s="45"/>
      <c r="X3058" s="47"/>
      <c r="Y3058" s="45"/>
      <c r="Z3058" s="45"/>
      <c r="AA3058" s="48"/>
      <c r="AB3058" s="48"/>
      <c r="AC3058" s="47"/>
      <c r="AD3058" s="47"/>
      <c r="AE3058" s="47"/>
    </row>
    <row r="3059" spans="1:31" x14ac:dyDescent="0.35">
      <c r="A3059" s="41"/>
      <c r="B3059" s="41"/>
      <c r="C3059" s="42"/>
      <c r="D3059" s="43"/>
      <c r="E3059" s="43"/>
      <c r="F3059" s="43"/>
      <c r="G3059" s="43"/>
      <c r="H3059" s="43"/>
      <c r="I3059" s="43"/>
      <c r="J3059" s="43"/>
      <c r="K3059" s="43"/>
      <c r="L3059" s="43"/>
      <c r="M3059" s="43"/>
      <c r="N3059" s="43"/>
      <c r="O3059" s="43"/>
      <c r="P3059" s="43"/>
      <c r="Q3059" s="43"/>
      <c r="R3059" s="43"/>
      <c r="S3059" s="43"/>
      <c r="T3059" s="43"/>
      <c r="U3059" s="43"/>
      <c r="V3059" s="41"/>
      <c r="W3059" s="41"/>
      <c r="X3059" s="41"/>
      <c r="Y3059" s="41"/>
      <c r="Z3059" s="41"/>
      <c r="AA3059" s="44"/>
      <c r="AB3059" s="44"/>
      <c r="AC3059" s="43"/>
      <c r="AD3059" s="43"/>
      <c r="AE3059" s="43"/>
    </row>
    <row r="3060" spans="1:31" x14ac:dyDescent="0.35">
      <c r="C3060" s="33"/>
      <c r="D3060" s="34"/>
      <c r="E3060" s="34"/>
      <c r="F3060" s="34"/>
      <c r="G3060" s="34"/>
      <c r="H3060" s="34"/>
      <c r="I3060" s="34"/>
      <c r="J3060" s="34"/>
      <c r="K3060" s="34"/>
      <c r="L3060" s="34"/>
      <c r="M3060" s="34"/>
      <c r="N3060" s="34"/>
      <c r="O3060" s="34"/>
      <c r="AA3060" s="35"/>
      <c r="AB3060" s="35"/>
      <c r="AC3060" s="34"/>
      <c r="AD3060" s="34"/>
      <c r="AE3060" s="34"/>
    </row>
    <row r="3061" spans="1:31" ht="15" thickBot="1" x14ac:dyDescent="0.4">
      <c r="A3061" s="45"/>
      <c r="B3061" s="45"/>
      <c r="C3061" s="46"/>
      <c r="D3061" s="47"/>
      <c r="E3061" s="47"/>
      <c r="F3061" s="47"/>
      <c r="G3061" s="47"/>
      <c r="H3061" s="47"/>
      <c r="I3061" s="47"/>
      <c r="J3061" s="47"/>
      <c r="K3061" s="47"/>
      <c r="L3061" s="47"/>
      <c r="M3061" s="47"/>
      <c r="N3061" s="47"/>
      <c r="O3061" s="47"/>
      <c r="P3061" s="47"/>
      <c r="Q3061" s="47"/>
      <c r="R3061" s="47"/>
      <c r="S3061" s="47"/>
      <c r="T3061" s="45"/>
      <c r="U3061" s="45"/>
      <c r="V3061" s="45"/>
      <c r="W3061" s="45"/>
      <c r="X3061" s="47"/>
      <c r="Y3061" s="45"/>
      <c r="Z3061" s="45"/>
      <c r="AA3061" s="48"/>
      <c r="AB3061" s="48"/>
      <c r="AC3061" s="47"/>
      <c r="AD3061" s="47"/>
      <c r="AE3061" s="47"/>
    </row>
    <row r="3062" spans="1:31" x14ac:dyDescent="0.35">
      <c r="A3062" s="41"/>
      <c r="B3062" s="41"/>
      <c r="C3062" s="42"/>
      <c r="D3062" s="43"/>
      <c r="E3062" s="43"/>
      <c r="F3062" s="43"/>
      <c r="G3062" s="43"/>
      <c r="H3062" s="43"/>
      <c r="I3062" s="43"/>
      <c r="J3062" s="43"/>
      <c r="K3062" s="43"/>
      <c r="L3062" s="43"/>
      <c r="M3062" s="43"/>
      <c r="N3062" s="43"/>
      <c r="O3062" s="43"/>
      <c r="P3062" s="43"/>
      <c r="Q3062" s="43"/>
      <c r="R3062" s="43"/>
      <c r="S3062" s="43"/>
      <c r="T3062" s="43"/>
      <c r="U3062" s="43"/>
      <c r="V3062" s="41"/>
      <c r="W3062" s="41"/>
      <c r="X3062" s="41"/>
      <c r="Y3062" s="41"/>
      <c r="Z3062" s="41"/>
      <c r="AA3062" s="44"/>
      <c r="AB3062" s="44"/>
      <c r="AC3062" s="43"/>
      <c r="AD3062" s="43"/>
      <c r="AE3062" s="43"/>
    </row>
    <row r="3063" spans="1:31" x14ac:dyDescent="0.35">
      <c r="C3063" s="33"/>
      <c r="D3063" s="34"/>
      <c r="E3063" s="34"/>
      <c r="F3063" s="34"/>
      <c r="G3063" s="34"/>
      <c r="H3063" s="34"/>
      <c r="I3063" s="34"/>
      <c r="J3063" s="34"/>
      <c r="K3063" s="34"/>
      <c r="L3063" s="34"/>
      <c r="M3063" s="34"/>
      <c r="N3063" s="34"/>
      <c r="O3063" s="34"/>
      <c r="AA3063" s="35"/>
      <c r="AB3063" s="35"/>
      <c r="AC3063" s="34"/>
      <c r="AD3063" s="34"/>
      <c r="AE3063" s="34"/>
    </row>
    <row r="3064" spans="1:31" ht="15" thickBot="1" x14ac:dyDescent="0.4">
      <c r="A3064" s="45"/>
      <c r="B3064" s="45"/>
      <c r="C3064" s="46"/>
      <c r="D3064" s="47"/>
      <c r="E3064" s="47"/>
      <c r="F3064" s="47"/>
      <c r="G3064" s="47"/>
      <c r="H3064" s="47"/>
      <c r="I3064" s="47"/>
      <c r="J3064" s="47"/>
      <c r="K3064" s="47"/>
      <c r="L3064" s="47"/>
      <c r="M3064" s="47"/>
      <c r="N3064" s="47"/>
      <c r="O3064" s="47"/>
      <c r="P3064" s="47"/>
      <c r="Q3064" s="47"/>
      <c r="R3064" s="47"/>
      <c r="S3064" s="47"/>
      <c r="T3064" s="45"/>
      <c r="U3064" s="45"/>
      <c r="V3064" s="45"/>
      <c r="W3064" s="45"/>
      <c r="X3064" s="47"/>
      <c r="Y3064" s="45"/>
      <c r="Z3064" s="45"/>
      <c r="AA3064" s="48"/>
      <c r="AB3064" s="48"/>
      <c r="AC3064" s="47"/>
      <c r="AD3064" s="47"/>
      <c r="AE3064" s="47"/>
    </row>
    <row r="3065" spans="1:31" x14ac:dyDescent="0.35">
      <c r="A3065" s="41"/>
      <c r="B3065" s="41"/>
      <c r="C3065" s="42"/>
      <c r="D3065" s="43"/>
      <c r="E3065" s="43"/>
      <c r="F3065" s="43"/>
      <c r="G3065" s="43"/>
      <c r="H3065" s="43"/>
      <c r="I3065" s="43"/>
      <c r="J3065" s="43"/>
      <c r="K3065" s="43"/>
      <c r="L3065" s="43"/>
      <c r="M3065" s="43"/>
      <c r="N3065" s="43"/>
      <c r="O3065" s="43"/>
      <c r="P3065" s="43"/>
      <c r="Q3065" s="43"/>
      <c r="R3065" s="43"/>
      <c r="S3065" s="43"/>
      <c r="T3065" s="43"/>
      <c r="U3065" s="43"/>
      <c r="V3065" s="41"/>
      <c r="W3065" s="41"/>
      <c r="X3065" s="41"/>
      <c r="Y3065" s="41"/>
      <c r="Z3065" s="41"/>
      <c r="AA3065" s="44"/>
      <c r="AB3065" s="44"/>
      <c r="AC3065" s="43"/>
      <c r="AD3065" s="43"/>
      <c r="AE3065" s="43"/>
    </row>
    <row r="3066" spans="1:31" x14ac:dyDescent="0.35">
      <c r="C3066" s="33"/>
      <c r="D3066" s="34"/>
      <c r="E3066" s="34"/>
      <c r="F3066" s="34"/>
      <c r="G3066" s="34"/>
      <c r="H3066" s="34"/>
      <c r="I3066" s="34"/>
      <c r="J3066" s="34"/>
      <c r="K3066" s="34"/>
      <c r="L3066" s="34"/>
      <c r="M3066" s="34"/>
      <c r="N3066" s="34"/>
      <c r="O3066" s="34"/>
      <c r="AA3066" s="35"/>
      <c r="AB3066" s="35"/>
      <c r="AC3066" s="34"/>
      <c r="AD3066" s="34"/>
      <c r="AE3066" s="34"/>
    </row>
    <row r="3067" spans="1:31" ht="15" thickBot="1" x14ac:dyDescent="0.4">
      <c r="A3067" s="45"/>
      <c r="B3067" s="45"/>
      <c r="C3067" s="46"/>
      <c r="D3067" s="47"/>
      <c r="E3067" s="47"/>
      <c r="F3067" s="47"/>
      <c r="G3067" s="47"/>
      <c r="H3067" s="47"/>
      <c r="I3067" s="47"/>
      <c r="J3067" s="47"/>
      <c r="K3067" s="47"/>
      <c r="L3067" s="47"/>
      <c r="M3067" s="47"/>
      <c r="N3067" s="47"/>
      <c r="O3067" s="47"/>
      <c r="P3067" s="47"/>
      <c r="Q3067" s="47"/>
      <c r="R3067" s="47"/>
      <c r="S3067" s="47"/>
      <c r="T3067" s="45"/>
      <c r="U3067" s="45"/>
      <c r="V3067" s="45"/>
      <c r="W3067" s="45"/>
      <c r="X3067" s="47"/>
      <c r="Y3067" s="45"/>
      <c r="Z3067" s="45"/>
      <c r="AA3067" s="48"/>
      <c r="AB3067" s="48"/>
      <c r="AC3067" s="47"/>
      <c r="AD3067" s="47"/>
      <c r="AE3067" s="47"/>
    </row>
    <row r="3068" spans="1:31" x14ac:dyDescent="0.35">
      <c r="A3068" s="41"/>
      <c r="B3068" s="41"/>
      <c r="C3068" s="42"/>
      <c r="D3068" s="43"/>
      <c r="E3068" s="43"/>
      <c r="F3068" s="43"/>
      <c r="G3068" s="43"/>
      <c r="H3068" s="43"/>
      <c r="I3068" s="43"/>
      <c r="J3068" s="43"/>
      <c r="K3068" s="43"/>
      <c r="L3068" s="43"/>
      <c r="M3068" s="43"/>
      <c r="N3068" s="43"/>
      <c r="O3068" s="43"/>
      <c r="P3068" s="43"/>
      <c r="Q3068" s="43"/>
      <c r="R3068" s="43"/>
      <c r="S3068" s="43"/>
      <c r="T3068" s="43"/>
      <c r="U3068" s="43"/>
      <c r="V3068" s="41"/>
      <c r="W3068" s="41"/>
      <c r="X3068" s="41"/>
      <c r="Y3068" s="41"/>
      <c r="Z3068" s="41"/>
      <c r="AA3068" s="44"/>
      <c r="AB3068" s="44"/>
      <c r="AC3068" s="43"/>
      <c r="AD3068" s="43"/>
      <c r="AE3068" s="43"/>
    </row>
    <row r="3069" spans="1:31" x14ac:dyDescent="0.35">
      <c r="C3069" s="33"/>
      <c r="D3069" s="34"/>
      <c r="E3069" s="34"/>
      <c r="F3069" s="34"/>
      <c r="G3069" s="34"/>
      <c r="H3069" s="34"/>
      <c r="I3069" s="34"/>
      <c r="J3069" s="34"/>
      <c r="K3069" s="34"/>
      <c r="L3069" s="34"/>
      <c r="M3069" s="34"/>
      <c r="N3069" s="34"/>
      <c r="O3069" s="34"/>
      <c r="AA3069" s="35"/>
      <c r="AB3069" s="35"/>
      <c r="AC3069" s="34"/>
      <c r="AD3069" s="34"/>
      <c r="AE3069" s="34"/>
    </row>
    <row r="3070" spans="1:31" ht="15" thickBot="1" x14ac:dyDescent="0.4">
      <c r="A3070" s="45"/>
      <c r="B3070" s="45"/>
      <c r="C3070" s="46"/>
      <c r="D3070" s="47"/>
      <c r="E3070" s="47"/>
      <c r="F3070" s="47"/>
      <c r="G3070" s="47"/>
      <c r="H3070" s="47"/>
      <c r="I3070" s="47"/>
      <c r="J3070" s="47"/>
      <c r="K3070" s="47"/>
      <c r="L3070" s="47"/>
      <c r="M3070" s="47"/>
      <c r="N3070" s="47"/>
      <c r="O3070" s="47"/>
      <c r="P3070" s="47"/>
      <c r="Q3070" s="47"/>
      <c r="R3070" s="47"/>
      <c r="S3070" s="47"/>
      <c r="T3070" s="45"/>
      <c r="U3070" s="45"/>
      <c r="V3070" s="45"/>
      <c r="W3070" s="45"/>
      <c r="X3070" s="47"/>
      <c r="Y3070" s="45"/>
      <c r="Z3070" s="45"/>
      <c r="AA3070" s="48"/>
      <c r="AB3070" s="48"/>
      <c r="AC3070" s="47"/>
      <c r="AD3070" s="47"/>
      <c r="AE3070" s="47"/>
    </row>
    <row r="3071" spans="1:31" x14ac:dyDescent="0.35">
      <c r="A3071" s="41"/>
      <c r="B3071" s="41"/>
      <c r="C3071" s="42"/>
      <c r="D3071" s="43"/>
      <c r="E3071" s="43"/>
      <c r="F3071" s="43"/>
      <c r="G3071" s="43"/>
      <c r="H3071" s="43"/>
      <c r="I3071" s="43"/>
      <c r="J3071" s="43"/>
      <c r="K3071" s="43"/>
      <c r="L3071" s="43"/>
      <c r="M3071" s="43"/>
      <c r="N3071" s="43"/>
      <c r="O3071" s="43"/>
      <c r="P3071" s="43"/>
      <c r="Q3071" s="43"/>
      <c r="R3071" s="43"/>
      <c r="S3071" s="43"/>
      <c r="T3071" s="43"/>
      <c r="U3071" s="43"/>
      <c r="V3071" s="41"/>
      <c r="W3071" s="41"/>
      <c r="X3071" s="41"/>
      <c r="Y3071" s="41"/>
      <c r="Z3071" s="41"/>
      <c r="AA3071" s="44"/>
      <c r="AB3071" s="44"/>
      <c r="AC3071" s="43"/>
      <c r="AD3071" s="43"/>
      <c r="AE3071" s="43"/>
    </row>
    <row r="3072" spans="1:31" x14ac:dyDescent="0.35">
      <c r="C3072" s="33"/>
      <c r="D3072" s="34"/>
      <c r="E3072" s="34"/>
      <c r="F3072" s="34"/>
      <c r="G3072" s="34"/>
      <c r="H3072" s="34"/>
      <c r="I3072" s="34"/>
      <c r="J3072" s="34"/>
      <c r="K3072" s="34"/>
      <c r="L3072" s="34"/>
      <c r="M3072" s="34"/>
      <c r="N3072" s="34"/>
      <c r="O3072" s="34"/>
      <c r="AA3072" s="35"/>
      <c r="AB3072" s="35"/>
      <c r="AC3072" s="34"/>
      <c r="AD3072" s="34"/>
      <c r="AE3072" s="34"/>
    </row>
    <row r="3073" spans="1:31" ht="15" thickBot="1" x14ac:dyDescent="0.4">
      <c r="A3073" s="45"/>
      <c r="B3073" s="45"/>
      <c r="C3073" s="46"/>
      <c r="D3073" s="47"/>
      <c r="E3073" s="47"/>
      <c r="F3073" s="47"/>
      <c r="G3073" s="47"/>
      <c r="H3073" s="47"/>
      <c r="I3073" s="47"/>
      <c r="J3073" s="47"/>
      <c r="K3073" s="47"/>
      <c r="L3073" s="47"/>
      <c r="M3073" s="47"/>
      <c r="N3073" s="47"/>
      <c r="O3073" s="47"/>
      <c r="P3073" s="47"/>
      <c r="Q3073" s="47"/>
      <c r="R3073" s="47"/>
      <c r="S3073" s="47"/>
      <c r="T3073" s="45"/>
      <c r="U3073" s="45"/>
      <c r="V3073" s="45"/>
      <c r="W3073" s="45"/>
      <c r="X3073" s="47"/>
      <c r="Y3073" s="45"/>
      <c r="Z3073" s="45"/>
      <c r="AA3073" s="48"/>
      <c r="AB3073" s="48"/>
      <c r="AC3073" s="47"/>
      <c r="AD3073" s="47"/>
      <c r="AE3073" s="47"/>
    </row>
    <row r="3074" spans="1:31" x14ac:dyDescent="0.35">
      <c r="A3074" s="41"/>
      <c r="B3074" s="41"/>
      <c r="C3074" s="42"/>
      <c r="D3074" s="43"/>
      <c r="E3074" s="43"/>
      <c r="F3074" s="43"/>
      <c r="G3074" s="43"/>
      <c r="H3074" s="43"/>
      <c r="I3074" s="43"/>
      <c r="J3074" s="43"/>
      <c r="K3074" s="43"/>
      <c r="L3074" s="43"/>
      <c r="M3074" s="43"/>
      <c r="N3074" s="43"/>
      <c r="O3074" s="43"/>
      <c r="P3074" s="43"/>
      <c r="Q3074" s="43"/>
      <c r="R3074" s="43"/>
      <c r="S3074" s="43"/>
      <c r="T3074" s="43"/>
      <c r="U3074" s="43"/>
      <c r="V3074" s="41"/>
      <c r="W3074" s="41"/>
      <c r="X3074" s="41"/>
      <c r="Y3074" s="41"/>
      <c r="Z3074" s="41"/>
      <c r="AA3074" s="44"/>
      <c r="AB3074" s="44"/>
      <c r="AC3074" s="43"/>
      <c r="AD3074" s="43"/>
      <c r="AE3074" s="43"/>
    </row>
    <row r="3075" spans="1:31" x14ac:dyDescent="0.35">
      <c r="C3075" s="33"/>
      <c r="D3075" s="34"/>
      <c r="E3075" s="34"/>
      <c r="F3075" s="34"/>
      <c r="G3075" s="34"/>
      <c r="H3075" s="34"/>
      <c r="I3075" s="34"/>
      <c r="J3075" s="34"/>
      <c r="K3075" s="34"/>
      <c r="L3075" s="34"/>
      <c r="M3075" s="34"/>
      <c r="N3075" s="34"/>
      <c r="O3075" s="34"/>
      <c r="AA3075" s="35"/>
      <c r="AB3075" s="35"/>
      <c r="AC3075" s="34"/>
      <c r="AD3075" s="34"/>
      <c r="AE3075" s="34"/>
    </row>
    <row r="3076" spans="1:31" ht="15" thickBot="1" x14ac:dyDescent="0.4">
      <c r="A3076" s="45"/>
      <c r="B3076" s="45"/>
      <c r="C3076" s="46"/>
      <c r="D3076" s="47"/>
      <c r="E3076" s="47"/>
      <c r="F3076" s="47"/>
      <c r="G3076" s="47"/>
      <c r="H3076" s="47"/>
      <c r="I3076" s="47"/>
      <c r="J3076" s="47"/>
      <c r="K3076" s="47"/>
      <c r="L3076" s="47"/>
      <c r="M3076" s="47"/>
      <c r="N3076" s="47"/>
      <c r="O3076" s="47"/>
      <c r="P3076" s="47"/>
      <c r="Q3076" s="47"/>
      <c r="R3076" s="47"/>
      <c r="S3076" s="47"/>
      <c r="T3076" s="45"/>
      <c r="U3076" s="45"/>
      <c r="V3076" s="45"/>
      <c r="W3076" s="45"/>
      <c r="X3076" s="47"/>
      <c r="Y3076" s="45"/>
      <c r="Z3076" s="45"/>
      <c r="AA3076" s="48"/>
      <c r="AB3076" s="48"/>
      <c r="AC3076" s="47"/>
      <c r="AD3076" s="47"/>
      <c r="AE3076" s="47"/>
    </row>
    <row r="3077" spans="1:31" x14ac:dyDescent="0.35">
      <c r="A3077" s="41"/>
      <c r="B3077" s="41"/>
      <c r="C3077" s="42"/>
      <c r="D3077" s="43"/>
      <c r="E3077" s="43"/>
      <c r="F3077" s="43"/>
      <c r="G3077" s="43"/>
      <c r="H3077" s="43"/>
      <c r="I3077" s="43"/>
      <c r="J3077" s="43"/>
      <c r="K3077" s="43"/>
      <c r="L3077" s="43"/>
      <c r="M3077" s="43"/>
      <c r="N3077" s="43"/>
      <c r="O3077" s="43"/>
      <c r="P3077" s="43"/>
      <c r="Q3077" s="43"/>
      <c r="R3077" s="43"/>
      <c r="S3077" s="43"/>
      <c r="T3077" s="43"/>
      <c r="U3077" s="43"/>
      <c r="V3077" s="41"/>
      <c r="W3077" s="41"/>
      <c r="X3077" s="41"/>
      <c r="Y3077" s="41"/>
      <c r="Z3077" s="41"/>
      <c r="AA3077" s="44"/>
      <c r="AB3077" s="44"/>
      <c r="AC3077" s="43"/>
      <c r="AD3077" s="43"/>
      <c r="AE3077" s="43"/>
    </row>
    <row r="3078" spans="1:31" x14ac:dyDescent="0.35">
      <c r="C3078" s="33"/>
      <c r="D3078" s="34"/>
      <c r="E3078" s="34"/>
      <c r="F3078" s="34"/>
      <c r="G3078" s="34"/>
      <c r="H3078" s="34"/>
      <c r="I3078" s="34"/>
      <c r="J3078" s="34"/>
      <c r="K3078" s="34"/>
      <c r="L3078" s="34"/>
      <c r="M3078" s="34"/>
      <c r="N3078" s="34"/>
      <c r="O3078" s="34"/>
      <c r="AA3078" s="35"/>
      <c r="AB3078" s="35"/>
      <c r="AC3078" s="34"/>
      <c r="AD3078" s="34"/>
      <c r="AE3078" s="34"/>
    </row>
    <row r="3079" spans="1:31" ht="15" thickBot="1" x14ac:dyDescent="0.4">
      <c r="A3079" s="45"/>
      <c r="B3079" s="45"/>
      <c r="C3079" s="46"/>
      <c r="D3079" s="47"/>
      <c r="E3079" s="47"/>
      <c r="F3079" s="47"/>
      <c r="G3079" s="47"/>
      <c r="H3079" s="47"/>
      <c r="I3079" s="47"/>
      <c r="J3079" s="47"/>
      <c r="K3079" s="47"/>
      <c r="L3079" s="47"/>
      <c r="M3079" s="47"/>
      <c r="N3079" s="47"/>
      <c r="O3079" s="47"/>
      <c r="P3079" s="47"/>
      <c r="Q3079" s="47"/>
      <c r="R3079" s="47"/>
      <c r="S3079" s="47"/>
      <c r="T3079" s="45"/>
      <c r="U3079" s="45"/>
      <c r="V3079" s="45"/>
      <c r="W3079" s="45"/>
      <c r="X3079" s="47"/>
      <c r="Y3079" s="45"/>
      <c r="Z3079" s="45"/>
      <c r="AA3079" s="48"/>
      <c r="AB3079" s="48"/>
      <c r="AC3079" s="47"/>
      <c r="AD3079" s="47"/>
      <c r="AE3079" s="47"/>
    </row>
    <row r="3080" spans="1:31" x14ac:dyDescent="0.35">
      <c r="A3080" s="41"/>
      <c r="B3080" s="41"/>
      <c r="C3080" s="42"/>
      <c r="D3080" s="43"/>
      <c r="E3080" s="43"/>
      <c r="F3080" s="43"/>
      <c r="G3080" s="43"/>
      <c r="H3080" s="43"/>
      <c r="I3080" s="43"/>
      <c r="J3080" s="43"/>
      <c r="K3080" s="43"/>
      <c r="L3080" s="43"/>
      <c r="M3080" s="43"/>
      <c r="N3080" s="43"/>
      <c r="O3080" s="43"/>
      <c r="P3080" s="43"/>
      <c r="Q3080" s="43"/>
      <c r="R3080" s="43"/>
      <c r="S3080" s="43"/>
      <c r="T3080" s="43"/>
      <c r="U3080" s="43"/>
      <c r="V3080" s="41"/>
      <c r="W3080" s="41"/>
      <c r="X3080" s="41"/>
      <c r="Y3080" s="41"/>
      <c r="Z3080" s="41"/>
      <c r="AA3080" s="44"/>
      <c r="AB3080" s="44"/>
      <c r="AC3080" s="43"/>
      <c r="AD3080" s="43"/>
      <c r="AE3080" s="43"/>
    </row>
    <row r="3081" spans="1:31" x14ac:dyDescent="0.35">
      <c r="C3081" s="33"/>
      <c r="D3081" s="34"/>
      <c r="E3081" s="34"/>
      <c r="F3081" s="34"/>
      <c r="G3081" s="34"/>
      <c r="H3081" s="34"/>
      <c r="I3081" s="34"/>
      <c r="J3081" s="34"/>
      <c r="K3081" s="34"/>
      <c r="L3081" s="34"/>
      <c r="M3081" s="34"/>
      <c r="N3081" s="34"/>
      <c r="O3081" s="34"/>
      <c r="AA3081" s="35"/>
      <c r="AB3081" s="35"/>
      <c r="AC3081" s="34"/>
      <c r="AD3081" s="34"/>
      <c r="AE3081" s="34"/>
    </row>
    <row r="3082" spans="1:31" ht="15" thickBot="1" x14ac:dyDescent="0.4">
      <c r="A3082" s="45"/>
      <c r="B3082" s="45"/>
      <c r="C3082" s="46"/>
      <c r="D3082" s="47"/>
      <c r="E3082" s="47"/>
      <c r="F3082" s="47"/>
      <c r="G3082" s="47"/>
      <c r="H3082" s="47"/>
      <c r="I3082" s="47"/>
      <c r="J3082" s="47"/>
      <c r="K3082" s="47"/>
      <c r="L3082" s="47"/>
      <c r="M3082" s="47"/>
      <c r="N3082" s="47"/>
      <c r="O3082" s="47"/>
      <c r="P3082" s="47"/>
      <c r="Q3082" s="47"/>
      <c r="R3082" s="47"/>
      <c r="S3082" s="47"/>
      <c r="T3082" s="45"/>
      <c r="U3082" s="45"/>
      <c r="V3082" s="45"/>
      <c r="W3082" s="45"/>
      <c r="X3082" s="47"/>
      <c r="Y3082" s="45"/>
      <c r="Z3082" s="45"/>
      <c r="AA3082" s="48"/>
      <c r="AB3082" s="48"/>
      <c r="AC3082" s="47"/>
      <c r="AD3082" s="47"/>
      <c r="AE3082" s="47"/>
    </row>
    <row r="3083" spans="1:31" x14ac:dyDescent="0.35">
      <c r="A3083" s="41"/>
      <c r="B3083" s="41"/>
      <c r="C3083" s="42"/>
      <c r="D3083" s="43"/>
      <c r="E3083" s="43"/>
      <c r="F3083" s="43"/>
      <c r="G3083" s="43"/>
      <c r="H3083" s="43"/>
      <c r="I3083" s="43"/>
      <c r="J3083" s="43"/>
      <c r="K3083" s="43"/>
      <c r="L3083" s="43"/>
      <c r="M3083" s="43"/>
      <c r="N3083" s="43"/>
      <c r="O3083" s="43"/>
      <c r="P3083" s="43"/>
      <c r="Q3083" s="43"/>
      <c r="R3083" s="43"/>
      <c r="S3083" s="43"/>
      <c r="T3083" s="43"/>
      <c r="U3083" s="43"/>
      <c r="V3083" s="41"/>
      <c r="W3083" s="41"/>
      <c r="X3083" s="41"/>
      <c r="Y3083" s="41"/>
      <c r="Z3083" s="41"/>
      <c r="AA3083" s="44"/>
      <c r="AB3083" s="44"/>
      <c r="AC3083" s="43"/>
      <c r="AD3083" s="43"/>
      <c r="AE3083" s="43"/>
    </row>
    <row r="3084" spans="1:31" x14ac:dyDescent="0.35">
      <c r="C3084" s="33"/>
      <c r="D3084" s="34"/>
      <c r="E3084" s="34"/>
      <c r="F3084" s="34"/>
      <c r="G3084" s="34"/>
      <c r="H3084" s="34"/>
      <c r="I3084" s="34"/>
      <c r="J3084" s="34"/>
      <c r="K3084" s="34"/>
      <c r="L3084" s="34"/>
      <c r="M3084" s="34"/>
      <c r="N3084" s="34"/>
      <c r="O3084" s="34"/>
      <c r="AA3084" s="35"/>
      <c r="AB3084" s="35"/>
      <c r="AC3084" s="34"/>
      <c r="AD3084" s="34"/>
      <c r="AE3084" s="34"/>
    </row>
    <row r="3085" spans="1:31" ht="15" thickBot="1" x14ac:dyDescent="0.4">
      <c r="A3085" s="45"/>
      <c r="B3085" s="45"/>
      <c r="C3085" s="46"/>
      <c r="D3085" s="47"/>
      <c r="E3085" s="47"/>
      <c r="F3085" s="47"/>
      <c r="G3085" s="47"/>
      <c r="H3085" s="47"/>
      <c r="I3085" s="47"/>
      <c r="J3085" s="47"/>
      <c r="K3085" s="47"/>
      <c r="L3085" s="47"/>
      <c r="M3085" s="47"/>
      <c r="N3085" s="47"/>
      <c r="O3085" s="47"/>
      <c r="P3085" s="47"/>
      <c r="Q3085" s="47"/>
      <c r="R3085" s="47"/>
      <c r="S3085" s="47"/>
      <c r="T3085" s="45"/>
      <c r="U3085" s="45"/>
      <c r="V3085" s="45"/>
      <c r="W3085" s="45"/>
      <c r="X3085" s="47"/>
      <c r="Y3085" s="45"/>
      <c r="Z3085" s="45"/>
      <c r="AA3085" s="48"/>
      <c r="AB3085" s="48"/>
      <c r="AC3085" s="47"/>
      <c r="AD3085" s="47"/>
      <c r="AE3085" s="47"/>
    </row>
    <row r="3086" spans="1:31" x14ac:dyDescent="0.35">
      <c r="A3086" s="41"/>
      <c r="B3086" s="41"/>
      <c r="C3086" s="42"/>
      <c r="D3086" s="43"/>
      <c r="E3086" s="43"/>
      <c r="F3086" s="43"/>
      <c r="G3086" s="43"/>
      <c r="H3086" s="43"/>
      <c r="I3086" s="43"/>
      <c r="J3086" s="43"/>
      <c r="K3086" s="43"/>
      <c r="L3086" s="43"/>
      <c r="M3086" s="43"/>
      <c r="N3086" s="43"/>
      <c r="O3086" s="43"/>
      <c r="P3086" s="43"/>
      <c r="Q3086" s="43"/>
      <c r="R3086" s="43"/>
      <c r="S3086" s="43"/>
      <c r="T3086" s="43"/>
      <c r="U3086" s="43"/>
      <c r="V3086" s="41"/>
      <c r="W3086" s="41"/>
      <c r="X3086" s="41"/>
      <c r="Y3086" s="41"/>
      <c r="Z3086" s="41"/>
      <c r="AA3086" s="44"/>
      <c r="AB3086" s="44"/>
      <c r="AC3086" s="43"/>
      <c r="AD3086" s="43"/>
      <c r="AE3086" s="43"/>
    </row>
    <row r="3087" spans="1:31" x14ac:dyDescent="0.35">
      <c r="C3087" s="33"/>
      <c r="D3087" s="34"/>
      <c r="E3087" s="34"/>
      <c r="F3087" s="34"/>
      <c r="G3087" s="34"/>
      <c r="H3087" s="34"/>
      <c r="I3087" s="34"/>
      <c r="J3087" s="34"/>
      <c r="K3087" s="34"/>
      <c r="L3087" s="34"/>
      <c r="M3087" s="34"/>
      <c r="N3087" s="34"/>
      <c r="O3087" s="34"/>
      <c r="AA3087" s="35"/>
      <c r="AB3087" s="35"/>
      <c r="AC3087" s="34"/>
      <c r="AD3087" s="34"/>
      <c r="AE3087" s="34"/>
    </row>
    <row r="3088" spans="1:31" ht="15" thickBot="1" x14ac:dyDescent="0.4">
      <c r="A3088" s="45"/>
      <c r="B3088" s="45"/>
      <c r="C3088" s="46"/>
      <c r="D3088" s="47"/>
      <c r="E3088" s="47"/>
      <c r="F3088" s="47"/>
      <c r="G3088" s="47"/>
      <c r="H3088" s="47"/>
      <c r="I3088" s="47"/>
      <c r="J3088" s="47"/>
      <c r="K3088" s="47"/>
      <c r="L3088" s="47"/>
      <c r="M3088" s="47"/>
      <c r="N3088" s="47"/>
      <c r="O3088" s="47"/>
      <c r="P3088" s="47"/>
      <c r="Q3088" s="47"/>
      <c r="R3088" s="47"/>
      <c r="S3088" s="47"/>
      <c r="T3088" s="45"/>
      <c r="U3088" s="45"/>
      <c r="V3088" s="45"/>
      <c r="W3088" s="45"/>
      <c r="X3088" s="47"/>
      <c r="Y3088" s="45"/>
      <c r="Z3088" s="45"/>
      <c r="AA3088" s="48"/>
      <c r="AB3088" s="48"/>
      <c r="AC3088" s="47"/>
      <c r="AD3088" s="47"/>
      <c r="AE3088" s="47"/>
    </row>
    <row r="3089" spans="1:31" x14ac:dyDescent="0.35">
      <c r="A3089" s="41"/>
      <c r="B3089" s="41"/>
      <c r="C3089" s="42"/>
      <c r="D3089" s="43"/>
      <c r="E3089" s="43"/>
      <c r="F3089" s="43"/>
      <c r="G3089" s="43"/>
      <c r="H3089" s="43"/>
      <c r="I3089" s="43"/>
      <c r="J3089" s="43"/>
      <c r="K3089" s="43"/>
      <c r="L3089" s="43"/>
      <c r="M3089" s="43"/>
      <c r="N3089" s="43"/>
      <c r="O3089" s="43"/>
      <c r="P3089" s="43"/>
      <c r="Q3089" s="43"/>
      <c r="R3089" s="43"/>
      <c r="S3089" s="43"/>
      <c r="T3089" s="43"/>
      <c r="U3089" s="43"/>
      <c r="V3089" s="41"/>
      <c r="W3089" s="41"/>
      <c r="X3089" s="41"/>
      <c r="Y3089" s="41"/>
      <c r="Z3089" s="41"/>
      <c r="AA3089" s="44"/>
      <c r="AB3089" s="44"/>
      <c r="AC3089" s="43"/>
      <c r="AD3089" s="43"/>
      <c r="AE3089" s="43"/>
    </row>
    <row r="3090" spans="1:31" x14ac:dyDescent="0.35">
      <c r="C3090" s="33"/>
      <c r="D3090" s="34"/>
      <c r="E3090" s="34"/>
      <c r="F3090" s="34"/>
      <c r="G3090" s="34"/>
      <c r="H3090" s="34"/>
      <c r="I3090" s="34"/>
      <c r="J3090" s="34"/>
      <c r="K3090" s="34"/>
      <c r="L3090" s="34"/>
      <c r="M3090" s="34"/>
      <c r="N3090" s="34"/>
      <c r="O3090" s="34"/>
      <c r="AA3090" s="35"/>
      <c r="AB3090" s="35"/>
      <c r="AC3090" s="34"/>
      <c r="AD3090" s="34"/>
      <c r="AE3090" s="34"/>
    </row>
    <row r="3091" spans="1:31" ht="15" thickBot="1" x14ac:dyDescent="0.4">
      <c r="A3091" s="45"/>
      <c r="B3091" s="45"/>
      <c r="C3091" s="46"/>
      <c r="D3091" s="47"/>
      <c r="E3091" s="47"/>
      <c r="F3091" s="47"/>
      <c r="G3091" s="47"/>
      <c r="H3091" s="47"/>
      <c r="I3091" s="47"/>
      <c r="J3091" s="47"/>
      <c r="K3091" s="47"/>
      <c r="L3091" s="47"/>
      <c r="M3091" s="47"/>
      <c r="N3091" s="47"/>
      <c r="O3091" s="47"/>
      <c r="P3091" s="47"/>
      <c r="Q3091" s="47"/>
      <c r="R3091" s="47"/>
      <c r="S3091" s="47"/>
      <c r="T3091" s="45"/>
      <c r="U3091" s="45"/>
      <c r="V3091" s="45"/>
      <c r="W3091" s="45"/>
      <c r="X3091" s="47"/>
      <c r="Y3091" s="45"/>
      <c r="Z3091" s="45"/>
      <c r="AA3091" s="48"/>
      <c r="AB3091" s="48"/>
      <c r="AC3091" s="47"/>
      <c r="AD3091" s="47"/>
      <c r="AE3091" s="47"/>
    </row>
    <row r="3092" spans="1:31" x14ac:dyDescent="0.35">
      <c r="A3092" s="41"/>
      <c r="B3092" s="41"/>
      <c r="C3092" s="42"/>
      <c r="D3092" s="43"/>
      <c r="E3092" s="43"/>
      <c r="F3092" s="43"/>
      <c r="G3092" s="43"/>
      <c r="H3092" s="43"/>
      <c r="I3092" s="43"/>
      <c r="J3092" s="43"/>
      <c r="K3092" s="43"/>
      <c r="L3092" s="43"/>
      <c r="M3092" s="43"/>
      <c r="N3092" s="43"/>
      <c r="O3092" s="43"/>
      <c r="P3092" s="43"/>
      <c r="Q3092" s="43"/>
      <c r="R3092" s="43"/>
      <c r="S3092" s="43"/>
      <c r="T3092" s="43"/>
      <c r="U3092" s="43"/>
      <c r="V3092" s="41"/>
      <c r="W3092" s="41"/>
      <c r="X3092" s="41"/>
      <c r="Y3092" s="41"/>
      <c r="Z3092" s="41"/>
      <c r="AA3092" s="44"/>
      <c r="AB3092" s="44"/>
      <c r="AC3092" s="43"/>
      <c r="AD3092" s="43"/>
      <c r="AE3092" s="43"/>
    </row>
    <row r="3093" spans="1:31" x14ac:dyDescent="0.35">
      <c r="C3093" s="33"/>
      <c r="D3093" s="34"/>
      <c r="E3093" s="34"/>
      <c r="F3093" s="34"/>
      <c r="G3093" s="34"/>
      <c r="H3093" s="34"/>
      <c r="I3093" s="34"/>
      <c r="J3093" s="34"/>
      <c r="K3093" s="34"/>
      <c r="L3093" s="34"/>
      <c r="M3093" s="34"/>
      <c r="N3093" s="34"/>
      <c r="O3093" s="34"/>
      <c r="AA3093" s="35"/>
      <c r="AB3093" s="35"/>
      <c r="AC3093" s="34"/>
      <c r="AD3093" s="34"/>
      <c r="AE3093" s="34"/>
    </row>
    <row r="3094" spans="1:31" ht="15" thickBot="1" x14ac:dyDescent="0.4">
      <c r="A3094" s="45"/>
      <c r="B3094" s="45"/>
      <c r="C3094" s="46"/>
      <c r="D3094" s="47"/>
      <c r="E3094" s="47"/>
      <c r="F3094" s="47"/>
      <c r="G3094" s="47"/>
      <c r="H3094" s="47"/>
      <c r="I3094" s="47"/>
      <c r="J3094" s="47"/>
      <c r="K3094" s="47"/>
      <c r="L3094" s="47"/>
      <c r="M3094" s="47"/>
      <c r="N3094" s="47"/>
      <c r="O3094" s="47"/>
      <c r="P3094" s="47"/>
      <c r="Q3094" s="47"/>
      <c r="R3094" s="47"/>
      <c r="S3094" s="47"/>
      <c r="T3094" s="45"/>
      <c r="U3094" s="45"/>
      <c r="V3094" s="45"/>
      <c r="W3094" s="45"/>
      <c r="X3094" s="47"/>
      <c r="Y3094" s="45"/>
      <c r="Z3094" s="45"/>
      <c r="AA3094" s="48"/>
      <c r="AB3094" s="48"/>
      <c r="AC3094" s="47"/>
      <c r="AD3094" s="47"/>
      <c r="AE3094" s="47"/>
    </row>
    <row r="3095" spans="1:31" x14ac:dyDescent="0.35">
      <c r="A3095" s="41"/>
      <c r="B3095" s="41"/>
      <c r="C3095" s="42"/>
      <c r="D3095" s="43"/>
      <c r="E3095" s="43"/>
      <c r="F3095" s="43"/>
      <c r="G3095" s="43"/>
      <c r="H3095" s="43"/>
      <c r="I3095" s="43"/>
      <c r="J3095" s="43"/>
      <c r="K3095" s="43"/>
      <c r="L3095" s="43"/>
      <c r="M3095" s="43"/>
      <c r="N3095" s="43"/>
      <c r="O3095" s="43"/>
      <c r="P3095" s="43"/>
      <c r="Q3095" s="43"/>
      <c r="R3095" s="43"/>
      <c r="S3095" s="43"/>
      <c r="T3095" s="43"/>
      <c r="U3095" s="43"/>
      <c r="V3095" s="41"/>
      <c r="W3095" s="41"/>
      <c r="X3095" s="41"/>
      <c r="Y3095" s="41"/>
      <c r="Z3095" s="41"/>
      <c r="AA3095" s="44"/>
      <c r="AB3095" s="44"/>
      <c r="AC3095" s="43"/>
      <c r="AD3095" s="43"/>
      <c r="AE3095" s="43"/>
    </row>
    <row r="3096" spans="1:31" x14ac:dyDescent="0.35">
      <c r="C3096" s="33"/>
      <c r="D3096" s="34"/>
      <c r="E3096" s="34"/>
      <c r="F3096" s="34"/>
      <c r="G3096" s="34"/>
      <c r="H3096" s="34"/>
      <c r="I3096" s="34"/>
      <c r="J3096" s="34"/>
      <c r="K3096" s="34"/>
      <c r="L3096" s="34"/>
      <c r="M3096" s="34"/>
      <c r="N3096" s="34"/>
      <c r="O3096" s="34"/>
      <c r="AA3096" s="35"/>
      <c r="AB3096" s="35"/>
      <c r="AC3096" s="34"/>
      <c r="AD3096" s="34"/>
      <c r="AE3096" s="34"/>
    </row>
    <row r="3097" spans="1:31" ht="15" thickBot="1" x14ac:dyDescent="0.4">
      <c r="A3097" s="45"/>
      <c r="B3097" s="45"/>
      <c r="C3097" s="46"/>
      <c r="D3097" s="47"/>
      <c r="E3097" s="47"/>
      <c r="F3097" s="47"/>
      <c r="G3097" s="47"/>
      <c r="H3097" s="47"/>
      <c r="I3097" s="47"/>
      <c r="J3097" s="47"/>
      <c r="K3097" s="47"/>
      <c r="L3097" s="47"/>
      <c r="M3097" s="47"/>
      <c r="N3097" s="47"/>
      <c r="O3097" s="47"/>
      <c r="P3097" s="47"/>
      <c r="Q3097" s="47"/>
      <c r="R3097" s="47"/>
      <c r="S3097" s="47"/>
      <c r="T3097" s="45"/>
      <c r="U3097" s="45"/>
      <c r="V3097" s="45"/>
      <c r="W3097" s="45"/>
      <c r="X3097" s="47"/>
      <c r="Y3097" s="45"/>
      <c r="Z3097" s="45"/>
      <c r="AA3097" s="48"/>
      <c r="AB3097" s="48"/>
      <c r="AC3097" s="47"/>
      <c r="AD3097" s="47"/>
      <c r="AE3097" s="47"/>
    </row>
    <row r="3098" spans="1:31" x14ac:dyDescent="0.35">
      <c r="A3098" s="41"/>
      <c r="B3098" s="41"/>
      <c r="C3098" s="42"/>
      <c r="D3098" s="43"/>
      <c r="E3098" s="43"/>
      <c r="F3098" s="43"/>
      <c r="G3098" s="43"/>
      <c r="H3098" s="43"/>
      <c r="I3098" s="43"/>
      <c r="J3098" s="43"/>
      <c r="K3098" s="43"/>
      <c r="L3098" s="43"/>
      <c r="M3098" s="43"/>
      <c r="N3098" s="43"/>
      <c r="O3098" s="43"/>
      <c r="P3098" s="43"/>
      <c r="Q3098" s="43"/>
      <c r="R3098" s="43"/>
      <c r="S3098" s="43"/>
      <c r="T3098" s="43"/>
      <c r="U3098" s="43"/>
      <c r="V3098" s="41"/>
      <c r="W3098" s="41"/>
      <c r="X3098" s="41"/>
      <c r="Y3098" s="41"/>
      <c r="Z3098" s="41"/>
      <c r="AA3098" s="44"/>
      <c r="AB3098" s="44"/>
      <c r="AC3098" s="43"/>
      <c r="AD3098" s="43"/>
      <c r="AE3098" s="43"/>
    </row>
    <row r="3099" spans="1:31" x14ac:dyDescent="0.35">
      <c r="C3099" s="33"/>
      <c r="D3099" s="34"/>
      <c r="E3099" s="34"/>
      <c r="F3099" s="34"/>
      <c r="G3099" s="34"/>
      <c r="H3099" s="34"/>
      <c r="I3099" s="34"/>
      <c r="J3099" s="34"/>
      <c r="K3099" s="34"/>
      <c r="L3099" s="34"/>
      <c r="M3099" s="34"/>
      <c r="N3099" s="34"/>
      <c r="O3099" s="34"/>
      <c r="AA3099" s="35"/>
      <c r="AB3099" s="35"/>
      <c r="AC3099" s="34"/>
      <c r="AD3099" s="34"/>
      <c r="AE3099" s="34"/>
    </row>
    <row r="3100" spans="1:31" ht="15" thickBot="1" x14ac:dyDescent="0.4">
      <c r="A3100" s="45"/>
      <c r="B3100" s="45"/>
      <c r="C3100" s="46"/>
      <c r="D3100" s="47"/>
      <c r="E3100" s="47"/>
      <c r="F3100" s="47"/>
      <c r="G3100" s="47"/>
      <c r="H3100" s="47"/>
      <c r="I3100" s="47"/>
      <c r="J3100" s="47"/>
      <c r="K3100" s="47"/>
      <c r="L3100" s="47"/>
      <c r="M3100" s="47"/>
      <c r="N3100" s="47"/>
      <c r="O3100" s="47"/>
      <c r="P3100" s="47"/>
      <c r="Q3100" s="47"/>
      <c r="R3100" s="47"/>
      <c r="S3100" s="47"/>
      <c r="T3100" s="45"/>
      <c r="U3100" s="45"/>
      <c r="V3100" s="45"/>
      <c r="W3100" s="45"/>
      <c r="X3100" s="47"/>
      <c r="Y3100" s="45"/>
      <c r="Z3100" s="45"/>
      <c r="AA3100" s="48"/>
      <c r="AB3100" s="48"/>
      <c r="AC3100" s="47"/>
      <c r="AD3100" s="47"/>
      <c r="AE3100" s="47"/>
    </row>
    <row r="3101" spans="1:31" x14ac:dyDescent="0.35">
      <c r="A3101" s="41"/>
      <c r="B3101" s="41"/>
      <c r="C3101" s="42"/>
      <c r="D3101" s="43"/>
      <c r="E3101" s="43"/>
      <c r="F3101" s="43"/>
      <c r="G3101" s="43"/>
      <c r="H3101" s="43"/>
      <c r="I3101" s="43"/>
      <c r="J3101" s="43"/>
      <c r="K3101" s="43"/>
      <c r="L3101" s="43"/>
      <c r="M3101" s="43"/>
      <c r="N3101" s="43"/>
      <c r="O3101" s="43"/>
      <c r="P3101" s="43"/>
      <c r="Q3101" s="43"/>
      <c r="R3101" s="43"/>
      <c r="S3101" s="43"/>
      <c r="T3101" s="43"/>
      <c r="U3101" s="43"/>
      <c r="V3101" s="41"/>
      <c r="W3101" s="41"/>
      <c r="X3101" s="41"/>
      <c r="Y3101" s="41"/>
      <c r="Z3101" s="41"/>
      <c r="AA3101" s="44"/>
      <c r="AB3101" s="44"/>
      <c r="AC3101" s="43"/>
      <c r="AD3101" s="43"/>
      <c r="AE3101" s="43"/>
    </row>
    <row r="3102" spans="1:31" x14ac:dyDescent="0.35">
      <c r="C3102" s="33"/>
      <c r="D3102" s="34"/>
      <c r="E3102" s="34"/>
      <c r="F3102" s="34"/>
      <c r="G3102" s="34"/>
      <c r="H3102" s="34"/>
      <c r="I3102" s="34"/>
      <c r="J3102" s="34"/>
      <c r="K3102" s="34"/>
      <c r="L3102" s="34"/>
      <c r="M3102" s="34"/>
      <c r="N3102" s="34"/>
      <c r="O3102" s="34"/>
      <c r="AA3102" s="35"/>
      <c r="AB3102" s="35"/>
      <c r="AC3102" s="34"/>
      <c r="AD3102" s="34"/>
      <c r="AE3102" s="34"/>
    </row>
    <row r="3103" spans="1:31" ht="15" thickBot="1" x14ac:dyDescent="0.4">
      <c r="A3103" s="45"/>
      <c r="B3103" s="45"/>
      <c r="C3103" s="46"/>
      <c r="D3103" s="47"/>
      <c r="E3103" s="47"/>
      <c r="F3103" s="47"/>
      <c r="G3103" s="47"/>
      <c r="H3103" s="47"/>
      <c r="I3103" s="47"/>
      <c r="J3103" s="47"/>
      <c r="K3103" s="47"/>
      <c r="L3103" s="47"/>
      <c r="M3103" s="47"/>
      <c r="N3103" s="47"/>
      <c r="O3103" s="47"/>
      <c r="P3103" s="47"/>
      <c r="Q3103" s="47"/>
      <c r="R3103" s="47"/>
      <c r="S3103" s="47"/>
      <c r="T3103" s="45"/>
      <c r="U3103" s="45"/>
      <c r="V3103" s="45"/>
      <c r="W3103" s="45"/>
      <c r="X3103" s="47"/>
      <c r="Y3103" s="45"/>
      <c r="Z3103" s="45"/>
      <c r="AA3103" s="48"/>
      <c r="AB3103" s="48"/>
      <c r="AC3103" s="47"/>
      <c r="AD3103" s="47"/>
      <c r="AE3103" s="47"/>
    </row>
    <row r="3104" spans="1:31" x14ac:dyDescent="0.35">
      <c r="A3104" s="41"/>
      <c r="B3104" s="41"/>
      <c r="C3104" s="42"/>
      <c r="D3104" s="43"/>
      <c r="E3104" s="43"/>
      <c r="F3104" s="43"/>
      <c r="G3104" s="43"/>
      <c r="H3104" s="43"/>
      <c r="I3104" s="43"/>
      <c r="J3104" s="43"/>
      <c r="K3104" s="43"/>
      <c r="L3104" s="43"/>
      <c r="M3104" s="43"/>
      <c r="N3104" s="43"/>
      <c r="O3104" s="43"/>
      <c r="P3104" s="43"/>
      <c r="Q3104" s="43"/>
      <c r="R3104" s="43"/>
      <c r="S3104" s="43"/>
      <c r="T3104" s="43"/>
      <c r="U3104" s="43"/>
      <c r="V3104" s="41"/>
      <c r="W3104" s="41"/>
      <c r="X3104" s="41"/>
      <c r="Y3104" s="41"/>
      <c r="Z3104" s="41"/>
      <c r="AA3104" s="44"/>
      <c r="AB3104" s="44"/>
      <c r="AC3104" s="43"/>
      <c r="AD3104" s="43"/>
      <c r="AE3104" s="43"/>
    </row>
    <row r="3105" spans="1:31" x14ac:dyDescent="0.35">
      <c r="C3105" s="33"/>
      <c r="D3105" s="34"/>
      <c r="E3105" s="34"/>
      <c r="F3105" s="34"/>
      <c r="G3105" s="34"/>
      <c r="H3105" s="34"/>
      <c r="I3105" s="34"/>
      <c r="J3105" s="34"/>
      <c r="K3105" s="34"/>
      <c r="L3105" s="34"/>
      <c r="M3105" s="34"/>
      <c r="N3105" s="34"/>
      <c r="O3105" s="34"/>
      <c r="AA3105" s="35"/>
      <c r="AB3105" s="35"/>
      <c r="AC3105" s="34"/>
      <c r="AD3105" s="34"/>
      <c r="AE3105" s="34"/>
    </row>
    <row r="3106" spans="1:31" ht="15" thickBot="1" x14ac:dyDescent="0.4">
      <c r="A3106" s="45"/>
      <c r="B3106" s="45"/>
      <c r="C3106" s="46"/>
      <c r="D3106" s="47"/>
      <c r="E3106" s="47"/>
      <c r="F3106" s="47"/>
      <c r="G3106" s="47"/>
      <c r="H3106" s="47"/>
      <c r="I3106" s="47"/>
      <c r="J3106" s="47"/>
      <c r="K3106" s="47"/>
      <c r="L3106" s="47"/>
      <c r="M3106" s="47"/>
      <c r="N3106" s="47"/>
      <c r="O3106" s="47"/>
      <c r="P3106" s="47"/>
      <c r="Q3106" s="47"/>
      <c r="R3106" s="47"/>
      <c r="S3106" s="47"/>
      <c r="T3106" s="45"/>
      <c r="U3106" s="45"/>
      <c r="V3106" s="45"/>
      <c r="W3106" s="45"/>
      <c r="X3106" s="47"/>
      <c r="Y3106" s="45"/>
      <c r="Z3106" s="45"/>
      <c r="AA3106" s="48"/>
      <c r="AB3106" s="48"/>
      <c r="AC3106" s="47"/>
      <c r="AD3106" s="47"/>
      <c r="AE3106" s="47"/>
    </row>
    <row r="3107" spans="1:31" x14ac:dyDescent="0.35">
      <c r="A3107" s="41"/>
      <c r="B3107" s="41"/>
      <c r="C3107" s="42"/>
      <c r="D3107" s="43"/>
      <c r="E3107" s="43"/>
      <c r="F3107" s="43"/>
      <c r="G3107" s="43"/>
      <c r="H3107" s="43"/>
      <c r="I3107" s="43"/>
      <c r="J3107" s="43"/>
      <c r="K3107" s="43"/>
      <c r="L3107" s="43"/>
      <c r="M3107" s="43"/>
      <c r="N3107" s="43"/>
      <c r="O3107" s="43"/>
      <c r="P3107" s="43"/>
      <c r="Q3107" s="43"/>
      <c r="R3107" s="43"/>
      <c r="S3107" s="43"/>
      <c r="T3107" s="43"/>
      <c r="U3107" s="43"/>
      <c r="V3107" s="41"/>
      <c r="W3107" s="41"/>
      <c r="X3107" s="41"/>
      <c r="Y3107" s="41"/>
      <c r="Z3107" s="41"/>
      <c r="AA3107" s="44"/>
      <c r="AB3107" s="44"/>
      <c r="AC3107" s="43"/>
      <c r="AD3107" s="43"/>
      <c r="AE3107" s="43"/>
    </row>
    <row r="3108" spans="1:31" x14ac:dyDescent="0.35">
      <c r="C3108" s="33"/>
      <c r="D3108" s="34"/>
      <c r="E3108" s="34"/>
      <c r="F3108" s="34"/>
      <c r="G3108" s="34"/>
      <c r="H3108" s="34"/>
      <c r="I3108" s="34"/>
      <c r="J3108" s="34"/>
      <c r="K3108" s="34"/>
      <c r="L3108" s="34"/>
      <c r="M3108" s="34"/>
      <c r="N3108" s="34"/>
      <c r="O3108" s="34"/>
      <c r="AA3108" s="35"/>
      <c r="AB3108" s="35"/>
      <c r="AC3108" s="34"/>
      <c r="AD3108" s="34"/>
      <c r="AE3108" s="34"/>
    </row>
    <row r="3109" spans="1:31" ht="15" thickBot="1" x14ac:dyDescent="0.4">
      <c r="A3109" s="45"/>
      <c r="B3109" s="45"/>
      <c r="C3109" s="46"/>
      <c r="D3109" s="47"/>
      <c r="E3109" s="47"/>
      <c r="F3109" s="47"/>
      <c r="G3109" s="47"/>
      <c r="H3109" s="47"/>
      <c r="I3109" s="47"/>
      <c r="J3109" s="47"/>
      <c r="K3109" s="47"/>
      <c r="L3109" s="47"/>
      <c r="M3109" s="47"/>
      <c r="N3109" s="47"/>
      <c r="O3109" s="47"/>
      <c r="P3109" s="47"/>
      <c r="Q3109" s="47"/>
      <c r="R3109" s="47"/>
      <c r="S3109" s="47"/>
      <c r="T3109" s="45"/>
      <c r="U3109" s="45"/>
      <c r="V3109" s="45"/>
      <c r="W3109" s="45"/>
      <c r="X3109" s="47"/>
      <c r="Y3109" s="45"/>
      <c r="Z3109" s="45"/>
      <c r="AA3109" s="48"/>
      <c r="AB3109" s="48"/>
      <c r="AC3109" s="47"/>
      <c r="AD3109" s="47"/>
      <c r="AE3109" s="47"/>
    </row>
    <row r="3110" spans="1:31" x14ac:dyDescent="0.35">
      <c r="A3110" s="41"/>
      <c r="B3110" s="41"/>
      <c r="C3110" s="42"/>
      <c r="D3110" s="43"/>
      <c r="E3110" s="43"/>
      <c r="F3110" s="43"/>
      <c r="G3110" s="43"/>
      <c r="H3110" s="43"/>
      <c r="I3110" s="43"/>
      <c r="J3110" s="43"/>
      <c r="K3110" s="43"/>
      <c r="L3110" s="43"/>
      <c r="M3110" s="43"/>
      <c r="N3110" s="43"/>
      <c r="O3110" s="43"/>
      <c r="P3110" s="43"/>
      <c r="Q3110" s="43"/>
      <c r="R3110" s="43"/>
      <c r="S3110" s="43"/>
      <c r="T3110" s="43"/>
      <c r="U3110" s="43"/>
      <c r="V3110" s="41"/>
      <c r="W3110" s="41"/>
      <c r="X3110" s="41"/>
      <c r="Y3110" s="41"/>
      <c r="Z3110" s="41"/>
      <c r="AA3110" s="44"/>
      <c r="AB3110" s="44"/>
      <c r="AC3110" s="43"/>
      <c r="AD3110" s="43"/>
      <c r="AE3110" s="43"/>
    </row>
    <row r="3111" spans="1:31" x14ac:dyDescent="0.35">
      <c r="C3111" s="33"/>
      <c r="D3111" s="34"/>
      <c r="E3111" s="34"/>
      <c r="F3111" s="34"/>
      <c r="G3111" s="34"/>
      <c r="H3111" s="34"/>
      <c r="I3111" s="34"/>
      <c r="J3111" s="34"/>
      <c r="K3111" s="34"/>
      <c r="L3111" s="34"/>
      <c r="M3111" s="34"/>
      <c r="N3111" s="34"/>
      <c r="O3111" s="34"/>
      <c r="AA3111" s="35"/>
      <c r="AB3111" s="35"/>
      <c r="AC3111" s="34"/>
      <c r="AD3111" s="34"/>
      <c r="AE3111" s="34"/>
    </row>
    <row r="3112" spans="1:31" ht="15" thickBot="1" x14ac:dyDescent="0.4">
      <c r="A3112" s="45"/>
      <c r="B3112" s="45"/>
      <c r="C3112" s="46"/>
      <c r="D3112" s="47"/>
      <c r="E3112" s="47"/>
      <c r="F3112" s="47"/>
      <c r="G3112" s="47"/>
      <c r="H3112" s="47"/>
      <c r="I3112" s="47"/>
      <c r="J3112" s="47"/>
      <c r="K3112" s="47"/>
      <c r="L3112" s="47"/>
      <c r="M3112" s="47"/>
      <c r="N3112" s="47"/>
      <c r="O3112" s="47"/>
      <c r="P3112" s="47"/>
      <c r="Q3112" s="47"/>
      <c r="R3112" s="47"/>
      <c r="S3112" s="47"/>
      <c r="T3112" s="45"/>
      <c r="U3112" s="45"/>
      <c r="V3112" s="45"/>
      <c r="W3112" s="45"/>
      <c r="X3112" s="47"/>
      <c r="Y3112" s="45"/>
      <c r="Z3112" s="45"/>
      <c r="AA3112" s="48"/>
      <c r="AB3112" s="48"/>
      <c r="AC3112" s="47"/>
      <c r="AD3112" s="47"/>
      <c r="AE3112" s="47"/>
    </row>
    <row r="3113" spans="1:31" x14ac:dyDescent="0.35">
      <c r="A3113" s="41"/>
      <c r="B3113" s="41"/>
      <c r="C3113" s="42"/>
      <c r="D3113" s="43"/>
      <c r="E3113" s="43"/>
      <c r="F3113" s="43"/>
      <c r="G3113" s="43"/>
      <c r="H3113" s="43"/>
      <c r="I3113" s="43"/>
      <c r="J3113" s="43"/>
      <c r="K3113" s="43"/>
      <c r="L3113" s="43"/>
      <c r="M3113" s="43"/>
      <c r="N3113" s="43"/>
      <c r="O3113" s="43"/>
      <c r="P3113" s="43"/>
      <c r="Q3113" s="43"/>
      <c r="R3113" s="43"/>
      <c r="S3113" s="43"/>
      <c r="T3113" s="43"/>
      <c r="U3113" s="43"/>
      <c r="V3113" s="41"/>
      <c r="W3113" s="41"/>
      <c r="X3113" s="41"/>
      <c r="Y3113" s="41"/>
      <c r="Z3113" s="41"/>
      <c r="AA3113" s="44"/>
      <c r="AB3113" s="44"/>
      <c r="AC3113" s="43"/>
      <c r="AD3113" s="43"/>
      <c r="AE3113" s="43"/>
    </row>
    <row r="3114" spans="1:31" x14ac:dyDescent="0.35">
      <c r="C3114" s="33"/>
      <c r="D3114" s="34"/>
      <c r="E3114" s="34"/>
      <c r="F3114" s="34"/>
      <c r="G3114" s="34"/>
      <c r="H3114" s="34"/>
      <c r="I3114" s="34"/>
      <c r="J3114" s="34"/>
      <c r="K3114" s="34"/>
      <c r="L3114" s="34"/>
      <c r="M3114" s="34"/>
      <c r="N3114" s="34"/>
      <c r="O3114" s="34"/>
      <c r="AA3114" s="35"/>
      <c r="AB3114" s="35"/>
      <c r="AC3114" s="34"/>
      <c r="AD3114" s="34"/>
      <c r="AE3114" s="34"/>
    </row>
    <row r="3115" spans="1:31" ht="15" thickBot="1" x14ac:dyDescent="0.4">
      <c r="A3115" s="45"/>
      <c r="B3115" s="45"/>
      <c r="C3115" s="46"/>
      <c r="D3115" s="47"/>
      <c r="E3115" s="47"/>
      <c r="F3115" s="47"/>
      <c r="G3115" s="47"/>
      <c r="H3115" s="47"/>
      <c r="I3115" s="47"/>
      <c r="J3115" s="47"/>
      <c r="K3115" s="47"/>
      <c r="L3115" s="47"/>
      <c r="M3115" s="47"/>
      <c r="N3115" s="47"/>
      <c r="O3115" s="47"/>
      <c r="P3115" s="47"/>
      <c r="Q3115" s="47"/>
      <c r="R3115" s="47"/>
      <c r="S3115" s="47"/>
      <c r="T3115" s="45"/>
      <c r="U3115" s="45"/>
      <c r="V3115" s="45"/>
      <c r="W3115" s="45"/>
      <c r="X3115" s="47"/>
      <c r="Y3115" s="45"/>
      <c r="Z3115" s="45"/>
      <c r="AA3115" s="48"/>
      <c r="AB3115" s="48"/>
      <c r="AC3115" s="47"/>
      <c r="AD3115" s="47"/>
      <c r="AE3115" s="47"/>
    </row>
    <row r="3116" spans="1:31" x14ac:dyDescent="0.35">
      <c r="A3116" s="41"/>
      <c r="B3116" s="41"/>
      <c r="C3116" s="42"/>
      <c r="D3116" s="43"/>
      <c r="E3116" s="43"/>
      <c r="F3116" s="43"/>
      <c r="G3116" s="43"/>
      <c r="H3116" s="43"/>
      <c r="I3116" s="43"/>
      <c r="J3116" s="43"/>
      <c r="K3116" s="43"/>
      <c r="L3116" s="43"/>
      <c r="M3116" s="43"/>
      <c r="N3116" s="43"/>
      <c r="O3116" s="43"/>
      <c r="P3116" s="43"/>
      <c r="Q3116" s="43"/>
      <c r="R3116" s="43"/>
      <c r="S3116" s="43"/>
      <c r="T3116" s="43"/>
      <c r="U3116" s="43"/>
      <c r="V3116" s="41"/>
      <c r="W3116" s="41"/>
      <c r="X3116" s="41"/>
      <c r="Y3116" s="41"/>
      <c r="Z3116" s="41"/>
      <c r="AA3116" s="44"/>
      <c r="AB3116" s="44"/>
      <c r="AC3116" s="43"/>
      <c r="AD3116" s="43"/>
      <c r="AE3116" s="43"/>
    </row>
    <row r="3117" spans="1:31" x14ac:dyDescent="0.35">
      <c r="C3117" s="33"/>
      <c r="D3117" s="34"/>
      <c r="E3117" s="34"/>
      <c r="F3117" s="34"/>
      <c r="G3117" s="34"/>
      <c r="H3117" s="34"/>
      <c r="I3117" s="34"/>
      <c r="J3117" s="34"/>
      <c r="K3117" s="34"/>
      <c r="L3117" s="34"/>
      <c r="M3117" s="34"/>
      <c r="N3117" s="34"/>
      <c r="O3117" s="34"/>
      <c r="AA3117" s="35"/>
      <c r="AB3117" s="35"/>
      <c r="AC3117" s="34"/>
      <c r="AD3117" s="34"/>
      <c r="AE3117" s="34"/>
    </row>
    <row r="3118" spans="1:31" ht="15" thickBot="1" x14ac:dyDescent="0.4">
      <c r="A3118" s="45"/>
      <c r="B3118" s="45"/>
      <c r="C3118" s="46"/>
      <c r="D3118" s="47"/>
      <c r="E3118" s="47"/>
      <c r="F3118" s="47"/>
      <c r="G3118" s="47"/>
      <c r="H3118" s="47"/>
      <c r="I3118" s="47"/>
      <c r="J3118" s="47"/>
      <c r="K3118" s="47"/>
      <c r="L3118" s="47"/>
      <c r="M3118" s="47"/>
      <c r="N3118" s="47"/>
      <c r="O3118" s="47"/>
      <c r="P3118" s="47"/>
      <c r="Q3118" s="47"/>
      <c r="R3118" s="47"/>
      <c r="S3118" s="47"/>
      <c r="T3118" s="45"/>
      <c r="U3118" s="45"/>
      <c r="V3118" s="45"/>
      <c r="W3118" s="45"/>
      <c r="X3118" s="47"/>
      <c r="Y3118" s="45"/>
      <c r="Z3118" s="45"/>
      <c r="AA3118" s="48"/>
      <c r="AB3118" s="48"/>
      <c r="AC3118" s="47"/>
      <c r="AD3118" s="47"/>
      <c r="AE3118" s="47"/>
    </row>
    <row r="3119" spans="1:31" x14ac:dyDescent="0.35">
      <c r="A3119" s="41"/>
      <c r="B3119" s="41"/>
      <c r="C3119" s="42"/>
      <c r="D3119" s="43"/>
      <c r="E3119" s="43"/>
      <c r="F3119" s="43"/>
      <c r="G3119" s="43"/>
      <c r="H3119" s="43"/>
      <c r="I3119" s="43"/>
      <c r="J3119" s="43"/>
      <c r="K3119" s="43"/>
      <c r="L3119" s="43"/>
      <c r="M3119" s="43"/>
      <c r="N3119" s="43"/>
      <c r="O3119" s="43"/>
      <c r="P3119" s="43"/>
      <c r="Q3119" s="43"/>
      <c r="R3119" s="43"/>
      <c r="S3119" s="43"/>
      <c r="T3119" s="43"/>
      <c r="U3119" s="43"/>
      <c r="V3119" s="41"/>
      <c r="W3119" s="41"/>
      <c r="X3119" s="41"/>
      <c r="Y3119" s="41"/>
      <c r="Z3119" s="41"/>
      <c r="AA3119" s="44"/>
      <c r="AB3119" s="44"/>
      <c r="AC3119" s="43"/>
      <c r="AD3119" s="43"/>
      <c r="AE3119" s="43"/>
    </row>
    <row r="3120" spans="1:31" x14ac:dyDescent="0.35">
      <c r="C3120" s="33"/>
      <c r="D3120" s="34"/>
      <c r="E3120" s="34"/>
      <c r="F3120" s="34"/>
      <c r="G3120" s="34"/>
      <c r="H3120" s="34"/>
      <c r="I3120" s="34"/>
      <c r="J3120" s="34"/>
      <c r="K3120" s="34"/>
      <c r="L3120" s="34"/>
      <c r="M3120" s="34"/>
      <c r="N3120" s="34"/>
      <c r="O3120" s="34"/>
      <c r="AA3120" s="35"/>
      <c r="AB3120" s="35"/>
      <c r="AC3120" s="34"/>
      <c r="AD3120" s="34"/>
      <c r="AE3120" s="34"/>
    </row>
    <row r="3121" spans="1:31" ht="15" thickBot="1" x14ac:dyDescent="0.4">
      <c r="A3121" s="45"/>
      <c r="B3121" s="45"/>
      <c r="C3121" s="46"/>
      <c r="D3121" s="47"/>
      <c r="E3121" s="47"/>
      <c r="F3121" s="47"/>
      <c r="G3121" s="47"/>
      <c r="H3121" s="47"/>
      <c r="I3121" s="47"/>
      <c r="J3121" s="47"/>
      <c r="K3121" s="47"/>
      <c r="L3121" s="47"/>
      <c r="M3121" s="47"/>
      <c r="N3121" s="47"/>
      <c r="O3121" s="47"/>
      <c r="P3121" s="47"/>
      <c r="Q3121" s="47"/>
      <c r="R3121" s="47"/>
      <c r="S3121" s="47"/>
      <c r="T3121" s="45"/>
      <c r="U3121" s="45"/>
      <c r="V3121" s="45"/>
      <c r="W3121" s="45"/>
      <c r="X3121" s="47"/>
      <c r="Y3121" s="45"/>
      <c r="Z3121" s="45"/>
      <c r="AA3121" s="48"/>
      <c r="AB3121" s="48"/>
      <c r="AC3121" s="47"/>
      <c r="AD3121" s="47"/>
      <c r="AE3121" s="47"/>
    </row>
    <row r="3122" spans="1:31" x14ac:dyDescent="0.35">
      <c r="A3122" s="41"/>
      <c r="B3122" s="41"/>
      <c r="C3122" s="42"/>
      <c r="D3122" s="43"/>
      <c r="E3122" s="43"/>
      <c r="F3122" s="43"/>
      <c r="G3122" s="43"/>
      <c r="H3122" s="43"/>
      <c r="I3122" s="43"/>
      <c r="J3122" s="43"/>
      <c r="K3122" s="43"/>
      <c r="L3122" s="43"/>
      <c r="M3122" s="43"/>
      <c r="N3122" s="43"/>
      <c r="O3122" s="43"/>
      <c r="P3122" s="43"/>
      <c r="Q3122" s="43"/>
      <c r="R3122" s="43"/>
      <c r="S3122" s="43"/>
      <c r="T3122" s="43"/>
      <c r="U3122" s="43"/>
      <c r="V3122" s="41"/>
      <c r="W3122" s="41"/>
      <c r="X3122" s="41"/>
      <c r="Y3122" s="41"/>
      <c r="Z3122" s="41"/>
      <c r="AA3122" s="44"/>
      <c r="AB3122" s="44"/>
      <c r="AC3122" s="43"/>
      <c r="AD3122" s="43"/>
      <c r="AE3122" s="43"/>
    </row>
    <row r="3123" spans="1:31" x14ac:dyDescent="0.35">
      <c r="C3123" s="33"/>
      <c r="D3123" s="34"/>
      <c r="E3123" s="34"/>
      <c r="F3123" s="34"/>
      <c r="G3123" s="34"/>
      <c r="H3123" s="34"/>
      <c r="I3123" s="34"/>
      <c r="J3123" s="34"/>
      <c r="K3123" s="34"/>
      <c r="L3123" s="34"/>
      <c r="M3123" s="34"/>
      <c r="N3123" s="34"/>
      <c r="O3123" s="34"/>
      <c r="AA3123" s="35"/>
      <c r="AB3123" s="35"/>
      <c r="AC3123" s="34"/>
      <c r="AD3123" s="34"/>
      <c r="AE3123" s="34"/>
    </row>
    <row r="3124" spans="1:31" ht="15" thickBot="1" x14ac:dyDescent="0.4">
      <c r="A3124" s="45"/>
      <c r="B3124" s="45"/>
      <c r="C3124" s="46"/>
      <c r="D3124" s="47"/>
      <c r="E3124" s="47"/>
      <c r="F3124" s="47"/>
      <c r="G3124" s="47"/>
      <c r="H3124" s="47"/>
      <c r="I3124" s="47"/>
      <c r="J3124" s="47"/>
      <c r="K3124" s="47"/>
      <c r="L3124" s="47"/>
      <c r="M3124" s="47"/>
      <c r="N3124" s="47"/>
      <c r="O3124" s="47"/>
      <c r="P3124" s="47"/>
      <c r="Q3124" s="47"/>
      <c r="R3124" s="47"/>
      <c r="S3124" s="47"/>
      <c r="T3124" s="45"/>
      <c r="U3124" s="45"/>
      <c r="V3124" s="45"/>
      <c r="W3124" s="45"/>
      <c r="X3124" s="47"/>
      <c r="Y3124" s="45"/>
      <c r="Z3124" s="45"/>
      <c r="AA3124" s="48"/>
      <c r="AB3124" s="48"/>
      <c r="AC3124" s="47"/>
      <c r="AD3124" s="47"/>
      <c r="AE3124" s="47"/>
    </row>
    <row r="3125" spans="1:31" x14ac:dyDescent="0.35">
      <c r="A3125" s="41"/>
      <c r="B3125" s="41"/>
      <c r="C3125" s="42"/>
      <c r="D3125" s="43"/>
      <c r="E3125" s="43"/>
      <c r="F3125" s="43"/>
      <c r="G3125" s="43"/>
      <c r="H3125" s="43"/>
      <c r="I3125" s="43"/>
      <c r="J3125" s="43"/>
      <c r="K3125" s="43"/>
      <c r="L3125" s="43"/>
      <c r="M3125" s="43"/>
      <c r="N3125" s="43"/>
      <c r="O3125" s="43"/>
      <c r="P3125" s="43"/>
      <c r="Q3125" s="43"/>
      <c r="R3125" s="43"/>
      <c r="S3125" s="43"/>
      <c r="T3125" s="43"/>
      <c r="U3125" s="43"/>
      <c r="V3125" s="41"/>
      <c r="W3125" s="41"/>
      <c r="X3125" s="41"/>
      <c r="Y3125" s="41"/>
      <c r="Z3125" s="41"/>
      <c r="AA3125" s="44"/>
      <c r="AB3125" s="44"/>
      <c r="AC3125" s="43"/>
      <c r="AD3125" s="43"/>
      <c r="AE3125" s="43"/>
    </row>
    <row r="3126" spans="1:31" x14ac:dyDescent="0.35">
      <c r="C3126" s="33"/>
      <c r="D3126" s="34"/>
      <c r="E3126" s="34"/>
      <c r="F3126" s="34"/>
      <c r="G3126" s="34"/>
      <c r="H3126" s="34"/>
      <c r="I3126" s="34"/>
      <c r="J3126" s="34"/>
      <c r="K3126" s="34"/>
      <c r="L3126" s="34"/>
      <c r="M3126" s="34"/>
      <c r="N3126" s="34"/>
      <c r="O3126" s="34"/>
      <c r="AA3126" s="35"/>
      <c r="AB3126" s="35"/>
      <c r="AC3126" s="34"/>
      <c r="AD3126" s="34"/>
      <c r="AE3126" s="34"/>
    </row>
    <row r="3127" spans="1:31" ht="15" thickBot="1" x14ac:dyDescent="0.4">
      <c r="A3127" s="45"/>
      <c r="B3127" s="45"/>
      <c r="C3127" s="46"/>
      <c r="D3127" s="47"/>
      <c r="E3127" s="47"/>
      <c r="F3127" s="47"/>
      <c r="G3127" s="47"/>
      <c r="H3127" s="47"/>
      <c r="I3127" s="47"/>
      <c r="J3127" s="47"/>
      <c r="K3127" s="47"/>
      <c r="L3127" s="47"/>
      <c r="M3127" s="47"/>
      <c r="N3127" s="47"/>
      <c r="O3127" s="47"/>
      <c r="P3127" s="47"/>
      <c r="Q3127" s="47"/>
      <c r="R3127" s="47"/>
      <c r="S3127" s="47"/>
      <c r="T3127" s="45"/>
      <c r="U3127" s="45"/>
      <c r="V3127" s="45"/>
      <c r="W3127" s="45"/>
      <c r="X3127" s="47"/>
      <c r="Y3127" s="45"/>
      <c r="Z3127" s="45"/>
      <c r="AA3127" s="48"/>
      <c r="AB3127" s="48"/>
      <c r="AC3127" s="47"/>
      <c r="AD3127" s="47"/>
      <c r="AE3127" s="47"/>
    </row>
    <row r="3128" spans="1:31" x14ac:dyDescent="0.35">
      <c r="A3128" s="41"/>
      <c r="B3128" s="41"/>
      <c r="C3128" s="42"/>
      <c r="D3128" s="43"/>
      <c r="E3128" s="43"/>
      <c r="F3128" s="43"/>
      <c r="G3128" s="43"/>
      <c r="H3128" s="43"/>
      <c r="I3128" s="43"/>
      <c r="J3128" s="43"/>
      <c r="K3128" s="43"/>
      <c r="L3128" s="43"/>
      <c r="M3128" s="43"/>
      <c r="N3128" s="43"/>
      <c r="O3128" s="43"/>
      <c r="P3128" s="43"/>
      <c r="Q3128" s="43"/>
      <c r="R3128" s="43"/>
      <c r="S3128" s="43"/>
      <c r="T3128" s="43"/>
      <c r="U3128" s="43"/>
      <c r="V3128" s="41"/>
      <c r="W3128" s="41"/>
      <c r="X3128" s="41"/>
      <c r="Y3128" s="41"/>
      <c r="Z3128" s="41"/>
      <c r="AA3128" s="44"/>
      <c r="AB3128" s="44"/>
      <c r="AC3128" s="43"/>
      <c r="AD3128" s="43"/>
      <c r="AE3128" s="43"/>
    </row>
    <row r="3129" spans="1:31" x14ac:dyDescent="0.35">
      <c r="C3129" s="33"/>
      <c r="D3129" s="34"/>
      <c r="E3129" s="34"/>
      <c r="F3129" s="34"/>
      <c r="G3129" s="34"/>
      <c r="H3129" s="34"/>
      <c r="I3129" s="34"/>
      <c r="J3129" s="34"/>
      <c r="K3129" s="34"/>
      <c r="L3129" s="34"/>
      <c r="M3129" s="34"/>
      <c r="N3129" s="34"/>
      <c r="O3129" s="34"/>
      <c r="AA3129" s="35"/>
      <c r="AB3129" s="35"/>
      <c r="AC3129" s="34"/>
      <c r="AD3129" s="34"/>
      <c r="AE3129" s="34"/>
    </row>
    <row r="3130" spans="1:31" ht="15" thickBot="1" x14ac:dyDescent="0.4">
      <c r="A3130" s="45"/>
      <c r="B3130" s="45"/>
      <c r="C3130" s="46"/>
      <c r="D3130" s="47"/>
      <c r="E3130" s="47"/>
      <c r="F3130" s="47"/>
      <c r="G3130" s="47"/>
      <c r="H3130" s="47"/>
      <c r="I3130" s="47"/>
      <c r="J3130" s="47"/>
      <c r="K3130" s="47"/>
      <c r="L3130" s="47"/>
      <c r="M3130" s="47"/>
      <c r="N3130" s="47"/>
      <c r="O3130" s="47"/>
      <c r="P3130" s="47"/>
      <c r="Q3130" s="47"/>
      <c r="R3130" s="47"/>
      <c r="S3130" s="47"/>
      <c r="T3130" s="45"/>
      <c r="U3130" s="45"/>
      <c r="V3130" s="45"/>
      <c r="W3130" s="45"/>
      <c r="X3130" s="47"/>
      <c r="Y3130" s="45"/>
      <c r="Z3130" s="45"/>
      <c r="AA3130" s="48"/>
      <c r="AB3130" s="48"/>
      <c r="AC3130" s="47"/>
      <c r="AD3130" s="47"/>
      <c r="AE3130" s="47"/>
    </row>
    <row r="3131" spans="1:31" x14ac:dyDescent="0.35">
      <c r="A3131" s="41"/>
      <c r="B3131" s="41"/>
      <c r="C3131" s="42"/>
      <c r="D3131" s="43"/>
      <c r="E3131" s="43"/>
      <c r="F3131" s="43"/>
      <c r="G3131" s="43"/>
      <c r="H3131" s="43"/>
      <c r="I3131" s="43"/>
      <c r="J3131" s="43"/>
      <c r="K3131" s="43"/>
      <c r="L3131" s="43"/>
      <c r="M3131" s="43"/>
      <c r="N3131" s="43"/>
      <c r="O3131" s="43"/>
      <c r="P3131" s="43"/>
      <c r="Q3131" s="43"/>
      <c r="R3131" s="43"/>
      <c r="S3131" s="43"/>
      <c r="T3131" s="43"/>
      <c r="U3131" s="43"/>
      <c r="V3131" s="41"/>
      <c r="W3131" s="41"/>
      <c r="X3131" s="41"/>
      <c r="Y3131" s="41"/>
      <c r="Z3131" s="41"/>
      <c r="AA3131" s="44"/>
      <c r="AB3131" s="44"/>
      <c r="AC3131" s="43"/>
      <c r="AD3131" s="43"/>
      <c r="AE3131" s="43"/>
    </row>
    <row r="3132" spans="1:31" x14ac:dyDescent="0.35">
      <c r="C3132" s="33"/>
      <c r="D3132" s="34"/>
      <c r="E3132" s="34"/>
      <c r="F3132" s="34"/>
      <c r="G3132" s="34"/>
      <c r="H3132" s="34"/>
      <c r="I3132" s="34"/>
      <c r="J3132" s="34"/>
      <c r="K3132" s="34"/>
      <c r="L3132" s="34"/>
      <c r="M3132" s="34"/>
      <c r="N3132" s="34"/>
      <c r="O3132" s="34"/>
      <c r="AA3132" s="35"/>
      <c r="AB3132" s="35"/>
      <c r="AC3132" s="34"/>
      <c r="AD3132" s="34"/>
      <c r="AE3132" s="34"/>
    </row>
    <row r="3133" spans="1:31" ht="15" thickBot="1" x14ac:dyDescent="0.4">
      <c r="A3133" s="45"/>
      <c r="B3133" s="45"/>
      <c r="C3133" s="46"/>
      <c r="D3133" s="47"/>
      <c r="E3133" s="47"/>
      <c r="F3133" s="47"/>
      <c r="G3133" s="47"/>
      <c r="H3133" s="47"/>
      <c r="I3133" s="47"/>
      <c r="J3133" s="47"/>
      <c r="K3133" s="47"/>
      <c r="L3133" s="47"/>
      <c r="M3133" s="47"/>
      <c r="N3133" s="47"/>
      <c r="O3133" s="47"/>
      <c r="P3133" s="47"/>
      <c r="Q3133" s="47"/>
      <c r="R3133" s="47"/>
      <c r="S3133" s="47"/>
      <c r="T3133" s="45"/>
      <c r="U3133" s="45"/>
      <c r="V3133" s="45"/>
      <c r="W3133" s="45"/>
      <c r="X3133" s="47"/>
      <c r="Y3133" s="45"/>
      <c r="Z3133" s="45"/>
      <c r="AA3133" s="48"/>
      <c r="AB3133" s="48"/>
      <c r="AC3133" s="47"/>
      <c r="AD3133" s="47"/>
      <c r="AE3133" s="47"/>
    </row>
    <row r="3134" spans="1:31" x14ac:dyDescent="0.35">
      <c r="A3134" s="41"/>
      <c r="B3134" s="41"/>
      <c r="C3134" s="42"/>
      <c r="D3134" s="43"/>
      <c r="E3134" s="43"/>
      <c r="F3134" s="43"/>
      <c r="G3134" s="43"/>
      <c r="H3134" s="43"/>
      <c r="I3134" s="43"/>
      <c r="J3134" s="43"/>
      <c r="K3134" s="43"/>
      <c r="L3134" s="43"/>
      <c r="M3134" s="43"/>
      <c r="N3134" s="43"/>
      <c r="O3134" s="43"/>
      <c r="P3134" s="43"/>
      <c r="Q3134" s="43"/>
      <c r="R3134" s="43"/>
      <c r="S3134" s="43"/>
      <c r="T3134" s="43"/>
      <c r="U3134" s="43"/>
      <c r="V3134" s="41"/>
      <c r="W3134" s="41"/>
      <c r="X3134" s="41"/>
      <c r="Y3134" s="41"/>
      <c r="Z3134" s="41"/>
      <c r="AA3134" s="44"/>
      <c r="AB3134" s="44"/>
      <c r="AC3134" s="43"/>
      <c r="AD3134" s="43"/>
      <c r="AE3134" s="43"/>
    </row>
    <row r="3135" spans="1:31" x14ac:dyDescent="0.35">
      <c r="C3135" s="33"/>
      <c r="D3135" s="34"/>
      <c r="E3135" s="34"/>
      <c r="F3135" s="34"/>
      <c r="G3135" s="34"/>
      <c r="H3135" s="34"/>
      <c r="I3135" s="34"/>
      <c r="J3135" s="34"/>
      <c r="K3135" s="34"/>
      <c r="L3135" s="34"/>
      <c r="M3135" s="34"/>
      <c r="N3135" s="34"/>
      <c r="O3135" s="34"/>
      <c r="AA3135" s="35"/>
      <c r="AB3135" s="35"/>
      <c r="AC3135" s="34"/>
      <c r="AD3135" s="34"/>
      <c r="AE3135" s="34"/>
    </row>
    <row r="3136" spans="1:31" ht="15" thickBot="1" x14ac:dyDescent="0.4">
      <c r="A3136" s="45"/>
      <c r="B3136" s="45"/>
      <c r="C3136" s="46"/>
      <c r="D3136" s="47"/>
      <c r="E3136" s="47"/>
      <c r="F3136" s="47"/>
      <c r="G3136" s="47"/>
      <c r="H3136" s="47"/>
      <c r="I3136" s="47"/>
      <c r="J3136" s="47"/>
      <c r="K3136" s="47"/>
      <c r="L3136" s="47"/>
      <c r="M3136" s="47"/>
      <c r="N3136" s="47"/>
      <c r="O3136" s="47"/>
      <c r="P3136" s="47"/>
      <c r="Q3136" s="47"/>
      <c r="R3136" s="47"/>
      <c r="S3136" s="47"/>
      <c r="T3136" s="45"/>
      <c r="U3136" s="45"/>
      <c r="V3136" s="45"/>
      <c r="W3136" s="45"/>
      <c r="X3136" s="47"/>
      <c r="Y3136" s="45"/>
      <c r="Z3136" s="45"/>
      <c r="AA3136" s="48"/>
      <c r="AB3136" s="48"/>
      <c r="AC3136" s="47"/>
      <c r="AD3136" s="47"/>
      <c r="AE3136" s="47"/>
    </row>
    <row r="3137" spans="1:31" x14ac:dyDescent="0.35">
      <c r="A3137" s="41"/>
      <c r="B3137" s="41"/>
      <c r="C3137" s="42"/>
      <c r="D3137" s="43"/>
      <c r="E3137" s="43"/>
      <c r="F3137" s="43"/>
      <c r="G3137" s="43"/>
      <c r="H3137" s="43"/>
      <c r="I3137" s="43"/>
      <c r="J3137" s="43"/>
      <c r="K3137" s="43"/>
      <c r="L3137" s="43"/>
      <c r="M3137" s="43"/>
      <c r="N3137" s="43"/>
      <c r="O3137" s="43"/>
      <c r="P3137" s="43"/>
      <c r="Q3137" s="43"/>
      <c r="R3137" s="43"/>
      <c r="S3137" s="43"/>
      <c r="T3137" s="43"/>
      <c r="U3137" s="43"/>
      <c r="V3137" s="41"/>
      <c r="W3137" s="41"/>
      <c r="X3137" s="41"/>
      <c r="Y3137" s="41"/>
      <c r="Z3137" s="41"/>
      <c r="AA3137" s="44"/>
      <c r="AB3137" s="44"/>
      <c r="AC3137" s="43"/>
      <c r="AD3137" s="43"/>
      <c r="AE3137" s="43"/>
    </row>
    <row r="3138" spans="1:31" x14ac:dyDescent="0.35">
      <c r="C3138" s="33"/>
      <c r="D3138" s="34"/>
      <c r="E3138" s="34"/>
      <c r="F3138" s="34"/>
      <c r="G3138" s="34"/>
      <c r="H3138" s="34"/>
      <c r="I3138" s="34"/>
      <c r="J3138" s="34"/>
      <c r="K3138" s="34"/>
      <c r="L3138" s="34"/>
      <c r="M3138" s="34"/>
      <c r="N3138" s="34"/>
      <c r="O3138" s="34"/>
      <c r="AA3138" s="35"/>
      <c r="AB3138" s="35"/>
      <c r="AC3138" s="34"/>
      <c r="AD3138" s="34"/>
      <c r="AE3138" s="34"/>
    </row>
    <row r="3139" spans="1:31" ht="15" thickBot="1" x14ac:dyDescent="0.4">
      <c r="A3139" s="45"/>
      <c r="B3139" s="45"/>
      <c r="C3139" s="46"/>
      <c r="D3139" s="47"/>
      <c r="E3139" s="47"/>
      <c r="F3139" s="47"/>
      <c r="G3139" s="47"/>
      <c r="H3139" s="47"/>
      <c r="I3139" s="47"/>
      <c r="J3139" s="47"/>
      <c r="K3139" s="47"/>
      <c r="L3139" s="47"/>
      <c r="M3139" s="47"/>
      <c r="N3139" s="47"/>
      <c r="O3139" s="47"/>
      <c r="P3139" s="47"/>
      <c r="Q3139" s="47"/>
      <c r="R3139" s="47"/>
      <c r="S3139" s="47"/>
      <c r="T3139" s="45"/>
      <c r="U3139" s="45"/>
      <c r="V3139" s="45"/>
      <c r="W3139" s="45"/>
      <c r="X3139" s="47"/>
      <c r="Y3139" s="45"/>
      <c r="Z3139" s="45"/>
      <c r="AA3139" s="48"/>
      <c r="AB3139" s="48"/>
      <c r="AC3139" s="47"/>
      <c r="AD3139" s="47"/>
      <c r="AE3139" s="47"/>
    </row>
    <row r="3140" spans="1:31" x14ac:dyDescent="0.35">
      <c r="A3140" s="41"/>
      <c r="B3140" s="41"/>
      <c r="C3140" s="42"/>
      <c r="D3140" s="43"/>
      <c r="E3140" s="43"/>
      <c r="F3140" s="43"/>
      <c r="G3140" s="43"/>
      <c r="H3140" s="43"/>
      <c r="I3140" s="43"/>
      <c r="J3140" s="43"/>
      <c r="K3140" s="43"/>
      <c r="L3140" s="43"/>
      <c r="M3140" s="43"/>
      <c r="N3140" s="43"/>
      <c r="O3140" s="43"/>
      <c r="P3140" s="43"/>
      <c r="Q3140" s="43"/>
      <c r="R3140" s="43"/>
      <c r="S3140" s="43"/>
      <c r="T3140" s="43"/>
      <c r="U3140" s="43"/>
      <c r="V3140" s="41"/>
      <c r="W3140" s="41"/>
      <c r="X3140" s="41"/>
      <c r="Y3140" s="41"/>
      <c r="Z3140" s="41"/>
      <c r="AA3140" s="44"/>
      <c r="AB3140" s="44"/>
      <c r="AC3140" s="43"/>
      <c r="AD3140" s="43"/>
      <c r="AE3140" s="43"/>
    </row>
    <row r="3141" spans="1:31" x14ac:dyDescent="0.35">
      <c r="C3141" s="33"/>
      <c r="D3141" s="34"/>
      <c r="E3141" s="34"/>
      <c r="F3141" s="34"/>
      <c r="G3141" s="34"/>
      <c r="H3141" s="34"/>
      <c r="I3141" s="34"/>
      <c r="J3141" s="34"/>
      <c r="K3141" s="34"/>
      <c r="L3141" s="34"/>
      <c r="M3141" s="34"/>
      <c r="N3141" s="34"/>
      <c r="O3141" s="34"/>
      <c r="AA3141" s="35"/>
      <c r="AB3141" s="35"/>
      <c r="AC3141" s="34"/>
      <c r="AD3141" s="34"/>
      <c r="AE3141" s="34"/>
    </row>
    <row r="3142" spans="1:31" ht="15" thickBot="1" x14ac:dyDescent="0.4">
      <c r="A3142" s="45"/>
      <c r="B3142" s="45"/>
      <c r="C3142" s="46"/>
      <c r="D3142" s="47"/>
      <c r="E3142" s="47"/>
      <c r="F3142" s="47"/>
      <c r="G3142" s="47"/>
      <c r="H3142" s="47"/>
      <c r="I3142" s="47"/>
      <c r="J3142" s="47"/>
      <c r="K3142" s="47"/>
      <c r="L3142" s="47"/>
      <c r="M3142" s="47"/>
      <c r="N3142" s="47"/>
      <c r="O3142" s="47"/>
      <c r="P3142" s="47"/>
      <c r="Q3142" s="47"/>
      <c r="R3142" s="47"/>
      <c r="S3142" s="47"/>
      <c r="T3142" s="45"/>
      <c r="U3142" s="45"/>
      <c r="V3142" s="45"/>
      <c r="W3142" s="45"/>
      <c r="X3142" s="47"/>
      <c r="Y3142" s="45"/>
      <c r="Z3142" s="45"/>
      <c r="AA3142" s="48"/>
      <c r="AB3142" s="48"/>
      <c r="AC3142" s="47"/>
      <c r="AD3142" s="47"/>
      <c r="AE3142" s="47"/>
    </row>
    <row r="3143" spans="1:31" x14ac:dyDescent="0.35">
      <c r="A3143" s="41"/>
      <c r="B3143" s="41"/>
      <c r="C3143" s="42"/>
      <c r="D3143" s="43"/>
      <c r="E3143" s="43"/>
      <c r="F3143" s="43"/>
      <c r="G3143" s="43"/>
      <c r="H3143" s="43"/>
      <c r="I3143" s="43"/>
      <c r="J3143" s="43"/>
      <c r="K3143" s="43"/>
      <c r="L3143" s="43"/>
      <c r="M3143" s="43"/>
      <c r="N3143" s="43"/>
      <c r="O3143" s="43"/>
      <c r="P3143" s="43"/>
      <c r="Q3143" s="43"/>
      <c r="R3143" s="43"/>
      <c r="S3143" s="43"/>
      <c r="T3143" s="43"/>
      <c r="U3143" s="43"/>
      <c r="V3143" s="41"/>
      <c r="W3143" s="41"/>
      <c r="X3143" s="41"/>
      <c r="Y3143" s="41"/>
      <c r="Z3143" s="41"/>
      <c r="AA3143" s="44"/>
      <c r="AB3143" s="44"/>
      <c r="AC3143" s="43"/>
      <c r="AD3143" s="43"/>
      <c r="AE3143" s="43"/>
    </row>
    <row r="3144" spans="1:31" x14ac:dyDescent="0.35">
      <c r="C3144" s="33"/>
      <c r="D3144" s="34"/>
      <c r="E3144" s="34"/>
      <c r="F3144" s="34"/>
      <c r="G3144" s="34"/>
      <c r="H3144" s="34"/>
      <c r="I3144" s="34"/>
      <c r="J3144" s="34"/>
      <c r="K3144" s="34"/>
      <c r="L3144" s="34"/>
      <c r="M3144" s="34"/>
      <c r="N3144" s="34"/>
      <c r="O3144" s="34"/>
      <c r="AA3144" s="35"/>
      <c r="AB3144" s="35"/>
      <c r="AC3144" s="34"/>
      <c r="AD3144" s="34"/>
      <c r="AE3144" s="34"/>
    </row>
    <row r="3145" spans="1:31" ht="15" thickBot="1" x14ac:dyDescent="0.4">
      <c r="A3145" s="45"/>
      <c r="B3145" s="45"/>
      <c r="C3145" s="46"/>
      <c r="D3145" s="47"/>
      <c r="E3145" s="47"/>
      <c r="F3145" s="47"/>
      <c r="G3145" s="47"/>
      <c r="H3145" s="47"/>
      <c r="I3145" s="47"/>
      <c r="J3145" s="47"/>
      <c r="K3145" s="47"/>
      <c r="L3145" s="47"/>
      <c r="M3145" s="47"/>
      <c r="N3145" s="47"/>
      <c r="O3145" s="47"/>
      <c r="P3145" s="47"/>
      <c r="Q3145" s="47"/>
      <c r="R3145" s="47"/>
      <c r="S3145" s="47"/>
      <c r="T3145" s="45"/>
      <c r="U3145" s="45"/>
      <c r="V3145" s="45"/>
      <c r="W3145" s="45"/>
      <c r="X3145" s="47"/>
      <c r="Y3145" s="45"/>
      <c r="Z3145" s="45"/>
      <c r="AA3145" s="48"/>
      <c r="AB3145" s="48"/>
      <c r="AC3145" s="47"/>
      <c r="AD3145" s="47"/>
      <c r="AE3145" s="47"/>
    </row>
    <row r="3146" spans="1:31" x14ac:dyDescent="0.35">
      <c r="A3146" s="41"/>
      <c r="B3146" s="41"/>
      <c r="C3146" s="42"/>
      <c r="D3146" s="43"/>
      <c r="E3146" s="43"/>
      <c r="F3146" s="43"/>
      <c r="G3146" s="43"/>
      <c r="H3146" s="43"/>
      <c r="I3146" s="43"/>
      <c r="J3146" s="43"/>
      <c r="K3146" s="43"/>
      <c r="L3146" s="43"/>
      <c r="M3146" s="43"/>
      <c r="N3146" s="43"/>
      <c r="O3146" s="43"/>
      <c r="P3146" s="43"/>
      <c r="Q3146" s="43"/>
      <c r="R3146" s="43"/>
      <c r="S3146" s="43"/>
      <c r="T3146" s="43"/>
      <c r="U3146" s="43"/>
      <c r="V3146" s="41"/>
      <c r="W3146" s="41"/>
      <c r="X3146" s="41"/>
      <c r="Y3146" s="41"/>
      <c r="Z3146" s="41"/>
      <c r="AA3146" s="44"/>
      <c r="AB3146" s="44"/>
      <c r="AC3146" s="43"/>
      <c r="AD3146" s="43"/>
      <c r="AE3146" s="43"/>
    </row>
    <row r="3147" spans="1:31" x14ac:dyDescent="0.35">
      <c r="C3147" s="33"/>
      <c r="D3147" s="34"/>
      <c r="E3147" s="34"/>
      <c r="F3147" s="34"/>
      <c r="G3147" s="34"/>
      <c r="H3147" s="34"/>
      <c r="I3147" s="34"/>
      <c r="J3147" s="34"/>
      <c r="K3147" s="34"/>
      <c r="L3147" s="34"/>
      <c r="M3147" s="34"/>
      <c r="N3147" s="34"/>
      <c r="O3147" s="34"/>
      <c r="AA3147" s="35"/>
      <c r="AB3147" s="35"/>
      <c r="AC3147" s="34"/>
      <c r="AD3147" s="34"/>
      <c r="AE3147" s="34"/>
    </row>
    <row r="3148" spans="1:31" ht="15" thickBot="1" x14ac:dyDescent="0.4">
      <c r="A3148" s="45"/>
      <c r="B3148" s="45"/>
      <c r="C3148" s="46"/>
      <c r="D3148" s="47"/>
      <c r="E3148" s="47"/>
      <c r="F3148" s="47"/>
      <c r="G3148" s="47"/>
      <c r="H3148" s="47"/>
      <c r="I3148" s="47"/>
      <c r="J3148" s="47"/>
      <c r="K3148" s="47"/>
      <c r="L3148" s="47"/>
      <c r="M3148" s="47"/>
      <c r="N3148" s="47"/>
      <c r="O3148" s="47"/>
      <c r="P3148" s="47"/>
      <c r="Q3148" s="47"/>
      <c r="R3148" s="47"/>
      <c r="S3148" s="47"/>
      <c r="T3148" s="45"/>
      <c r="U3148" s="45"/>
      <c r="V3148" s="45"/>
      <c r="W3148" s="45"/>
      <c r="X3148" s="47"/>
      <c r="Y3148" s="45"/>
      <c r="Z3148" s="45"/>
      <c r="AA3148" s="48"/>
      <c r="AB3148" s="48"/>
      <c r="AC3148" s="47"/>
      <c r="AD3148" s="47"/>
      <c r="AE3148" s="47"/>
    </row>
    <row r="3149" spans="1:31" x14ac:dyDescent="0.35">
      <c r="A3149" s="41"/>
      <c r="B3149" s="41"/>
      <c r="C3149" s="42"/>
      <c r="D3149" s="43"/>
      <c r="E3149" s="43"/>
      <c r="F3149" s="43"/>
      <c r="G3149" s="43"/>
      <c r="H3149" s="43"/>
      <c r="I3149" s="43"/>
      <c r="J3149" s="43"/>
      <c r="K3149" s="43"/>
      <c r="L3149" s="43"/>
      <c r="M3149" s="43"/>
      <c r="N3149" s="43"/>
      <c r="O3149" s="43"/>
      <c r="P3149" s="43"/>
      <c r="Q3149" s="43"/>
      <c r="R3149" s="43"/>
      <c r="S3149" s="43"/>
      <c r="T3149" s="43"/>
      <c r="U3149" s="43"/>
      <c r="V3149" s="41"/>
      <c r="W3149" s="41"/>
      <c r="X3149" s="41"/>
      <c r="Y3149" s="41"/>
      <c r="Z3149" s="41"/>
      <c r="AA3149" s="44"/>
      <c r="AB3149" s="44"/>
      <c r="AC3149" s="43"/>
      <c r="AD3149" s="43"/>
      <c r="AE3149" s="43"/>
    </row>
    <row r="3150" spans="1:31" x14ac:dyDescent="0.35">
      <c r="C3150" s="33"/>
      <c r="D3150" s="34"/>
      <c r="E3150" s="34"/>
      <c r="F3150" s="34"/>
      <c r="G3150" s="34"/>
      <c r="H3150" s="34"/>
      <c r="I3150" s="34"/>
      <c r="J3150" s="34"/>
      <c r="K3150" s="34"/>
      <c r="L3150" s="34"/>
      <c r="M3150" s="34"/>
      <c r="N3150" s="34"/>
      <c r="O3150" s="34"/>
      <c r="AA3150" s="35"/>
      <c r="AB3150" s="35"/>
      <c r="AC3150" s="34"/>
      <c r="AD3150" s="34"/>
      <c r="AE3150" s="34"/>
    </row>
    <row r="3151" spans="1:31" ht="15" thickBot="1" x14ac:dyDescent="0.4">
      <c r="A3151" s="45"/>
      <c r="B3151" s="45"/>
      <c r="C3151" s="46"/>
      <c r="D3151" s="47"/>
      <c r="E3151" s="47"/>
      <c r="F3151" s="47"/>
      <c r="G3151" s="47"/>
      <c r="H3151" s="47"/>
      <c r="I3151" s="47"/>
      <c r="J3151" s="47"/>
      <c r="K3151" s="47"/>
      <c r="L3151" s="47"/>
      <c r="M3151" s="47"/>
      <c r="N3151" s="47"/>
      <c r="O3151" s="47"/>
      <c r="P3151" s="47"/>
      <c r="Q3151" s="47"/>
      <c r="R3151" s="47"/>
      <c r="S3151" s="47"/>
      <c r="T3151" s="45"/>
      <c r="U3151" s="45"/>
      <c r="V3151" s="45"/>
      <c r="W3151" s="45"/>
      <c r="X3151" s="47"/>
      <c r="Y3151" s="45"/>
      <c r="Z3151" s="45"/>
      <c r="AA3151" s="48"/>
      <c r="AB3151" s="48"/>
      <c r="AC3151" s="47"/>
      <c r="AD3151" s="47"/>
      <c r="AE3151" s="47"/>
    </row>
    <row r="3152" spans="1:31" x14ac:dyDescent="0.35">
      <c r="A3152" s="41"/>
      <c r="B3152" s="41"/>
      <c r="C3152" s="42"/>
      <c r="D3152" s="43"/>
      <c r="E3152" s="43"/>
      <c r="F3152" s="43"/>
      <c r="G3152" s="43"/>
      <c r="H3152" s="43"/>
      <c r="I3152" s="43"/>
      <c r="J3152" s="43"/>
      <c r="K3152" s="43"/>
      <c r="L3152" s="43"/>
      <c r="M3152" s="43"/>
      <c r="N3152" s="43"/>
      <c r="O3152" s="43"/>
      <c r="P3152" s="43"/>
      <c r="Q3152" s="43"/>
      <c r="R3152" s="43"/>
      <c r="S3152" s="43"/>
      <c r="T3152" s="43"/>
      <c r="U3152" s="43"/>
      <c r="V3152" s="41"/>
      <c r="W3152" s="41"/>
      <c r="X3152" s="41"/>
      <c r="Y3152" s="41"/>
      <c r="Z3152" s="41"/>
      <c r="AA3152" s="44"/>
      <c r="AB3152" s="44"/>
      <c r="AC3152" s="43"/>
      <c r="AD3152" s="43"/>
      <c r="AE3152" s="43"/>
    </row>
    <row r="3153" spans="1:31" x14ac:dyDescent="0.35">
      <c r="C3153" s="33"/>
      <c r="D3153" s="34"/>
      <c r="E3153" s="34"/>
      <c r="F3153" s="34"/>
      <c r="G3153" s="34"/>
      <c r="H3153" s="34"/>
      <c r="I3153" s="34"/>
      <c r="J3153" s="34"/>
      <c r="K3153" s="34"/>
      <c r="L3153" s="34"/>
      <c r="M3153" s="34"/>
      <c r="N3153" s="34"/>
      <c r="O3153" s="34"/>
      <c r="AA3153" s="35"/>
      <c r="AB3153" s="35"/>
      <c r="AC3153" s="34"/>
      <c r="AD3153" s="34"/>
      <c r="AE3153" s="34"/>
    </row>
    <row r="3154" spans="1:31" ht="15" thickBot="1" x14ac:dyDescent="0.4">
      <c r="A3154" s="45"/>
      <c r="B3154" s="45"/>
      <c r="C3154" s="46"/>
      <c r="D3154" s="47"/>
      <c r="E3154" s="47"/>
      <c r="F3154" s="47"/>
      <c r="G3154" s="47"/>
      <c r="H3154" s="47"/>
      <c r="I3154" s="47"/>
      <c r="J3154" s="47"/>
      <c r="K3154" s="47"/>
      <c r="L3154" s="47"/>
      <c r="M3154" s="47"/>
      <c r="N3154" s="47"/>
      <c r="O3154" s="47"/>
      <c r="P3154" s="47"/>
      <c r="Q3154" s="47"/>
      <c r="R3154" s="47"/>
      <c r="S3154" s="47"/>
      <c r="T3154" s="45"/>
      <c r="U3154" s="45"/>
      <c r="V3154" s="45"/>
      <c r="W3154" s="45"/>
      <c r="X3154" s="47"/>
      <c r="Y3154" s="45"/>
      <c r="Z3154" s="45"/>
      <c r="AA3154" s="48"/>
      <c r="AB3154" s="48"/>
      <c r="AC3154" s="47"/>
      <c r="AD3154" s="47"/>
      <c r="AE3154" s="47"/>
    </row>
    <row r="3155" spans="1:31" x14ac:dyDescent="0.35">
      <c r="A3155" s="41"/>
      <c r="B3155" s="41"/>
      <c r="C3155" s="42"/>
      <c r="D3155" s="43"/>
      <c r="E3155" s="43"/>
      <c r="F3155" s="43"/>
      <c r="G3155" s="43"/>
      <c r="H3155" s="43"/>
      <c r="I3155" s="43"/>
      <c r="J3155" s="43"/>
      <c r="K3155" s="43"/>
      <c r="L3155" s="43"/>
      <c r="M3155" s="43"/>
      <c r="N3155" s="43"/>
      <c r="O3155" s="43"/>
      <c r="P3155" s="43"/>
      <c r="Q3155" s="43"/>
      <c r="R3155" s="43"/>
      <c r="S3155" s="43"/>
      <c r="T3155" s="43"/>
      <c r="U3155" s="43"/>
      <c r="V3155" s="41"/>
      <c r="W3155" s="41"/>
      <c r="X3155" s="41"/>
      <c r="Y3155" s="41"/>
      <c r="Z3155" s="41"/>
      <c r="AA3155" s="44"/>
      <c r="AB3155" s="44"/>
      <c r="AC3155" s="43"/>
      <c r="AD3155" s="43"/>
      <c r="AE3155" s="43"/>
    </row>
    <row r="3156" spans="1:31" x14ac:dyDescent="0.35">
      <c r="C3156" s="33"/>
      <c r="D3156" s="34"/>
      <c r="E3156" s="34"/>
      <c r="F3156" s="34"/>
      <c r="G3156" s="34"/>
      <c r="H3156" s="34"/>
      <c r="I3156" s="34"/>
      <c r="J3156" s="34"/>
      <c r="K3156" s="34"/>
      <c r="L3156" s="34"/>
      <c r="M3156" s="34"/>
      <c r="N3156" s="34"/>
      <c r="O3156" s="34"/>
      <c r="AA3156" s="35"/>
      <c r="AB3156" s="35"/>
      <c r="AC3156" s="34"/>
      <c r="AD3156" s="34"/>
      <c r="AE3156" s="34"/>
    </row>
    <row r="3157" spans="1:31" ht="15" thickBot="1" x14ac:dyDescent="0.4">
      <c r="A3157" s="45"/>
      <c r="B3157" s="45"/>
      <c r="C3157" s="46"/>
      <c r="D3157" s="47"/>
      <c r="E3157" s="47"/>
      <c r="F3157" s="47"/>
      <c r="G3157" s="47"/>
      <c r="H3157" s="47"/>
      <c r="I3157" s="47"/>
      <c r="J3157" s="47"/>
      <c r="K3157" s="47"/>
      <c r="L3157" s="47"/>
      <c r="M3157" s="47"/>
      <c r="N3157" s="47"/>
      <c r="O3157" s="47"/>
      <c r="P3157" s="47"/>
      <c r="Q3157" s="47"/>
      <c r="R3157" s="47"/>
      <c r="S3157" s="47"/>
      <c r="T3157" s="45"/>
      <c r="U3157" s="45"/>
      <c r="V3157" s="45"/>
      <c r="W3157" s="45"/>
      <c r="X3157" s="47"/>
      <c r="Y3157" s="45"/>
      <c r="Z3157" s="45"/>
      <c r="AA3157" s="48"/>
      <c r="AB3157" s="48"/>
      <c r="AC3157" s="47"/>
      <c r="AD3157" s="47"/>
      <c r="AE3157" s="47"/>
    </row>
    <row r="3158" spans="1:31" x14ac:dyDescent="0.35">
      <c r="A3158" s="41"/>
      <c r="B3158" s="41"/>
      <c r="C3158" s="42"/>
      <c r="D3158" s="43"/>
      <c r="E3158" s="43"/>
      <c r="F3158" s="43"/>
      <c r="G3158" s="43"/>
      <c r="H3158" s="43"/>
      <c r="I3158" s="43"/>
      <c r="J3158" s="43"/>
      <c r="K3158" s="43"/>
      <c r="L3158" s="43"/>
      <c r="M3158" s="43"/>
      <c r="N3158" s="43"/>
      <c r="O3158" s="43"/>
      <c r="P3158" s="43"/>
      <c r="Q3158" s="43"/>
      <c r="R3158" s="43"/>
      <c r="S3158" s="43"/>
      <c r="T3158" s="43"/>
      <c r="U3158" s="43"/>
      <c r="V3158" s="41"/>
      <c r="W3158" s="41"/>
      <c r="X3158" s="41"/>
      <c r="Y3158" s="41"/>
      <c r="Z3158" s="41"/>
      <c r="AA3158" s="44"/>
      <c r="AB3158" s="44"/>
      <c r="AC3158" s="43"/>
      <c r="AD3158" s="43"/>
      <c r="AE3158" s="43"/>
    </row>
    <row r="3159" spans="1:31" x14ac:dyDescent="0.35">
      <c r="C3159" s="33"/>
      <c r="D3159" s="34"/>
      <c r="E3159" s="34"/>
      <c r="F3159" s="34"/>
      <c r="G3159" s="34"/>
      <c r="H3159" s="34"/>
      <c r="I3159" s="34"/>
      <c r="J3159" s="34"/>
      <c r="K3159" s="34"/>
      <c r="L3159" s="34"/>
      <c r="M3159" s="34"/>
      <c r="N3159" s="34"/>
      <c r="O3159" s="34"/>
      <c r="AA3159" s="35"/>
      <c r="AB3159" s="35"/>
      <c r="AC3159" s="34"/>
      <c r="AD3159" s="34"/>
      <c r="AE3159" s="34"/>
    </row>
    <row r="3160" spans="1:31" ht="15" thickBot="1" x14ac:dyDescent="0.4">
      <c r="A3160" s="45"/>
      <c r="B3160" s="45"/>
      <c r="C3160" s="46"/>
      <c r="D3160" s="47"/>
      <c r="E3160" s="47"/>
      <c r="F3160" s="47"/>
      <c r="G3160" s="47"/>
      <c r="H3160" s="47"/>
      <c r="I3160" s="47"/>
      <c r="J3160" s="47"/>
      <c r="K3160" s="47"/>
      <c r="L3160" s="47"/>
      <c r="M3160" s="47"/>
      <c r="N3160" s="47"/>
      <c r="O3160" s="47"/>
      <c r="P3160" s="47"/>
      <c r="Q3160" s="47"/>
      <c r="R3160" s="47"/>
      <c r="S3160" s="47"/>
      <c r="T3160" s="45"/>
      <c r="U3160" s="45"/>
      <c r="V3160" s="45"/>
      <c r="W3160" s="45"/>
      <c r="X3160" s="47"/>
      <c r="Y3160" s="45"/>
      <c r="Z3160" s="45"/>
      <c r="AA3160" s="48"/>
      <c r="AB3160" s="48"/>
      <c r="AC3160" s="47"/>
      <c r="AD3160" s="47"/>
      <c r="AE3160" s="47"/>
    </row>
    <row r="3161" spans="1:31" x14ac:dyDescent="0.35">
      <c r="A3161" s="41"/>
      <c r="B3161" s="41"/>
      <c r="C3161" s="42"/>
      <c r="D3161" s="43"/>
      <c r="E3161" s="43"/>
      <c r="F3161" s="43"/>
      <c r="G3161" s="43"/>
      <c r="H3161" s="43"/>
      <c r="I3161" s="43"/>
      <c r="J3161" s="43"/>
      <c r="K3161" s="43"/>
      <c r="L3161" s="43"/>
      <c r="M3161" s="43"/>
      <c r="N3161" s="43"/>
      <c r="O3161" s="43"/>
      <c r="P3161" s="43"/>
      <c r="Q3161" s="43"/>
      <c r="R3161" s="43"/>
      <c r="S3161" s="43"/>
      <c r="T3161" s="43"/>
      <c r="U3161" s="43"/>
      <c r="V3161" s="41"/>
      <c r="W3161" s="41"/>
      <c r="X3161" s="41"/>
      <c r="Y3161" s="41"/>
      <c r="Z3161" s="41"/>
      <c r="AA3161" s="44"/>
      <c r="AB3161" s="44"/>
      <c r="AC3161" s="43"/>
      <c r="AD3161" s="43"/>
      <c r="AE3161" s="43"/>
    </row>
    <row r="3162" spans="1:31" x14ac:dyDescent="0.35">
      <c r="C3162" s="33"/>
      <c r="D3162" s="34"/>
      <c r="E3162" s="34"/>
      <c r="F3162" s="34"/>
      <c r="G3162" s="34"/>
      <c r="H3162" s="34"/>
      <c r="I3162" s="34"/>
      <c r="J3162" s="34"/>
      <c r="K3162" s="34"/>
      <c r="L3162" s="34"/>
      <c r="M3162" s="34"/>
      <c r="N3162" s="34"/>
      <c r="O3162" s="34"/>
      <c r="AA3162" s="35"/>
      <c r="AB3162" s="35"/>
      <c r="AC3162" s="34"/>
      <c r="AD3162" s="34"/>
      <c r="AE3162" s="34"/>
    </row>
    <row r="3163" spans="1:31" ht="15" thickBot="1" x14ac:dyDescent="0.4">
      <c r="A3163" s="45"/>
      <c r="B3163" s="45"/>
      <c r="C3163" s="46"/>
      <c r="D3163" s="47"/>
      <c r="E3163" s="47"/>
      <c r="F3163" s="47"/>
      <c r="G3163" s="47"/>
      <c r="H3163" s="47"/>
      <c r="I3163" s="47"/>
      <c r="J3163" s="47"/>
      <c r="K3163" s="47"/>
      <c r="L3163" s="47"/>
      <c r="M3163" s="47"/>
      <c r="N3163" s="47"/>
      <c r="O3163" s="47"/>
      <c r="P3163" s="47"/>
      <c r="Q3163" s="47"/>
      <c r="R3163" s="47"/>
      <c r="S3163" s="47"/>
      <c r="T3163" s="45"/>
      <c r="U3163" s="45"/>
      <c r="V3163" s="45"/>
      <c r="W3163" s="45"/>
      <c r="X3163" s="47"/>
      <c r="Y3163" s="45"/>
      <c r="Z3163" s="45"/>
      <c r="AA3163" s="48"/>
      <c r="AB3163" s="48"/>
      <c r="AC3163" s="47"/>
      <c r="AD3163" s="47"/>
      <c r="AE3163" s="47"/>
    </row>
    <row r="3164" spans="1:31" x14ac:dyDescent="0.35">
      <c r="A3164" s="41"/>
      <c r="B3164" s="41"/>
      <c r="C3164" s="42"/>
      <c r="D3164" s="43"/>
      <c r="E3164" s="43"/>
      <c r="F3164" s="43"/>
      <c r="G3164" s="43"/>
      <c r="H3164" s="43"/>
      <c r="I3164" s="43"/>
      <c r="J3164" s="43"/>
      <c r="K3164" s="43"/>
      <c r="L3164" s="43"/>
      <c r="M3164" s="43"/>
      <c r="N3164" s="43"/>
      <c r="O3164" s="43"/>
      <c r="P3164" s="43"/>
      <c r="Q3164" s="43"/>
      <c r="R3164" s="43"/>
      <c r="S3164" s="43"/>
      <c r="T3164" s="43"/>
      <c r="U3164" s="43"/>
      <c r="V3164" s="41"/>
      <c r="W3164" s="41"/>
      <c r="X3164" s="41"/>
      <c r="Y3164" s="41"/>
      <c r="Z3164" s="41"/>
      <c r="AA3164" s="44"/>
      <c r="AB3164" s="44"/>
      <c r="AC3164" s="43"/>
      <c r="AD3164" s="43"/>
      <c r="AE3164" s="43"/>
    </row>
    <row r="3165" spans="1:31" x14ac:dyDescent="0.35">
      <c r="C3165" s="33"/>
      <c r="D3165" s="34"/>
      <c r="E3165" s="34"/>
      <c r="F3165" s="34"/>
      <c r="G3165" s="34"/>
      <c r="H3165" s="34"/>
      <c r="I3165" s="34"/>
      <c r="J3165" s="34"/>
      <c r="K3165" s="34"/>
      <c r="L3165" s="34"/>
      <c r="M3165" s="34"/>
      <c r="N3165" s="34"/>
      <c r="O3165" s="34"/>
      <c r="AA3165" s="35"/>
      <c r="AB3165" s="35"/>
      <c r="AC3165" s="34"/>
      <c r="AD3165" s="34"/>
      <c r="AE3165" s="34"/>
    </row>
    <row r="3166" spans="1:31" ht="15" thickBot="1" x14ac:dyDescent="0.4">
      <c r="A3166" s="45"/>
      <c r="B3166" s="45"/>
      <c r="C3166" s="46"/>
      <c r="D3166" s="47"/>
      <c r="E3166" s="47"/>
      <c r="F3166" s="47"/>
      <c r="G3166" s="47"/>
      <c r="H3166" s="47"/>
      <c r="I3166" s="47"/>
      <c r="J3166" s="47"/>
      <c r="K3166" s="47"/>
      <c r="L3166" s="47"/>
      <c r="M3166" s="47"/>
      <c r="N3166" s="47"/>
      <c r="O3166" s="47"/>
      <c r="P3166" s="47"/>
      <c r="Q3166" s="47"/>
      <c r="R3166" s="47"/>
      <c r="S3166" s="47"/>
      <c r="T3166" s="45"/>
      <c r="U3166" s="45"/>
      <c r="V3166" s="45"/>
      <c r="W3166" s="45"/>
      <c r="X3166" s="47"/>
      <c r="Y3166" s="45"/>
      <c r="Z3166" s="45"/>
      <c r="AA3166" s="48"/>
      <c r="AB3166" s="48"/>
      <c r="AC3166" s="47"/>
      <c r="AD3166" s="47"/>
      <c r="AE3166" s="47"/>
    </row>
    <row r="3167" spans="1:31" x14ac:dyDescent="0.35">
      <c r="A3167" s="41"/>
      <c r="B3167" s="41"/>
      <c r="C3167" s="42"/>
      <c r="D3167" s="43"/>
      <c r="E3167" s="43"/>
      <c r="F3167" s="43"/>
      <c r="G3167" s="43"/>
      <c r="H3167" s="43"/>
      <c r="I3167" s="43"/>
      <c r="J3167" s="43"/>
      <c r="K3167" s="43"/>
      <c r="L3167" s="43"/>
      <c r="M3167" s="43"/>
      <c r="N3167" s="43"/>
      <c r="O3167" s="43"/>
      <c r="P3167" s="43"/>
      <c r="Q3167" s="43"/>
      <c r="R3167" s="43"/>
      <c r="S3167" s="43"/>
      <c r="T3167" s="43"/>
      <c r="U3167" s="43"/>
      <c r="V3167" s="41"/>
      <c r="W3167" s="41"/>
      <c r="X3167" s="41"/>
      <c r="Y3167" s="41"/>
      <c r="Z3167" s="41"/>
      <c r="AA3167" s="44"/>
      <c r="AB3167" s="44"/>
      <c r="AC3167" s="43"/>
      <c r="AD3167" s="43"/>
      <c r="AE3167" s="43"/>
    </row>
    <row r="3168" spans="1:31" x14ac:dyDescent="0.35">
      <c r="C3168" s="33"/>
      <c r="D3168" s="34"/>
      <c r="E3168" s="34"/>
      <c r="F3168" s="34"/>
      <c r="G3168" s="34"/>
      <c r="H3168" s="34"/>
      <c r="I3168" s="34"/>
      <c r="J3168" s="34"/>
      <c r="K3168" s="34"/>
      <c r="L3168" s="34"/>
      <c r="M3168" s="34"/>
      <c r="N3168" s="34"/>
      <c r="O3168" s="34"/>
      <c r="AA3168" s="35"/>
      <c r="AB3168" s="35"/>
      <c r="AC3168" s="34"/>
      <c r="AD3168" s="34"/>
      <c r="AE3168" s="34"/>
    </row>
    <row r="3169" spans="1:31" ht="15" thickBot="1" x14ac:dyDescent="0.4">
      <c r="A3169" s="45"/>
      <c r="B3169" s="45"/>
      <c r="C3169" s="46"/>
      <c r="D3169" s="47"/>
      <c r="E3169" s="47"/>
      <c r="F3169" s="47"/>
      <c r="G3169" s="47"/>
      <c r="H3169" s="47"/>
      <c r="I3169" s="47"/>
      <c r="J3169" s="47"/>
      <c r="K3169" s="47"/>
      <c r="L3169" s="47"/>
      <c r="M3169" s="47"/>
      <c r="N3169" s="47"/>
      <c r="O3169" s="47"/>
      <c r="P3169" s="47"/>
      <c r="Q3169" s="47"/>
      <c r="R3169" s="47"/>
      <c r="S3169" s="47"/>
      <c r="T3169" s="45"/>
      <c r="U3169" s="45"/>
      <c r="V3169" s="45"/>
      <c r="W3169" s="45"/>
      <c r="X3169" s="47"/>
      <c r="Y3169" s="45"/>
      <c r="Z3169" s="45"/>
      <c r="AA3169" s="48"/>
      <c r="AB3169" s="48"/>
      <c r="AC3169" s="47"/>
      <c r="AD3169" s="47"/>
      <c r="AE3169" s="47"/>
    </row>
    <row r="3170" spans="1:31" x14ac:dyDescent="0.35">
      <c r="A3170" s="41"/>
      <c r="B3170" s="41"/>
      <c r="C3170" s="42"/>
      <c r="D3170" s="43"/>
      <c r="E3170" s="43"/>
      <c r="F3170" s="43"/>
      <c r="G3170" s="43"/>
      <c r="H3170" s="43"/>
      <c r="I3170" s="43"/>
      <c r="J3170" s="43"/>
      <c r="K3170" s="43"/>
      <c r="L3170" s="43"/>
      <c r="M3170" s="43"/>
      <c r="N3170" s="43"/>
      <c r="O3170" s="43"/>
      <c r="P3170" s="43"/>
      <c r="Q3170" s="43"/>
      <c r="R3170" s="43"/>
      <c r="S3170" s="43"/>
      <c r="T3170" s="43"/>
      <c r="U3170" s="43"/>
      <c r="V3170" s="41"/>
      <c r="W3170" s="41"/>
      <c r="X3170" s="41"/>
      <c r="Y3170" s="41"/>
      <c r="Z3170" s="41"/>
      <c r="AA3170" s="44"/>
      <c r="AB3170" s="44"/>
      <c r="AC3170" s="43"/>
      <c r="AD3170" s="43"/>
      <c r="AE3170" s="43"/>
    </row>
    <row r="3171" spans="1:31" x14ac:dyDescent="0.35">
      <c r="C3171" s="33"/>
      <c r="D3171" s="34"/>
      <c r="E3171" s="34"/>
      <c r="F3171" s="34"/>
      <c r="G3171" s="34"/>
      <c r="H3171" s="34"/>
      <c r="I3171" s="34"/>
      <c r="J3171" s="34"/>
      <c r="K3171" s="34"/>
      <c r="L3171" s="34"/>
      <c r="M3171" s="34"/>
      <c r="N3171" s="34"/>
      <c r="O3171" s="34"/>
      <c r="AA3171" s="35"/>
      <c r="AB3171" s="35"/>
      <c r="AC3171" s="34"/>
      <c r="AD3171" s="34"/>
      <c r="AE3171" s="34"/>
    </row>
    <row r="3172" spans="1:31" ht="15" thickBot="1" x14ac:dyDescent="0.4">
      <c r="A3172" s="45"/>
      <c r="B3172" s="45"/>
      <c r="C3172" s="46"/>
      <c r="D3172" s="47"/>
      <c r="E3172" s="47"/>
      <c r="F3172" s="47"/>
      <c r="G3172" s="47"/>
      <c r="H3172" s="47"/>
      <c r="I3172" s="47"/>
      <c r="J3172" s="47"/>
      <c r="K3172" s="47"/>
      <c r="L3172" s="47"/>
      <c r="M3172" s="47"/>
      <c r="N3172" s="47"/>
      <c r="O3172" s="47"/>
      <c r="P3172" s="47"/>
      <c r="Q3172" s="47"/>
      <c r="R3172" s="47"/>
      <c r="S3172" s="47"/>
      <c r="T3172" s="45"/>
      <c r="U3172" s="45"/>
      <c r="V3172" s="45"/>
      <c r="W3172" s="45"/>
      <c r="X3172" s="47"/>
      <c r="Y3172" s="45"/>
      <c r="Z3172" s="45"/>
      <c r="AA3172" s="48"/>
      <c r="AB3172" s="48"/>
      <c r="AC3172" s="47"/>
      <c r="AD3172" s="47"/>
      <c r="AE3172" s="47"/>
    </row>
    <row r="3173" spans="1:31" x14ac:dyDescent="0.35">
      <c r="A3173" s="41"/>
      <c r="B3173" s="41"/>
      <c r="C3173" s="42"/>
      <c r="D3173" s="43"/>
      <c r="E3173" s="43"/>
      <c r="F3173" s="43"/>
      <c r="G3173" s="43"/>
      <c r="H3173" s="43"/>
      <c r="I3173" s="43"/>
      <c r="J3173" s="43"/>
      <c r="K3173" s="43"/>
      <c r="L3173" s="43"/>
      <c r="M3173" s="43"/>
      <c r="N3173" s="43"/>
      <c r="O3173" s="43"/>
      <c r="P3173" s="43"/>
      <c r="Q3173" s="43"/>
      <c r="R3173" s="43"/>
      <c r="S3173" s="43"/>
      <c r="T3173" s="43"/>
      <c r="U3173" s="43"/>
      <c r="V3173" s="41"/>
      <c r="W3173" s="41"/>
      <c r="X3173" s="41"/>
      <c r="Y3173" s="41"/>
      <c r="Z3173" s="41"/>
      <c r="AA3173" s="44"/>
      <c r="AB3173" s="44"/>
      <c r="AC3173" s="43"/>
      <c r="AD3173" s="43"/>
      <c r="AE3173" s="43"/>
    </row>
    <row r="3174" spans="1:31" x14ac:dyDescent="0.35">
      <c r="C3174" s="33"/>
      <c r="D3174" s="34"/>
      <c r="E3174" s="34"/>
      <c r="F3174" s="34"/>
      <c r="G3174" s="34"/>
      <c r="H3174" s="34"/>
      <c r="I3174" s="34"/>
      <c r="J3174" s="34"/>
      <c r="K3174" s="34"/>
      <c r="L3174" s="34"/>
      <c r="M3174" s="34"/>
      <c r="N3174" s="34"/>
      <c r="O3174" s="34"/>
      <c r="AA3174" s="35"/>
      <c r="AB3174" s="35"/>
      <c r="AC3174" s="34"/>
      <c r="AD3174" s="34"/>
      <c r="AE3174" s="34"/>
    </row>
    <row r="3175" spans="1:31" ht="15" thickBot="1" x14ac:dyDescent="0.4">
      <c r="A3175" s="45"/>
      <c r="B3175" s="45"/>
      <c r="C3175" s="46"/>
      <c r="D3175" s="47"/>
      <c r="E3175" s="47"/>
      <c r="F3175" s="47"/>
      <c r="G3175" s="47"/>
      <c r="H3175" s="47"/>
      <c r="I3175" s="47"/>
      <c r="J3175" s="47"/>
      <c r="K3175" s="47"/>
      <c r="L3175" s="47"/>
      <c r="M3175" s="47"/>
      <c r="N3175" s="47"/>
      <c r="O3175" s="47"/>
      <c r="P3175" s="47"/>
      <c r="Q3175" s="47"/>
      <c r="R3175" s="47"/>
      <c r="S3175" s="47"/>
      <c r="T3175" s="45"/>
      <c r="U3175" s="45"/>
      <c r="V3175" s="45"/>
      <c r="W3175" s="45"/>
      <c r="X3175" s="47"/>
      <c r="Y3175" s="45"/>
      <c r="Z3175" s="45"/>
      <c r="AA3175" s="48"/>
      <c r="AB3175" s="48"/>
      <c r="AC3175" s="47"/>
      <c r="AD3175" s="47"/>
      <c r="AE3175" s="47"/>
    </row>
    <row r="3176" spans="1:31" x14ac:dyDescent="0.35">
      <c r="A3176" s="41"/>
      <c r="B3176" s="41"/>
      <c r="C3176" s="42"/>
      <c r="D3176" s="43"/>
      <c r="E3176" s="43"/>
      <c r="F3176" s="43"/>
      <c r="G3176" s="43"/>
      <c r="H3176" s="43"/>
      <c r="I3176" s="43"/>
      <c r="J3176" s="43"/>
      <c r="K3176" s="43"/>
      <c r="L3176" s="43"/>
      <c r="M3176" s="43"/>
      <c r="N3176" s="43"/>
      <c r="O3176" s="43"/>
      <c r="P3176" s="43"/>
      <c r="Q3176" s="43"/>
      <c r="R3176" s="43"/>
      <c r="S3176" s="43"/>
      <c r="T3176" s="43"/>
      <c r="U3176" s="43"/>
      <c r="V3176" s="41"/>
      <c r="W3176" s="41"/>
      <c r="X3176" s="41"/>
      <c r="Y3176" s="41"/>
      <c r="Z3176" s="41"/>
      <c r="AA3176" s="44"/>
      <c r="AB3176" s="44"/>
      <c r="AC3176" s="43"/>
      <c r="AD3176" s="43"/>
      <c r="AE3176" s="43"/>
    </row>
    <row r="3177" spans="1:31" x14ac:dyDescent="0.35">
      <c r="C3177" s="33"/>
      <c r="D3177" s="34"/>
      <c r="E3177" s="34"/>
      <c r="F3177" s="34"/>
      <c r="G3177" s="34"/>
      <c r="H3177" s="34"/>
      <c r="I3177" s="34"/>
      <c r="J3177" s="34"/>
      <c r="K3177" s="34"/>
      <c r="L3177" s="34"/>
      <c r="M3177" s="34"/>
      <c r="N3177" s="34"/>
      <c r="O3177" s="34"/>
      <c r="AA3177" s="35"/>
      <c r="AB3177" s="35"/>
      <c r="AC3177" s="34"/>
      <c r="AD3177" s="34"/>
      <c r="AE3177" s="34"/>
    </row>
    <row r="3178" spans="1:31" ht="15" thickBot="1" x14ac:dyDescent="0.4">
      <c r="A3178" s="45"/>
      <c r="B3178" s="45"/>
      <c r="C3178" s="46"/>
      <c r="D3178" s="47"/>
      <c r="E3178" s="47"/>
      <c r="F3178" s="47"/>
      <c r="G3178" s="47"/>
      <c r="H3178" s="47"/>
      <c r="I3178" s="47"/>
      <c r="J3178" s="47"/>
      <c r="K3178" s="47"/>
      <c r="L3178" s="47"/>
      <c r="M3178" s="47"/>
      <c r="N3178" s="47"/>
      <c r="O3178" s="47"/>
      <c r="P3178" s="47"/>
      <c r="Q3178" s="47"/>
      <c r="R3178" s="47"/>
      <c r="S3178" s="47"/>
      <c r="T3178" s="45"/>
      <c r="U3178" s="45"/>
      <c r="V3178" s="45"/>
      <c r="W3178" s="45"/>
      <c r="X3178" s="47"/>
      <c r="Y3178" s="45"/>
      <c r="Z3178" s="45"/>
      <c r="AA3178" s="48"/>
      <c r="AB3178" s="48"/>
      <c r="AC3178" s="47"/>
      <c r="AD3178" s="47"/>
      <c r="AE3178" s="47"/>
    </row>
    <row r="3179" spans="1:31" x14ac:dyDescent="0.35">
      <c r="A3179" s="41"/>
      <c r="B3179" s="41"/>
      <c r="C3179" s="42"/>
      <c r="D3179" s="43"/>
      <c r="E3179" s="43"/>
      <c r="F3179" s="43"/>
      <c r="G3179" s="43"/>
      <c r="H3179" s="43"/>
      <c r="I3179" s="43"/>
      <c r="J3179" s="43"/>
      <c r="K3179" s="43"/>
      <c r="L3179" s="43"/>
      <c r="M3179" s="43"/>
      <c r="N3179" s="43"/>
      <c r="O3179" s="43"/>
      <c r="P3179" s="43"/>
      <c r="Q3179" s="43"/>
      <c r="R3179" s="43"/>
      <c r="S3179" s="43"/>
      <c r="T3179" s="43"/>
      <c r="U3179" s="43"/>
      <c r="V3179" s="41"/>
      <c r="W3179" s="41"/>
      <c r="X3179" s="41"/>
      <c r="Y3179" s="41"/>
      <c r="Z3179" s="41"/>
      <c r="AA3179" s="44"/>
      <c r="AB3179" s="44"/>
      <c r="AC3179" s="43"/>
      <c r="AD3179" s="43"/>
      <c r="AE3179" s="43"/>
    </row>
    <row r="3180" spans="1:31" x14ac:dyDescent="0.35">
      <c r="C3180" s="33"/>
      <c r="D3180" s="34"/>
      <c r="E3180" s="34"/>
      <c r="F3180" s="34"/>
      <c r="G3180" s="34"/>
      <c r="H3180" s="34"/>
      <c r="I3180" s="34"/>
      <c r="J3180" s="34"/>
      <c r="K3180" s="34"/>
      <c r="L3180" s="34"/>
      <c r="M3180" s="34"/>
      <c r="N3180" s="34"/>
      <c r="O3180" s="34"/>
      <c r="AA3180" s="35"/>
      <c r="AB3180" s="35"/>
      <c r="AC3180" s="34"/>
      <c r="AD3180" s="34"/>
      <c r="AE3180" s="34"/>
    </row>
    <row r="3181" spans="1:31" ht="15" thickBot="1" x14ac:dyDescent="0.4">
      <c r="A3181" s="45"/>
      <c r="B3181" s="45"/>
      <c r="C3181" s="46"/>
      <c r="D3181" s="47"/>
      <c r="E3181" s="47"/>
      <c r="F3181" s="47"/>
      <c r="G3181" s="47"/>
      <c r="H3181" s="47"/>
      <c r="I3181" s="47"/>
      <c r="J3181" s="47"/>
      <c r="K3181" s="47"/>
      <c r="L3181" s="47"/>
      <c r="M3181" s="47"/>
      <c r="N3181" s="47"/>
      <c r="O3181" s="47"/>
      <c r="P3181" s="47"/>
      <c r="Q3181" s="47"/>
      <c r="R3181" s="47"/>
      <c r="S3181" s="47"/>
      <c r="T3181" s="45"/>
      <c r="U3181" s="45"/>
      <c r="V3181" s="45"/>
      <c r="W3181" s="45"/>
      <c r="X3181" s="47"/>
      <c r="Y3181" s="45"/>
      <c r="Z3181" s="45"/>
      <c r="AA3181" s="48"/>
      <c r="AB3181" s="48"/>
      <c r="AC3181" s="47"/>
      <c r="AD3181" s="47"/>
      <c r="AE3181" s="47"/>
    </row>
    <row r="3182" spans="1:31" x14ac:dyDescent="0.35">
      <c r="A3182" s="41"/>
      <c r="B3182" s="41"/>
      <c r="C3182" s="42"/>
      <c r="D3182" s="43"/>
      <c r="E3182" s="43"/>
      <c r="F3182" s="43"/>
      <c r="G3182" s="43"/>
      <c r="H3182" s="43"/>
      <c r="I3182" s="43"/>
      <c r="J3182" s="43"/>
      <c r="K3182" s="43"/>
      <c r="L3182" s="43"/>
      <c r="M3182" s="43"/>
      <c r="N3182" s="43"/>
      <c r="O3182" s="43"/>
      <c r="P3182" s="43"/>
      <c r="Q3182" s="43"/>
      <c r="R3182" s="43"/>
      <c r="S3182" s="43"/>
      <c r="T3182" s="43"/>
      <c r="U3182" s="43"/>
      <c r="V3182" s="41"/>
      <c r="W3182" s="41"/>
      <c r="X3182" s="41"/>
      <c r="Y3182" s="41"/>
      <c r="Z3182" s="41"/>
      <c r="AA3182" s="44"/>
      <c r="AB3182" s="44"/>
      <c r="AC3182" s="43"/>
      <c r="AD3182" s="43"/>
      <c r="AE3182" s="43"/>
    </row>
    <row r="3183" spans="1:31" x14ac:dyDescent="0.35">
      <c r="C3183" s="33"/>
      <c r="D3183" s="34"/>
      <c r="E3183" s="34"/>
      <c r="F3183" s="34"/>
      <c r="G3183" s="34"/>
      <c r="H3183" s="34"/>
      <c r="I3183" s="34"/>
      <c r="J3183" s="34"/>
      <c r="K3183" s="34"/>
      <c r="L3183" s="34"/>
      <c r="M3183" s="34"/>
      <c r="N3183" s="34"/>
      <c r="O3183" s="34"/>
      <c r="AA3183" s="35"/>
      <c r="AB3183" s="35"/>
      <c r="AC3183" s="34"/>
      <c r="AD3183" s="34"/>
      <c r="AE3183" s="34"/>
    </row>
    <row r="3184" spans="1:31" ht="15" thickBot="1" x14ac:dyDescent="0.4">
      <c r="A3184" s="45"/>
      <c r="B3184" s="45"/>
      <c r="C3184" s="46"/>
      <c r="D3184" s="47"/>
      <c r="E3184" s="47"/>
      <c r="F3184" s="47"/>
      <c r="G3184" s="47"/>
      <c r="H3184" s="47"/>
      <c r="I3184" s="47"/>
      <c r="J3184" s="47"/>
      <c r="K3184" s="47"/>
      <c r="L3184" s="47"/>
      <c r="M3184" s="47"/>
      <c r="N3184" s="47"/>
      <c r="O3184" s="47"/>
      <c r="P3184" s="47"/>
      <c r="Q3184" s="47"/>
      <c r="R3184" s="47"/>
      <c r="S3184" s="47"/>
      <c r="T3184" s="45"/>
      <c r="U3184" s="45"/>
      <c r="V3184" s="45"/>
      <c r="W3184" s="45"/>
      <c r="X3184" s="47"/>
      <c r="Y3184" s="45"/>
      <c r="Z3184" s="45"/>
      <c r="AA3184" s="48"/>
      <c r="AB3184" s="48"/>
      <c r="AC3184" s="47"/>
      <c r="AD3184" s="47"/>
      <c r="AE3184" s="47"/>
    </row>
    <row r="3185" spans="1:31" x14ac:dyDescent="0.35">
      <c r="A3185" s="41"/>
      <c r="B3185" s="41"/>
      <c r="C3185" s="42"/>
      <c r="D3185" s="43"/>
      <c r="E3185" s="43"/>
      <c r="F3185" s="43"/>
      <c r="G3185" s="43"/>
      <c r="H3185" s="43"/>
      <c r="I3185" s="43"/>
      <c r="J3185" s="43"/>
      <c r="K3185" s="43"/>
      <c r="L3185" s="43"/>
      <c r="M3185" s="43"/>
      <c r="N3185" s="43"/>
      <c r="O3185" s="43"/>
      <c r="P3185" s="43"/>
      <c r="Q3185" s="43"/>
      <c r="R3185" s="43"/>
      <c r="S3185" s="43"/>
      <c r="T3185" s="43"/>
      <c r="U3185" s="43"/>
      <c r="V3185" s="41"/>
      <c r="W3185" s="41"/>
      <c r="X3185" s="41"/>
      <c r="Y3185" s="41"/>
      <c r="Z3185" s="41"/>
      <c r="AA3185" s="44"/>
      <c r="AB3185" s="44"/>
      <c r="AC3185" s="43"/>
      <c r="AD3185" s="43"/>
      <c r="AE3185" s="43"/>
    </row>
    <row r="3186" spans="1:31" x14ac:dyDescent="0.35">
      <c r="C3186" s="33"/>
      <c r="D3186" s="34"/>
      <c r="E3186" s="34"/>
      <c r="F3186" s="34"/>
      <c r="G3186" s="34"/>
      <c r="H3186" s="34"/>
      <c r="I3186" s="34"/>
      <c r="J3186" s="34"/>
      <c r="K3186" s="34"/>
      <c r="L3186" s="34"/>
      <c r="M3186" s="34"/>
      <c r="N3186" s="34"/>
      <c r="O3186" s="34"/>
      <c r="AA3186" s="35"/>
      <c r="AB3186" s="35"/>
      <c r="AC3186" s="34"/>
      <c r="AD3186" s="34"/>
      <c r="AE3186" s="34"/>
    </row>
    <row r="3187" spans="1:31" ht="15" thickBot="1" x14ac:dyDescent="0.4">
      <c r="A3187" s="45"/>
      <c r="B3187" s="45"/>
      <c r="C3187" s="46"/>
      <c r="D3187" s="47"/>
      <c r="E3187" s="47"/>
      <c r="F3187" s="47"/>
      <c r="G3187" s="47"/>
      <c r="H3187" s="47"/>
      <c r="I3187" s="47"/>
      <c r="J3187" s="47"/>
      <c r="K3187" s="47"/>
      <c r="L3187" s="47"/>
      <c r="M3187" s="47"/>
      <c r="N3187" s="47"/>
      <c r="O3187" s="47"/>
      <c r="P3187" s="47"/>
      <c r="Q3187" s="47"/>
      <c r="R3187" s="47"/>
      <c r="S3187" s="47"/>
      <c r="T3187" s="45"/>
      <c r="U3187" s="45"/>
      <c r="V3187" s="45"/>
      <c r="W3187" s="45"/>
      <c r="X3187" s="47"/>
      <c r="Y3187" s="45"/>
      <c r="Z3187" s="45"/>
      <c r="AA3187" s="48"/>
      <c r="AB3187" s="48"/>
      <c r="AC3187" s="47"/>
      <c r="AD3187" s="47"/>
      <c r="AE3187" s="47"/>
    </row>
    <row r="3188" spans="1:31" x14ac:dyDescent="0.35">
      <c r="A3188" s="41"/>
      <c r="B3188" s="41"/>
      <c r="C3188" s="42"/>
      <c r="D3188" s="43"/>
      <c r="E3188" s="43"/>
      <c r="F3188" s="43"/>
      <c r="G3188" s="43"/>
      <c r="H3188" s="43"/>
      <c r="I3188" s="43"/>
      <c r="J3188" s="43"/>
      <c r="K3188" s="43"/>
      <c r="L3188" s="43"/>
      <c r="M3188" s="43"/>
      <c r="N3188" s="43"/>
      <c r="O3188" s="43"/>
      <c r="P3188" s="43"/>
      <c r="Q3188" s="43"/>
      <c r="R3188" s="43"/>
      <c r="S3188" s="43"/>
      <c r="T3188" s="43"/>
      <c r="U3188" s="43"/>
      <c r="V3188" s="41"/>
      <c r="W3188" s="41"/>
      <c r="X3188" s="41"/>
      <c r="Y3188" s="41"/>
      <c r="Z3188" s="41"/>
      <c r="AA3188" s="44"/>
      <c r="AB3188" s="44"/>
      <c r="AC3188" s="43"/>
      <c r="AD3188" s="43"/>
      <c r="AE3188" s="43"/>
    </row>
    <row r="3189" spans="1:31" x14ac:dyDescent="0.35">
      <c r="C3189" s="33"/>
      <c r="D3189" s="34"/>
      <c r="E3189" s="34"/>
      <c r="F3189" s="34"/>
      <c r="G3189" s="34"/>
      <c r="H3189" s="34"/>
      <c r="I3189" s="34"/>
      <c r="J3189" s="34"/>
      <c r="K3189" s="34"/>
      <c r="L3189" s="34"/>
      <c r="M3189" s="34"/>
      <c r="N3189" s="34"/>
      <c r="O3189" s="34"/>
      <c r="AA3189" s="35"/>
      <c r="AB3189" s="35"/>
      <c r="AC3189" s="34"/>
      <c r="AD3189" s="34"/>
      <c r="AE3189" s="34"/>
    </row>
    <row r="3190" spans="1:31" ht="15" thickBot="1" x14ac:dyDescent="0.4">
      <c r="A3190" s="45"/>
      <c r="B3190" s="45"/>
      <c r="C3190" s="46"/>
      <c r="D3190" s="47"/>
      <c r="E3190" s="47"/>
      <c r="F3190" s="47"/>
      <c r="G3190" s="47"/>
      <c r="H3190" s="47"/>
      <c r="I3190" s="47"/>
      <c r="J3190" s="47"/>
      <c r="K3190" s="47"/>
      <c r="L3190" s="47"/>
      <c r="M3190" s="47"/>
      <c r="N3190" s="47"/>
      <c r="O3190" s="47"/>
      <c r="P3190" s="47"/>
      <c r="Q3190" s="47"/>
      <c r="R3190" s="47"/>
      <c r="S3190" s="47"/>
      <c r="T3190" s="45"/>
      <c r="U3190" s="45"/>
      <c r="V3190" s="45"/>
      <c r="W3190" s="45"/>
      <c r="X3190" s="47"/>
      <c r="Y3190" s="45"/>
      <c r="Z3190" s="45"/>
      <c r="AA3190" s="48"/>
      <c r="AB3190" s="48"/>
      <c r="AC3190" s="47"/>
      <c r="AD3190" s="47"/>
      <c r="AE3190" s="47"/>
    </row>
    <row r="3191" spans="1:31" x14ac:dyDescent="0.35">
      <c r="A3191" s="41"/>
      <c r="B3191" s="41"/>
      <c r="C3191" s="42"/>
      <c r="D3191" s="43"/>
      <c r="E3191" s="43"/>
      <c r="F3191" s="43"/>
      <c r="G3191" s="43"/>
      <c r="H3191" s="43"/>
      <c r="I3191" s="43"/>
      <c r="J3191" s="43"/>
      <c r="K3191" s="43"/>
      <c r="L3191" s="43"/>
      <c r="M3191" s="43"/>
      <c r="N3191" s="43"/>
      <c r="O3191" s="43"/>
      <c r="P3191" s="43"/>
      <c r="Q3191" s="43"/>
      <c r="R3191" s="43"/>
      <c r="S3191" s="43"/>
      <c r="T3191" s="43"/>
      <c r="U3191" s="43"/>
      <c r="V3191" s="41"/>
      <c r="W3191" s="41"/>
      <c r="X3191" s="41"/>
      <c r="Y3191" s="41"/>
      <c r="Z3191" s="41"/>
      <c r="AA3191" s="44"/>
      <c r="AB3191" s="44"/>
      <c r="AC3191" s="43"/>
      <c r="AD3191" s="43"/>
      <c r="AE3191" s="43"/>
    </row>
    <row r="3192" spans="1:31" x14ac:dyDescent="0.35">
      <c r="C3192" s="33"/>
      <c r="D3192" s="34"/>
      <c r="E3192" s="34"/>
      <c r="F3192" s="34"/>
      <c r="G3192" s="34"/>
      <c r="H3192" s="34"/>
      <c r="I3192" s="34"/>
      <c r="J3192" s="34"/>
      <c r="K3192" s="34"/>
      <c r="L3192" s="34"/>
      <c r="M3192" s="34"/>
      <c r="N3192" s="34"/>
      <c r="O3192" s="34"/>
      <c r="AA3192" s="35"/>
      <c r="AB3192" s="35"/>
      <c r="AC3192" s="34"/>
      <c r="AD3192" s="34"/>
      <c r="AE3192" s="34"/>
    </row>
    <row r="3193" spans="1:31" ht="15" thickBot="1" x14ac:dyDescent="0.4">
      <c r="A3193" s="45"/>
      <c r="B3193" s="45"/>
      <c r="C3193" s="46"/>
      <c r="D3193" s="47"/>
      <c r="E3193" s="47"/>
      <c r="F3193" s="47"/>
      <c r="G3193" s="47"/>
      <c r="H3193" s="47"/>
      <c r="I3193" s="47"/>
      <c r="J3193" s="47"/>
      <c r="K3193" s="47"/>
      <c r="L3193" s="47"/>
      <c r="M3193" s="47"/>
      <c r="N3193" s="47"/>
      <c r="O3193" s="47"/>
      <c r="P3193" s="47"/>
      <c r="Q3193" s="47"/>
      <c r="R3193" s="47"/>
      <c r="S3193" s="47"/>
      <c r="T3193" s="45"/>
      <c r="U3193" s="45"/>
      <c r="V3193" s="45"/>
      <c r="W3193" s="45"/>
      <c r="X3193" s="47"/>
      <c r="Y3193" s="45"/>
      <c r="Z3193" s="45"/>
      <c r="AA3193" s="48"/>
      <c r="AB3193" s="48"/>
      <c r="AC3193" s="47"/>
      <c r="AD3193" s="47"/>
      <c r="AE3193" s="47"/>
    </row>
    <row r="3194" spans="1:31" x14ac:dyDescent="0.35">
      <c r="A3194" s="41"/>
      <c r="B3194" s="41"/>
      <c r="C3194" s="42"/>
      <c r="D3194" s="43"/>
      <c r="E3194" s="43"/>
      <c r="F3194" s="43"/>
      <c r="G3194" s="43"/>
      <c r="H3194" s="43"/>
      <c r="I3194" s="43"/>
      <c r="J3194" s="43"/>
      <c r="K3194" s="43"/>
      <c r="L3194" s="43"/>
      <c r="M3194" s="43"/>
      <c r="N3194" s="43"/>
      <c r="O3194" s="43"/>
      <c r="P3194" s="43"/>
      <c r="Q3194" s="43"/>
      <c r="R3194" s="43"/>
      <c r="S3194" s="43"/>
      <c r="T3194" s="43"/>
      <c r="U3194" s="43"/>
      <c r="V3194" s="41"/>
      <c r="W3194" s="41"/>
      <c r="X3194" s="41"/>
      <c r="Y3194" s="41"/>
      <c r="Z3194" s="41"/>
      <c r="AA3194" s="44"/>
      <c r="AB3194" s="44"/>
      <c r="AC3194" s="43"/>
      <c r="AD3194" s="43"/>
      <c r="AE3194" s="43"/>
    </row>
    <row r="3195" spans="1:31" x14ac:dyDescent="0.35">
      <c r="C3195" s="33"/>
      <c r="D3195" s="34"/>
      <c r="E3195" s="34"/>
      <c r="F3195" s="34"/>
      <c r="G3195" s="34"/>
      <c r="H3195" s="34"/>
      <c r="I3195" s="34"/>
      <c r="J3195" s="34"/>
      <c r="K3195" s="34"/>
      <c r="L3195" s="34"/>
      <c r="M3195" s="34"/>
      <c r="N3195" s="34"/>
      <c r="O3195" s="34"/>
      <c r="AA3195" s="35"/>
      <c r="AB3195" s="35"/>
      <c r="AC3195" s="34"/>
      <c r="AD3195" s="34"/>
      <c r="AE3195" s="34"/>
    </row>
    <row r="3196" spans="1:31" ht="15" thickBot="1" x14ac:dyDescent="0.4">
      <c r="A3196" s="45"/>
      <c r="B3196" s="45"/>
      <c r="C3196" s="46"/>
      <c r="D3196" s="47"/>
      <c r="E3196" s="47"/>
      <c r="F3196" s="47"/>
      <c r="G3196" s="47"/>
      <c r="H3196" s="47"/>
      <c r="I3196" s="47"/>
      <c r="J3196" s="47"/>
      <c r="K3196" s="47"/>
      <c r="L3196" s="47"/>
      <c r="M3196" s="47"/>
      <c r="N3196" s="47"/>
      <c r="O3196" s="47"/>
      <c r="P3196" s="47"/>
      <c r="Q3196" s="47"/>
      <c r="R3196" s="47"/>
      <c r="S3196" s="47"/>
      <c r="T3196" s="45"/>
      <c r="U3196" s="45"/>
      <c r="V3196" s="45"/>
      <c r="W3196" s="45"/>
      <c r="X3196" s="47"/>
      <c r="Y3196" s="45"/>
      <c r="Z3196" s="45"/>
      <c r="AA3196" s="48"/>
      <c r="AB3196" s="48"/>
      <c r="AC3196" s="47"/>
      <c r="AD3196" s="47"/>
      <c r="AE3196" s="47"/>
    </row>
    <row r="3197" spans="1:31" x14ac:dyDescent="0.35">
      <c r="A3197" s="41"/>
      <c r="B3197" s="41"/>
      <c r="C3197" s="42"/>
      <c r="D3197" s="43"/>
      <c r="E3197" s="43"/>
      <c r="F3197" s="43"/>
      <c r="G3197" s="43"/>
      <c r="H3197" s="43"/>
      <c r="I3197" s="43"/>
      <c r="J3197" s="43"/>
      <c r="K3197" s="43"/>
      <c r="L3197" s="43"/>
      <c r="M3197" s="43"/>
      <c r="N3197" s="43"/>
      <c r="O3197" s="43"/>
      <c r="P3197" s="43"/>
      <c r="Q3197" s="43"/>
      <c r="R3197" s="43"/>
      <c r="S3197" s="43"/>
      <c r="T3197" s="43"/>
      <c r="U3197" s="43"/>
      <c r="V3197" s="41"/>
      <c r="W3197" s="41"/>
      <c r="X3197" s="41"/>
      <c r="Y3197" s="41"/>
      <c r="Z3197" s="41"/>
      <c r="AA3197" s="44"/>
      <c r="AB3197" s="44"/>
      <c r="AC3197" s="43"/>
      <c r="AD3197" s="43"/>
      <c r="AE3197" s="43"/>
    </row>
    <row r="3198" spans="1:31" x14ac:dyDescent="0.35">
      <c r="C3198" s="33"/>
      <c r="D3198" s="34"/>
      <c r="E3198" s="34"/>
      <c r="F3198" s="34"/>
      <c r="G3198" s="34"/>
      <c r="H3198" s="34"/>
      <c r="I3198" s="34"/>
      <c r="J3198" s="34"/>
      <c r="K3198" s="34"/>
      <c r="L3198" s="34"/>
      <c r="M3198" s="34"/>
      <c r="N3198" s="34"/>
      <c r="O3198" s="34"/>
      <c r="AA3198" s="35"/>
      <c r="AB3198" s="35"/>
      <c r="AC3198" s="34"/>
      <c r="AD3198" s="34"/>
      <c r="AE3198" s="34"/>
    </row>
    <row r="3199" spans="1:31" ht="15" thickBot="1" x14ac:dyDescent="0.4">
      <c r="A3199" s="45"/>
      <c r="B3199" s="45"/>
      <c r="C3199" s="46"/>
      <c r="D3199" s="47"/>
      <c r="E3199" s="47"/>
      <c r="F3199" s="47"/>
      <c r="G3199" s="47"/>
      <c r="H3199" s="47"/>
      <c r="I3199" s="47"/>
      <c r="J3199" s="47"/>
      <c r="K3199" s="47"/>
      <c r="L3199" s="47"/>
      <c r="M3199" s="47"/>
      <c r="N3199" s="47"/>
      <c r="O3199" s="47"/>
      <c r="P3199" s="47"/>
      <c r="Q3199" s="47"/>
      <c r="R3199" s="47"/>
      <c r="S3199" s="47"/>
      <c r="T3199" s="45"/>
      <c r="U3199" s="45"/>
      <c r="V3199" s="45"/>
      <c r="W3199" s="45"/>
      <c r="X3199" s="47"/>
      <c r="Y3199" s="45"/>
      <c r="Z3199" s="45"/>
      <c r="AA3199" s="48"/>
      <c r="AB3199" s="48"/>
      <c r="AC3199" s="47"/>
      <c r="AD3199" s="47"/>
      <c r="AE3199" s="47"/>
    </row>
    <row r="3200" spans="1:31" x14ac:dyDescent="0.35">
      <c r="A3200" s="41"/>
      <c r="B3200" s="41"/>
      <c r="C3200" s="42"/>
      <c r="D3200" s="43"/>
      <c r="E3200" s="43"/>
      <c r="F3200" s="43"/>
      <c r="G3200" s="43"/>
      <c r="H3200" s="43"/>
      <c r="I3200" s="43"/>
      <c r="J3200" s="43"/>
      <c r="K3200" s="43"/>
      <c r="L3200" s="43"/>
      <c r="M3200" s="43"/>
      <c r="N3200" s="43"/>
      <c r="O3200" s="43"/>
      <c r="P3200" s="43"/>
      <c r="Q3200" s="43"/>
      <c r="R3200" s="43"/>
      <c r="S3200" s="43"/>
      <c r="T3200" s="43"/>
      <c r="U3200" s="43"/>
      <c r="V3200" s="41"/>
      <c r="W3200" s="41"/>
      <c r="X3200" s="41"/>
      <c r="Y3200" s="41"/>
      <c r="Z3200" s="41"/>
      <c r="AA3200" s="44"/>
      <c r="AB3200" s="44"/>
      <c r="AC3200" s="43"/>
      <c r="AD3200" s="43"/>
      <c r="AE3200" s="43"/>
    </row>
    <row r="3201" spans="1:31" x14ac:dyDescent="0.35">
      <c r="C3201" s="33"/>
      <c r="D3201" s="34"/>
      <c r="E3201" s="34"/>
      <c r="F3201" s="34"/>
      <c r="G3201" s="34"/>
      <c r="H3201" s="34"/>
      <c r="I3201" s="34"/>
      <c r="J3201" s="34"/>
      <c r="K3201" s="34"/>
      <c r="L3201" s="34"/>
      <c r="M3201" s="34"/>
      <c r="N3201" s="34"/>
      <c r="O3201" s="34"/>
      <c r="AA3201" s="35"/>
      <c r="AB3201" s="35"/>
      <c r="AC3201" s="34"/>
      <c r="AD3201" s="34"/>
      <c r="AE3201" s="34"/>
    </row>
    <row r="3202" spans="1:31" ht="15" thickBot="1" x14ac:dyDescent="0.4">
      <c r="A3202" s="45"/>
      <c r="B3202" s="45"/>
      <c r="C3202" s="46"/>
      <c r="D3202" s="47"/>
      <c r="E3202" s="47"/>
      <c r="F3202" s="47"/>
      <c r="G3202" s="47"/>
      <c r="H3202" s="47"/>
      <c r="I3202" s="47"/>
      <c r="J3202" s="47"/>
      <c r="K3202" s="47"/>
      <c r="L3202" s="47"/>
      <c r="M3202" s="47"/>
      <c r="N3202" s="47"/>
      <c r="O3202" s="47"/>
      <c r="P3202" s="47"/>
      <c r="Q3202" s="47"/>
      <c r="R3202" s="47"/>
      <c r="S3202" s="47"/>
      <c r="T3202" s="45"/>
      <c r="U3202" s="45"/>
      <c r="V3202" s="45"/>
      <c r="W3202" s="45"/>
      <c r="X3202" s="47"/>
      <c r="Y3202" s="45"/>
      <c r="Z3202" s="45"/>
      <c r="AA3202" s="48"/>
      <c r="AB3202" s="48"/>
      <c r="AC3202" s="47"/>
      <c r="AD3202" s="47"/>
      <c r="AE3202" s="47"/>
    </row>
    <row r="3203" spans="1:31" x14ac:dyDescent="0.35">
      <c r="A3203" s="41"/>
      <c r="B3203" s="41"/>
      <c r="C3203" s="42"/>
      <c r="D3203" s="43"/>
      <c r="E3203" s="43"/>
      <c r="F3203" s="43"/>
      <c r="G3203" s="43"/>
      <c r="H3203" s="43"/>
      <c r="I3203" s="43"/>
      <c r="J3203" s="43"/>
      <c r="K3203" s="43"/>
      <c r="L3203" s="43"/>
      <c r="M3203" s="43"/>
      <c r="N3203" s="43"/>
      <c r="O3203" s="43"/>
      <c r="P3203" s="43"/>
      <c r="Q3203" s="43"/>
      <c r="R3203" s="43"/>
      <c r="S3203" s="43"/>
      <c r="T3203" s="43"/>
      <c r="U3203" s="43"/>
      <c r="V3203" s="41"/>
      <c r="W3203" s="41"/>
      <c r="X3203" s="41"/>
      <c r="Y3203" s="41"/>
      <c r="Z3203" s="41"/>
      <c r="AA3203" s="44"/>
      <c r="AB3203" s="44"/>
      <c r="AC3203" s="43"/>
      <c r="AD3203" s="43"/>
      <c r="AE3203" s="43"/>
    </row>
    <row r="3204" spans="1:31" x14ac:dyDescent="0.35">
      <c r="C3204" s="33"/>
      <c r="D3204" s="34"/>
      <c r="E3204" s="34"/>
      <c r="F3204" s="34"/>
      <c r="G3204" s="34"/>
      <c r="H3204" s="34"/>
      <c r="I3204" s="34"/>
      <c r="J3204" s="34"/>
      <c r="K3204" s="34"/>
      <c r="L3204" s="34"/>
      <c r="M3204" s="34"/>
      <c r="N3204" s="34"/>
      <c r="O3204" s="34"/>
      <c r="AA3204" s="35"/>
      <c r="AB3204" s="35"/>
      <c r="AC3204" s="34"/>
      <c r="AD3204" s="34"/>
      <c r="AE3204" s="34"/>
    </row>
    <row r="3205" spans="1:31" ht="15" thickBot="1" x14ac:dyDescent="0.4">
      <c r="A3205" s="45"/>
      <c r="B3205" s="45"/>
      <c r="C3205" s="46"/>
      <c r="D3205" s="47"/>
      <c r="E3205" s="47"/>
      <c r="F3205" s="47"/>
      <c r="G3205" s="47"/>
      <c r="H3205" s="47"/>
      <c r="I3205" s="47"/>
      <c r="J3205" s="47"/>
      <c r="K3205" s="47"/>
      <c r="L3205" s="47"/>
      <c r="M3205" s="47"/>
      <c r="N3205" s="47"/>
      <c r="O3205" s="47"/>
      <c r="P3205" s="47"/>
      <c r="Q3205" s="47"/>
      <c r="R3205" s="47"/>
      <c r="S3205" s="47"/>
      <c r="T3205" s="45"/>
      <c r="U3205" s="45"/>
      <c r="V3205" s="45"/>
      <c r="W3205" s="45"/>
      <c r="X3205" s="47"/>
      <c r="Y3205" s="45"/>
      <c r="Z3205" s="45"/>
      <c r="AA3205" s="48"/>
      <c r="AB3205" s="48"/>
      <c r="AC3205" s="47"/>
      <c r="AD3205" s="47"/>
      <c r="AE3205" s="47"/>
    </row>
    <row r="3206" spans="1:31" x14ac:dyDescent="0.35">
      <c r="A3206" s="41"/>
      <c r="B3206" s="41"/>
      <c r="C3206" s="42"/>
      <c r="D3206" s="43"/>
      <c r="E3206" s="43"/>
      <c r="F3206" s="43"/>
      <c r="G3206" s="43"/>
      <c r="H3206" s="43"/>
      <c r="I3206" s="43"/>
      <c r="J3206" s="43"/>
      <c r="K3206" s="43"/>
      <c r="L3206" s="43"/>
      <c r="M3206" s="43"/>
      <c r="N3206" s="43"/>
      <c r="O3206" s="43"/>
      <c r="P3206" s="43"/>
      <c r="Q3206" s="43"/>
      <c r="R3206" s="43"/>
      <c r="S3206" s="43"/>
      <c r="T3206" s="43"/>
      <c r="U3206" s="43"/>
      <c r="V3206" s="41"/>
      <c r="W3206" s="41"/>
      <c r="X3206" s="41"/>
      <c r="Y3206" s="41"/>
      <c r="Z3206" s="41"/>
      <c r="AA3206" s="44"/>
      <c r="AB3206" s="44"/>
      <c r="AC3206" s="43"/>
      <c r="AD3206" s="43"/>
      <c r="AE3206" s="43"/>
    </row>
    <row r="3207" spans="1:31" x14ac:dyDescent="0.35">
      <c r="C3207" s="33"/>
      <c r="D3207" s="34"/>
      <c r="E3207" s="34"/>
      <c r="F3207" s="34"/>
      <c r="G3207" s="34"/>
      <c r="H3207" s="34"/>
      <c r="I3207" s="34"/>
      <c r="J3207" s="34"/>
      <c r="K3207" s="34"/>
      <c r="L3207" s="34"/>
      <c r="M3207" s="34"/>
      <c r="N3207" s="34"/>
      <c r="O3207" s="34"/>
      <c r="AA3207" s="35"/>
      <c r="AB3207" s="35"/>
      <c r="AC3207" s="34"/>
      <c r="AD3207" s="34"/>
      <c r="AE3207" s="34"/>
    </row>
    <row r="3208" spans="1:31" ht="15" thickBot="1" x14ac:dyDescent="0.4">
      <c r="A3208" s="45"/>
      <c r="B3208" s="45"/>
      <c r="C3208" s="46"/>
      <c r="D3208" s="47"/>
      <c r="E3208" s="47"/>
      <c r="F3208" s="47"/>
      <c r="G3208" s="47"/>
      <c r="H3208" s="47"/>
      <c r="I3208" s="47"/>
      <c r="J3208" s="47"/>
      <c r="K3208" s="47"/>
      <c r="L3208" s="47"/>
      <c r="M3208" s="47"/>
      <c r="N3208" s="47"/>
      <c r="O3208" s="47"/>
      <c r="P3208" s="47"/>
      <c r="Q3208" s="47"/>
      <c r="R3208" s="47"/>
      <c r="S3208" s="47"/>
      <c r="T3208" s="45"/>
      <c r="U3208" s="45"/>
      <c r="V3208" s="45"/>
      <c r="W3208" s="45"/>
      <c r="X3208" s="47"/>
      <c r="Y3208" s="45"/>
      <c r="Z3208" s="45"/>
      <c r="AA3208" s="48"/>
      <c r="AB3208" s="48"/>
      <c r="AC3208" s="47"/>
      <c r="AD3208" s="47"/>
      <c r="AE3208" s="47"/>
    </row>
    <row r="3209" spans="1:31" x14ac:dyDescent="0.35">
      <c r="A3209" s="41"/>
      <c r="B3209" s="41"/>
      <c r="C3209" s="42"/>
      <c r="D3209" s="43"/>
      <c r="E3209" s="43"/>
      <c r="F3209" s="43"/>
      <c r="G3209" s="43"/>
      <c r="H3209" s="43"/>
      <c r="I3209" s="43"/>
      <c r="J3209" s="43"/>
      <c r="K3209" s="43"/>
      <c r="L3209" s="43"/>
      <c r="M3209" s="43"/>
      <c r="N3209" s="43"/>
      <c r="O3209" s="43"/>
      <c r="P3209" s="43"/>
      <c r="Q3209" s="43"/>
      <c r="R3209" s="43"/>
      <c r="S3209" s="43"/>
      <c r="T3209" s="43"/>
      <c r="U3209" s="43"/>
      <c r="V3209" s="41"/>
      <c r="W3209" s="41"/>
      <c r="X3209" s="41"/>
      <c r="Y3209" s="41"/>
      <c r="Z3209" s="41"/>
      <c r="AA3209" s="44"/>
      <c r="AB3209" s="44"/>
      <c r="AC3209" s="43"/>
      <c r="AD3209" s="43"/>
      <c r="AE3209" s="43"/>
    </row>
    <row r="3210" spans="1:31" x14ac:dyDescent="0.35">
      <c r="C3210" s="33"/>
      <c r="D3210" s="34"/>
      <c r="E3210" s="34"/>
      <c r="F3210" s="34"/>
      <c r="G3210" s="34"/>
      <c r="H3210" s="34"/>
      <c r="I3210" s="34"/>
      <c r="J3210" s="34"/>
      <c r="K3210" s="34"/>
      <c r="L3210" s="34"/>
      <c r="M3210" s="34"/>
      <c r="N3210" s="34"/>
      <c r="O3210" s="34"/>
      <c r="AA3210" s="35"/>
      <c r="AB3210" s="35"/>
      <c r="AC3210" s="34"/>
      <c r="AD3210" s="34"/>
      <c r="AE3210" s="34"/>
    </row>
    <row r="3211" spans="1:31" ht="15" thickBot="1" x14ac:dyDescent="0.4">
      <c r="A3211" s="45"/>
      <c r="B3211" s="45"/>
      <c r="C3211" s="46"/>
      <c r="D3211" s="47"/>
      <c r="E3211" s="47"/>
      <c r="F3211" s="47"/>
      <c r="G3211" s="47"/>
      <c r="H3211" s="47"/>
      <c r="I3211" s="47"/>
      <c r="J3211" s="47"/>
      <c r="K3211" s="47"/>
      <c r="L3211" s="47"/>
      <c r="M3211" s="47"/>
      <c r="N3211" s="47"/>
      <c r="O3211" s="47"/>
      <c r="P3211" s="47"/>
      <c r="Q3211" s="47"/>
      <c r="R3211" s="47"/>
      <c r="S3211" s="47"/>
      <c r="T3211" s="45"/>
      <c r="U3211" s="45"/>
      <c r="V3211" s="45"/>
      <c r="W3211" s="45"/>
      <c r="X3211" s="47"/>
      <c r="Y3211" s="45"/>
      <c r="Z3211" s="45"/>
      <c r="AA3211" s="48"/>
      <c r="AB3211" s="48"/>
      <c r="AC3211" s="47"/>
      <c r="AD3211" s="47"/>
      <c r="AE3211" s="47"/>
    </row>
    <row r="3212" spans="1:31" x14ac:dyDescent="0.35">
      <c r="A3212" s="41"/>
      <c r="B3212" s="41"/>
      <c r="C3212" s="42"/>
      <c r="D3212" s="43"/>
      <c r="E3212" s="43"/>
      <c r="F3212" s="43"/>
      <c r="G3212" s="43"/>
      <c r="H3212" s="43"/>
      <c r="I3212" s="43"/>
      <c r="J3212" s="43"/>
      <c r="K3212" s="43"/>
      <c r="L3212" s="43"/>
      <c r="M3212" s="43"/>
      <c r="N3212" s="43"/>
      <c r="O3212" s="43"/>
      <c r="P3212" s="43"/>
      <c r="Q3212" s="43"/>
      <c r="R3212" s="43"/>
      <c r="S3212" s="43"/>
      <c r="T3212" s="43"/>
      <c r="U3212" s="43"/>
      <c r="V3212" s="41"/>
      <c r="W3212" s="41"/>
      <c r="X3212" s="41"/>
      <c r="Y3212" s="41"/>
      <c r="Z3212" s="41"/>
      <c r="AA3212" s="44"/>
      <c r="AB3212" s="44"/>
      <c r="AC3212" s="43"/>
      <c r="AD3212" s="43"/>
      <c r="AE3212" s="43"/>
    </row>
    <row r="3213" spans="1:31" x14ac:dyDescent="0.35">
      <c r="C3213" s="33"/>
      <c r="D3213" s="34"/>
      <c r="E3213" s="34"/>
      <c r="F3213" s="34"/>
      <c r="G3213" s="34"/>
      <c r="H3213" s="34"/>
      <c r="I3213" s="34"/>
      <c r="J3213" s="34"/>
      <c r="K3213" s="34"/>
      <c r="L3213" s="34"/>
      <c r="M3213" s="34"/>
      <c r="N3213" s="34"/>
      <c r="O3213" s="34"/>
      <c r="AA3213" s="35"/>
      <c r="AB3213" s="35"/>
      <c r="AC3213" s="34"/>
      <c r="AD3213" s="34"/>
      <c r="AE3213" s="34"/>
    </row>
    <row r="3214" spans="1:31" ht="15" thickBot="1" x14ac:dyDescent="0.4">
      <c r="A3214" s="45"/>
      <c r="B3214" s="45"/>
      <c r="C3214" s="46"/>
      <c r="D3214" s="47"/>
      <c r="E3214" s="47"/>
      <c r="F3214" s="47"/>
      <c r="G3214" s="47"/>
      <c r="H3214" s="47"/>
      <c r="I3214" s="47"/>
      <c r="J3214" s="47"/>
      <c r="K3214" s="47"/>
      <c r="L3214" s="47"/>
      <c r="M3214" s="47"/>
      <c r="N3214" s="47"/>
      <c r="O3214" s="47"/>
      <c r="P3214" s="47"/>
      <c r="Q3214" s="47"/>
      <c r="R3214" s="47"/>
      <c r="S3214" s="47"/>
      <c r="T3214" s="45"/>
      <c r="U3214" s="45"/>
      <c r="V3214" s="45"/>
      <c r="W3214" s="45"/>
      <c r="X3214" s="47"/>
      <c r="Y3214" s="45"/>
      <c r="Z3214" s="45"/>
      <c r="AA3214" s="48"/>
      <c r="AB3214" s="48"/>
      <c r="AC3214" s="47"/>
      <c r="AD3214" s="47"/>
      <c r="AE3214" s="47"/>
    </row>
    <row r="3215" spans="1:31" x14ac:dyDescent="0.35">
      <c r="A3215" s="41"/>
      <c r="B3215" s="41"/>
      <c r="C3215" s="42"/>
      <c r="D3215" s="43"/>
      <c r="E3215" s="43"/>
      <c r="F3215" s="43"/>
      <c r="G3215" s="43"/>
      <c r="H3215" s="43"/>
      <c r="I3215" s="43"/>
      <c r="J3215" s="43"/>
      <c r="K3215" s="43"/>
      <c r="L3215" s="43"/>
      <c r="M3215" s="43"/>
      <c r="N3215" s="43"/>
      <c r="O3215" s="43"/>
      <c r="P3215" s="43"/>
      <c r="Q3215" s="43"/>
      <c r="R3215" s="43"/>
      <c r="S3215" s="43"/>
      <c r="T3215" s="43"/>
      <c r="U3215" s="43"/>
      <c r="V3215" s="41"/>
      <c r="W3215" s="41"/>
      <c r="X3215" s="41"/>
      <c r="Y3215" s="41"/>
      <c r="Z3215" s="41"/>
      <c r="AA3215" s="44"/>
      <c r="AB3215" s="44"/>
      <c r="AC3215" s="43"/>
      <c r="AD3215" s="43"/>
      <c r="AE3215" s="43"/>
    </row>
    <row r="3216" spans="1:31" x14ac:dyDescent="0.35">
      <c r="C3216" s="33"/>
      <c r="D3216" s="34"/>
      <c r="E3216" s="34"/>
      <c r="F3216" s="34"/>
      <c r="G3216" s="34"/>
      <c r="H3216" s="34"/>
      <c r="I3216" s="34"/>
      <c r="J3216" s="34"/>
      <c r="K3216" s="34"/>
      <c r="L3216" s="34"/>
      <c r="M3216" s="34"/>
      <c r="N3216" s="34"/>
      <c r="O3216" s="34"/>
      <c r="AA3216" s="35"/>
      <c r="AB3216" s="35"/>
      <c r="AC3216" s="34"/>
      <c r="AD3216" s="34"/>
      <c r="AE3216" s="34"/>
    </row>
    <row r="3217" spans="1:31" ht="15" thickBot="1" x14ac:dyDescent="0.4">
      <c r="A3217" s="45"/>
      <c r="B3217" s="45"/>
      <c r="C3217" s="46"/>
      <c r="D3217" s="47"/>
      <c r="E3217" s="47"/>
      <c r="F3217" s="47"/>
      <c r="G3217" s="47"/>
      <c r="H3217" s="47"/>
      <c r="I3217" s="47"/>
      <c r="J3217" s="47"/>
      <c r="K3217" s="47"/>
      <c r="L3217" s="47"/>
      <c r="M3217" s="47"/>
      <c r="N3217" s="47"/>
      <c r="O3217" s="47"/>
      <c r="P3217" s="47"/>
      <c r="Q3217" s="47"/>
      <c r="R3217" s="47"/>
      <c r="S3217" s="47"/>
      <c r="T3217" s="45"/>
      <c r="U3217" s="45"/>
      <c r="V3217" s="45"/>
      <c r="W3217" s="45"/>
      <c r="X3217" s="47"/>
      <c r="Y3217" s="45"/>
      <c r="Z3217" s="45"/>
      <c r="AA3217" s="48"/>
      <c r="AB3217" s="48"/>
      <c r="AC3217" s="47"/>
      <c r="AD3217" s="47"/>
      <c r="AE3217" s="47"/>
    </row>
    <row r="3218" spans="1:31" x14ac:dyDescent="0.35">
      <c r="A3218" s="41"/>
      <c r="B3218" s="41"/>
      <c r="C3218" s="42"/>
      <c r="D3218" s="43"/>
      <c r="E3218" s="43"/>
      <c r="F3218" s="43"/>
      <c r="G3218" s="43"/>
      <c r="H3218" s="43"/>
      <c r="I3218" s="43"/>
      <c r="J3218" s="43"/>
      <c r="K3218" s="43"/>
      <c r="L3218" s="43"/>
      <c r="M3218" s="43"/>
      <c r="N3218" s="43"/>
      <c r="O3218" s="43"/>
      <c r="P3218" s="43"/>
      <c r="Q3218" s="43"/>
      <c r="R3218" s="43"/>
      <c r="S3218" s="43"/>
      <c r="T3218" s="43"/>
      <c r="U3218" s="43"/>
      <c r="V3218" s="41"/>
      <c r="W3218" s="41"/>
      <c r="X3218" s="41"/>
      <c r="Y3218" s="41"/>
      <c r="Z3218" s="41"/>
      <c r="AA3218" s="44"/>
      <c r="AB3218" s="44"/>
      <c r="AC3218" s="43"/>
      <c r="AD3218" s="43"/>
      <c r="AE3218" s="43"/>
    </row>
    <row r="3219" spans="1:31" x14ac:dyDescent="0.35">
      <c r="C3219" s="33"/>
      <c r="D3219" s="34"/>
      <c r="E3219" s="34"/>
      <c r="F3219" s="34"/>
      <c r="G3219" s="34"/>
      <c r="H3219" s="34"/>
      <c r="I3219" s="34"/>
      <c r="J3219" s="34"/>
      <c r="K3219" s="34"/>
      <c r="L3219" s="34"/>
      <c r="M3219" s="34"/>
      <c r="N3219" s="34"/>
      <c r="O3219" s="34"/>
      <c r="AA3219" s="35"/>
      <c r="AB3219" s="35"/>
      <c r="AC3219" s="34"/>
      <c r="AD3219" s="34"/>
      <c r="AE3219" s="34"/>
    </row>
    <row r="3220" spans="1:31" ht="15" thickBot="1" x14ac:dyDescent="0.4">
      <c r="A3220" s="45"/>
      <c r="B3220" s="45"/>
      <c r="C3220" s="46"/>
      <c r="D3220" s="47"/>
      <c r="E3220" s="47"/>
      <c r="F3220" s="47"/>
      <c r="G3220" s="47"/>
      <c r="H3220" s="47"/>
      <c r="I3220" s="47"/>
      <c r="J3220" s="47"/>
      <c r="K3220" s="47"/>
      <c r="L3220" s="47"/>
      <c r="M3220" s="47"/>
      <c r="N3220" s="47"/>
      <c r="O3220" s="47"/>
      <c r="P3220" s="47"/>
      <c r="Q3220" s="47"/>
      <c r="R3220" s="47"/>
      <c r="S3220" s="47"/>
      <c r="T3220" s="45"/>
      <c r="U3220" s="45"/>
      <c r="V3220" s="45"/>
      <c r="W3220" s="45"/>
      <c r="X3220" s="47"/>
      <c r="Y3220" s="45"/>
      <c r="Z3220" s="45"/>
      <c r="AA3220" s="48"/>
      <c r="AB3220" s="48"/>
      <c r="AC3220" s="47"/>
      <c r="AD3220" s="47"/>
      <c r="AE3220" s="47"/>
    </row>
    <row r="3221" spans="1:31" x14ac:dyDescent="0.35">
      <c r="A3221" s="41"/>
      <c r="B3221" s="41"/>
      <c r="C3221" s="42"/>
      <c r="D3221" s="43"/>
      <c r="E3221" s="43"/>
      <c r="F3221" s="43"/>
      <c r="G3221" s="43"/>
      <c r="H3221" s="43"/>
      <c r="I3221" s="43"/>
      <c r="J3221" s="43"/>
      <c r="K3221" s="43"/>
      <c r="L3221" s="43"/>
      <c r="M3221" s="43"/>
      <c r="N3221" s="43"/>
      <c r="O3221" s="43"/>
      <c r="P3221" s="43"/>
      <c r="Q3221" s="43"/>
      <c r="R3221" s="43"/>
      <c r="S3221" s="43"/>
      <c r="T3221" s="43"/>
      <c r="U3221" s="43"/>
      <c r="V3221" s="41"/>
      <c r="W3221" s="41"/>
      <c r="X3221" s="41"/>
      <c r="Y3221" s="41"/>
      <c r="Z3221" s="41"/>
      <c r="AA3221" s="44"/>
      <c r="AB3221" s="44"/>
      <c r="AC3221" s="43"/>
      <c r="AD3221" s="43"/>
      <c r="AE3221" s="43"/>
    </row>
    <row r="3222" spans="1:31" x14ac:dyDescent="0.35">
      <c r="C3222" s="33"/>
      <c r="D3222" s="34"/>
      <c r="E3222" s="34"/>
      <c r="F3222" s="34"/>
      <c r="G3222" s="34"/>
      <c r="H3222" s="34"/>
      <c r="I3222" s="34"/>
      <c r="J3222" s="34"/>
      <c r="K3222" s="34"/>
      <c r="L3222" s="34"/>
      <c r="M3222" s="34"/>
      <c r="N3222" s="34"/>
      <c r="O3222" s="34"/>
      <c r="AA3222" s="35"/>
      <c r="AB3222" s="35"/>
      <c r="AC3222" s="34"/>
      <c r="AD3222" s="34"/>
      <c r="AE3222" s="34"/>
    </row>
    <row r="3223" spans="1:31" ht="15" thickBot="1" x14ac:dyDescent="0.4">
      <c r="A3223" s="45"/>
      <c r="B3223" s="45"/>
      <c r="C3223" s="46"/>
      <c r="D3223" s="47"/>
      <c r="E3223" s="47"/>
      <c r="F3223" s="47"/>
      <c r="G3223" s="47"/>
      <c r="H3223" s="47"/>
      <c r="I3223" s="47"/>
      <c r="J3223" s="47"/>
      <c r="K3223" s="47"/>
      <c r="L3223" s="47"/>
      <c r="M3223" s="47"/>
      <c r="N3223" s="47"/>
      <c r="O3223" s="47"/>
      <c r="P3223" s="47"/>
      <c r="Q3223" s="47"/>
      <c r="R3223" s="47"/>
      <c r="S3223" s="47"/>
      <c r="T3223" s="45"/>
      <c r="U3223" s="45"/>
      <c r="V3223" s="45"/>
      <c r="W3223" s="45"/>
      <c r="X3223" s="47"/>
      <c r="Y3223" s="45"/>
      <c r="Z3223" s="45"/>
      <c r="AA3223" s="48"/>
      <c r="AB3223" s="48"/>
      <c r="AC3223" s="47"/>
      <c r="AD3223" s="47"/>
      <c r="AE3223" s="47"/>
    </row>
    <row r="3224" spans="1:31" x14ac:dyDescent="0.35">
      <c r="A3224" s="41"/>
      <c r="B3224" s="41"/>
      <c r="C3224" s="42"/>
      <c r="D3224" s="43"/>
      <c r="E3224" s="43"/>
      <c r="F3224" s="43"/>
      <c r="G3224" s="43"/>
      <c r="H3224" s="43"/>
      <c r="I3224" s="43"/>
      <c r="J3224" s="43"/>
      <c r="K3224" s="43"/>
      <c r="L3224" s="43"/>
      <c r="M3224" s="43"/>
      <c r="N3224" s="43"/>
      <c r="O3224" s="43"/>
      <c r="P3224" s="43"/>
      <c r="Q3224" s="43"/>
      <c r="R3224" s="43"/>
      <c r="S3224" s="43"/>
      <c r="T3224" s="43"/>
      <c r="U3224" s="43"/>
      <c r="V3224" s="41"/>
      <c r="W3224" s="41"/>
      <c r="X3224" s="41"/>
      <c r="Y3224" s="41"/>
      <c r="Z3224" s="41"/>
      <c r="AA3224" s="44"/>
      <c r="AB3224" s="44"/>
      <c r="AC3224" s="43"/>
      <c r="AD3224" s="43"/>
      <c r="AE3224" s="43"/>
    </row>
    <row r="3225" spans="1:31" x14ac:dyDescent="0.35">
      <c r="C3225" s="33"/>
      <c r="D3225" s="34"/>
      <c r="E3225" s="34"/>
      <c r="F3225" s="34"/>
      <c r="G3225" s="34"/>
      <c r="H3225" s="34"/>
      <c r="I3225" s="34"/>
      <c r="J3225" s="34"/>
      <c r="K3225" s="34"/>
      <c r="L3225" s="34"/>
      <c r="M3225" s="34"/>
      <c r="N3225" s="34"/>
      <c r="O3225" s="34"/>
      <c r="AA3225" s="35"/>
      <c r="AB3225" s="35"/>
      <c r="AC3225" s="34"/>
      <c r="AD3225" s="34"/>
      <c r="AE3225" s="34"/>
    </row>
    <row r="3226" spans="1:31" ht="15" thickBot="1" x14ac:dyDescent="0.4">
      <c r="A3226" s="45"/>
      <c r="B3226" s="45"/>
      <c r="C3226" s="46"/>
      <c r="D3226" s="47"/>
      <c r="E3226" s="47"/>
      <c r="F3226" s="47"/>
      <c r="G3226" s="47"/>
      <c r="H3226" s="47"/>
      <c r="I3226" s="47"/>
      <c r="J3226" s="47"/>
      <c r="K3226" s="47"/>
      <c r="L3226" s="47"/>
      <c r="M3226" s="47"/>
      <c r="N3226" s="47"/>
      <c r="O3226" s="47"/>
      <c r="P3226" s="47"/>
      <c r="Q3226" s="47"/>
      <c r="R3226" s="47"/>
      <c r="S3226" s="47"/>
      <c r="T3226" s="45"/>
      <c r="U3226" s="45"/>
      <c r="V3226" s="45"/>
      <c r="W3226" s="45"/>
      <c r="X3226" s="47"/>
      <c r="Y3226" s="45"/>
      <c r="Z3226" s="45"/>
      <c r="AA3226" s="48"/>
      <c r="AB3226" s="48"/>
      <c r="AC3226" s="47"/>
      <c r="AD3226" s="47"/>
      <c r="AE3226" s="47"/>
    </row>
    <row r="3227" spans="1:31" x14ac:dyDescent="0.35">
      <c r="A3227" s="41"/>
      <c r="B3227" s="41"/>
      <c r="C3227" s="42"/>
      <c r="D3227" s="43"/>
      <c r="E3227" s="43"/>
      <c r="F3227" s="43"/>
      <c r="G3227" s="43"/>
      <c r="H3227" s="43"/>
      <c r="I3227" s="43"/>
      <c r="J3227" s="43"/>
      <c r="K3227" s="43"/>
      <c r="L3227" s="43"/>
      <c r="M3227" s="43"/>
      <c r="N3227" s="43"/>
      <c r="O3227" s="43"/>
      <c r="P3227" s="43"/>
      <c r="Q3227" s="43"/>
      <c r="R3227" s="43"/>
      <c r="S3227" s="43"/>
      <c r="T3227" s="43"/>
      <c r="U3227" s="43"/>
      <c r="V3227" s="41"/>
      <c r="W3227" s="41"/>
      <c r="X3227" s="41"/>
      <c r="Y3227" s="41"/>
      <c r="Z3227" s="41"/>
      <c r="AA3227" s="44"/>
      <c r="AB3227" s="44"/>
      <c r="AC3227" s="43"/>
      <c r="AD3227" s="43"/>
      <c r="AE3227" s="43"/>
    </row>
    <row r="3228" spans="1:31" x14ac:dyDescent="0.35">
      <c r="C3228" s="33"/>
      <c r="D3228" s="34"/>
      <c r="E3228" s="34"/>
      <c r="F3228" s="34"/>
      <c r="G3228" s="34"/>
      <c r="H3228" s="34"/>
      <c r="I3228" s="34"/>
      <c r="J3228" s="34"/>
      <c r="K3228" s="34"/>
      <c r="L3228" s="34"/>
      <c r="M3228" s="34"/>
      <c r="N3228" s="34"/>
      <c r="O3228" s="34"/>
      <c r="AA3228" s="35"/>
      <c r="AB3228" s="35"/>
      <c r="AC3228" s="34"/>
      <c r="AD3228" s="34"/>
      <c r="AE3228" s="34"/>
    </row>
    <row r="3229" spans="1:31" ht="15" thickBot="1" x14ac:dyDescent="0.4">
      <c r="A3229" s="45"/>
      <c r="B3229" s="45"/>
      <c r="C3229" s="46"/>
      <c r="D3229" s="47"/>
      <c r="E3229" s="47"/>
      <c r="F3229" s="47"/>
      <c r="G3229" s="47"/>
      <c r="H3229" s="47"/>
      <c r="I3229" s="47"/>
      <c r="J3229" s="47"/>
      <c r="K3229" s="47"/>
      <c r="L3229" s="47"/>
      <c r="M3229" s="47"/>
      <c r="N3229" s="47"/>
      <c r="O3229" s="47"/>
      <c r="P3229" s="47"/>
      <c r="Q3229" s="47"/>
      <c r="R3229" s="47"/>
      <c r="S3229" s="47"/>
      <c r="T3229" s="45"/>
      <c r="U3229" s="45"/>
      <c r="V3229" s="45"/>
      <c r="W3229" s="45"/>
      <c r="X3229" s="47"/>
      <c r="Y3229" s="45"/>
      <c r="Z3229" s="45"/>
      <c r="AA3229" s="48"/>
      <c r="AB3229" s="48"/>
      <c r="AC3229" s="47"/>
      <c r="AD3229" s="47"/>
      <c r="AE3229" s="47"/>
    </row>
    <row r="3230" spans="1:31" x14ac:dyDescent="0.35">
      <c r="A3230" s="41"/>
      <c r="B3230" s="41"/>
      <c r="C3230" s="42"/>
      <c r="D3230" s="43"/>
      <c r="E3230" s="43"/>
      <c r="F3230" s="43"/>
      <c r="G3230" s="43"/>
      <c r="H3230" s="43"/>
      <c r="I3230" s="43"/>
      <c r="J3230" s="43"/>
      <c r="K3230" s="43"/>
      <c r="L3230" s="43"/>
      <c r="M3230" s="43"/>
      <c r="N3230" s="43"/>
      <c r="O3230" s="43"/>
      <c r="P3230" s="43"/>
      <c r="Q3230" s="43"/>
      <c r="R3230" s="43"/>
      <c r="S3230" s="43"/>
      <c r="T3230" s="43"/>
      <c r="U3230" s="43"/>
      <c r="V3230" s="41"/>
      <c r="W3230" s="41"/>
      <c r="X3230" s="41"/>
      <c r="Y3230" s="41"/>
      <c r="Z3230" s="41"/>
      <c r="AA3230" s="44"/>
      <c r="AB3230" s="44"/>
      <c r="AC3230" s="43"/>
      <c r="AD3230" s="43"/>
      <c r="AE3230" s="43"/>
    </row>
    <row r="3231" spans="1:31" x14ac:dyDescent="0.35">
      <c r="C3231" s="33"/>
      <c r="D3231" s="34"/>
      <c r="E3231" s="34"/>
      <c r="F3231" s="34"/>
      <c r="G3231" s="34"/>
      <c r="H3231" s="34"/>
      <c r="I3231" s="34"/>
      <c r="J3231" s="34"/>
      <c r="K3231" s="34"/>
      <c r="L3231" s="34"/>
      <c r="M3231" s="34"/>
      <c r="N3231" s="34"/>
      <c r="O3231" s="34"/>
      <c r="AA3231" s="35"/>
      <c r="AB3231" s="35"/>
      <c r="AC3231" s="34"/>
      <c r="AD3231" s="34"/>
      <c r="AE3231" s="34"/>
    </row>
    <row r="3232" spans="1:31" ht="15" thickBot="1" x14ac:dyDescent="0.4">
      <c r="A3232" s="45"/>
      <c r="B3232" s="45"/>
      <c r="C3232" s="46"/>
      <c r="D3232" s="47"/>
      <c r="E3232" s="47"/>
      <c r="F3232" s="47"/>
      <c r="G3232" s="47"/>
      <c r="H3232" s="47"/>
      <c r="I3232" s="47"/>
      <c r="J3232" s="47"/>
      <c r="K3232" s="47"/>
      <c r="L3232" s="47"/>
      <c r="M3232" s="47"/>
      <c r="N3232" s="47"/>
      <c r="O3232" s="47"/>
      <c r="P3232" s="47"/>
      <c r="Q3232" s="47"/>
      <c r="R3232" s="47"/>
      <c r="S3232" s="47"/>
      <c r="T3232" s="45"/>
      <c r="U3232" s="45"/>
      <c r="V3232" s="45"/>
      <c r="W3232" s="45"/>
      <c r="X3232" s="47"/>
      <c r="Y3232" s="45"/>
      <c r="Z3232" s="45"/>
      <c r="AA3232" s="48"/>
      <c r="AB3232" s="48"/>
      <c r="AC3232" s="47"/>
      <c r="AD3232" s="47"/>
      <c r="AE3232" s="47"/>
    </row>
    <row r="3233" spans="1:31" x14ac:dyDescent="0.35">
      <c r="A3233" s="41"/>
      <c r="B3233" s="41"/>
      <c r="C3233" s="42"/>
      <c r="D3233" s="43"/>
      <c r="E3233" s="43"/>
      <c r="F3233" s="43"/>
      <c r="G3233" s="43"/>
      <c r="H3233" s="43"/>
      <c r="I3233" s="43"/>
      <c r="J3233" s="43"/>
      <c r="K3233" s="43"/>
      <c r="L3233" s="43"/>
      <c r="M3233" s="43"/>
      <c r="N3233" s="43"/>
      <c r="O3233" s="43"/>
      <c r="P3233" s="43"/>
      <c r="Q3233" s="43"/>
      <c r="R3233" s="43"/>
      <c r="S3233" s="43"/>
      <c r="T3233" s="43"/>
      <c r="U3233" s="43"/>
      <c r="V3233" s="41"/>
      <c r="W3233" s="41"/>
      <c r="X3233" s="41"/>
      <c r="Y3233" s="41"/>
      <c r="Z3233" s="41"/>
      <c r="AA3233" s="44"/>
      <c r="AB3233" s="44"/>
      <c r="AC3233" s="43"/>
      <c r="AD3233" s="43"/>
      <c r="AE3233" s="43"/>
    </row>
    <row r="3234" spans="1:31" x14ac:dyDescent="0.35">
      <c r="C3234" s="33"/>
      <c r="D3234" s="34"/>
      <c r="E3234" s="34"/>
      <c r="F3234" s="34"/>
      <c r="G3234" s="34"/>
      <c r="H3234" s="34"/>
      <c r="I3234" s="34"/>
      <c r="J3234" s="34"/>
      <c r="K3234" s="34"/>
      <c r="L3234" s="34"/>
      <c r="M3234" s="34"/>
      <c r="N3234" s="34"/>
      <c r="O3234" s="34"/>
      <c r="AA3234" s="35"/>
      <c r="AB3234" s="35"/>
      <c r="AC3234" s="34"/>
      <c r="AD3234" s="34"/>
      <c r="AE3234" s="34"/>
    </row>
    <row r="3235" spans="1:31" ht="15" thickBot="1" x14ac:dyDescent="0.4">
      <c r="A3235" s="45"/>
      <c r="B3235" s="45"/>
      <c r="C3235" s="46"/>
      <c r="D3235" s="47"/>
      <c r="E3235" s="47"/>
      <c r="F3235" s="47"/>
      <c r="G3235" s="47"/>
      <c r="H3235" s="47"/>
      <c r="I3235" s="47"/>
      <c r="J3235" s="47"/>
      <c r="K3235" s="47"/>
      <c r="L3235" s="47"/>
      <c r="M3235" s="47"/>
      <c r="N3235" s="47"/>
      <c r="O3235" s="47"/>
      <c r="P3235" s="47"/>
      <c r="Q3235" s="47"/>
      <c r="R3235" s="47"/>
      <c r="S3235" s="47"/>
      <c r="T3235" s="45"/>
      <c r="U3235" s="45"/>
      <c r="V3235" s="45"/>
      <c r="W3235" s="45"/>
      <c r="X3235" s="47"/>
      <c r="Y3235" s="45"/>
      <c r="Z3235" s="45"/>
      <c r="AA3235" s="48"/>
      <c r="AB3235" s="48"/>
      <c r="AC3235" s="47"/>
      <c r="AD3235" s="47"/>
      <c r="AE3235" s="47"/>
    </row>
    <row r="3236" spans="1:31" x14ac:dyDescent="0.35">
      <c r="A3236" s="41"/>
      <c r="B3236" s="41"/>
      <c r="C3236" s="42"/>
      <c r="D3236" s="43"/>
      <c r="E3236" s="43"/>
      <c r="F3236" s="43"/>
      <c r="G3236" s="43"/>
      <c r="H3236" s="43"/>
      <c r="I3236" s="43"/>
      <c r="J3236" s="43"/>
      <c r="K3236" s="43"/>
      <c r="L3236" s="43"/>
      <c r="M3236" s="43"/>
      <c r="N3236" s="43"/>
      <c r="O3236" s="43"/>
      <c r="P3236" s="43"/>
      <c r="Q3236" s="43"/>
      <c r="R3236" s="43"/>
      <c r="S3236" s="43"/>
      <c r="T3236" s="43"/>
      <c r="U3236" s="43"/>
      <c r="V3236" s="41"/>
      <c r="W3236" s="41"/>
      <c r="X3236" s="41"/>
      <c r="Y3236" s="41"/>
      <c r="Z3236" s="41"/>
      <c r="AA3236" s="44"/>
      <c r="AB3236" s="44"/>
      <c r="AC3236" s="43"/>
      <c r="AD3236" s="43"/>
      <c r="AE3236" s="43"/>
    </row>
    <row r="3237" spans="1:31" x14ac:dyDescent="0.35">
      <c r="C3237" s="33"/>
      <c r="D3237" s="34"/>
      <c r="E3237" s="34"/>
      <c r="F3237" s="34"/>
      <c r="G3237" s="34"/>
      <c r="H3237" s="34"/>
      <c r="I3237" s="34"/>
      <c r="J3237" s="34"/>
      <c r="K3237" s="34"/>
      <c r="L3237" s="34"/>
      <c r="M3237" s="34"/>
      <c r="N3237" s="34"/>
      <c r="O3237" s="34"/>
      <c r="AA3237" s="35"/>
      <c r="AB3237" s="35"/>
      <c r="AC3237" s="34"/>
      <c r="AD3237" s="34"/>
      <c r="AE3237" s="34"/>
    </row>
    <row r="3238" spans="1:31" ht="15" thickBot="1" x14ac:dyDescent="0.4">
      <c r="A3238" s="45"/>
      <c r="B3238" s="45"/>
      <c r="C3238" s="46"/>
      <c r="D3238" s="47"/>
      <c r="E3238" s="47"/>
      <c r="F3238" s="47"/>
      <c r="G3238" s="47"/>
      <c r="H3238" s="47"/>
      <c r="I3238" s="47"/>
      <c r="J3238" s="47"/>
      <c r="K3238" s="47"/>
      <c r="L3238" s="47"/>
      <c r="M3238" s="47"/>
      <c r="N3238" s="47"/>
      <c r="O3238" s="47"/>
      <c r="P3238" s="47"/>
      <c r="Q3238" s="47"/>
      <c r="R3238" s="47"/>
      <c r="S3238" s="47"/>
      <c r="T3238" s="45"/>
      <c r="U3238" s="45"/>
      <c r="V3238" s="45"/>
      <c r="W3238" s="45"/>
      <c r="X3238" s="47"/>
      <c r="Y3238" s="45"/>
      <c r="Z3238" s="45"/>
      <c r="AA3238" s="48"/>
      <c r="AB3238" s="48"/>
      <c r="AC3238" s="47"/>
      <c r="AD3238" s="47"/>
      <c r="AE3238" s="47"/>
    </row>
    <row r="3239" spans="1:31" x14ac:dyDescent="0.35">
      <c r="A3239" s="41"/>
      <c r="B3239" s="41"/>
      <c r="C3239" s="42"/>
      <c r="D3239" s="43"/>
      <c r="E3239" s="43"/>
      <c r="F3239" s="43"/>
      <c r="G3239" s="43"/>
      <c r="H3239" s="43"/>
      <c r="I3239" s="43"/>
      <c r="J3239" s="43"/>
      <c r="K3239" s="43"/>
      <c r="L3239" s="43"/>
      <c r="M3239" s="43"/>
      <c r="N3239" s="43"/>
      <c r="O3239" s="43"/>
      <c r="P3239" s="43"/>
      <c r="Q3239" s="43"/>
      <c r="R3239" s="43"/>
      <c r="S3239" s="43"/>
      <c r="T3239" s="43"/>
      <c r="U3239" s="43"/>
      <c r="V3239" s="41"/>
      <c r="W3239" s="41"/>
      <c r="X3239" s="41"/>
      <c r="Y3239" s="41"/>
      <c r="Z3239" s="41"/>
      <c r="AA3239" s="44"/>
      <c r="AB3239" s="44"/>
      <c r="AC3239" s="43"/>
      <c r="AD3239" s="43"/>
      <c r="AE3239" s="43"/>
    </row>
    <row r="3240" spans="1:31" x14ac:dyDescent="0.35">
      <c r="C3240" s="33"/>
      <c r="D3240" s="34"/>
      <c r="E3240" s="34"/>
      <c r="F3240" s="34"/>
      <c r="G3240" s="34"/>
      <c r="H3240" s="34"/>
      <c r="I3240" s="34"/>
      <c r="J3240" s="34"/>
      <c r="K3240" s="34"/>
      <c r="L3240" s="34"/>
      <c r="M3240" s="34"/>
      <c r="N3240" s="34"/>
      <c r="O3240" s="34"/>
      <c r="AA3240" s="35"/>
      <c r="AB3240" s="35"/>
      <c r="AC3240" s="34"/>
      <c r="AD3240" s="34"/>
      <c r="AE3240" s="34"/>
    </row>
    <row r="3241" spans="1:31" ht="15" thickBot="1" x14ac:dyDescent="0.4">
      <c r="A3241" s="45"/>
      <c r="B3241" s="45"/>
      <c r="C3241" s="46"/>
      <c r="D3241" s="47"/>
      <c r="E3241" s="47"/>
      <c r="F3241" s="47"/>
      <c r="G3241" s="47"/>
      <c r="H3241" s="47"/>
      <c r="I3241" s="47"/>
      <c r="J3241" s="47"/>
      <c r="K3241" s="47"/>
      <c r="L3241" s="47"/>
      <c r="M3241" s="47"/>
      <c r="N3241" s="47"/>
      <c r="O3241" s="47"/>
      <c r="P3241" s="47"/>
      <c r="Q3241" s="47"/>
      <c r="R3241" s="47"/>
      <c r="S3241" s="47"/>
      <c r="T3241" s="45"/>
      <c r="U3241" s="45"/>
      <c r="V3241" s="45"/>
      <c r="W3241" s="45"/>
      <c r="X3241" s="47"/>
      <c r="Y3241" s="45"/>
      <c r="Z3241" s="45"/>
      <c r="AA3241" s="48"/>
      <c r="AB3241" s="48"/>
      <c r="AC3241" s="47"/>
      <c r="AD3241" s="47"/>
      <c r="AE3241" s="47"/>
    </row>
    <row r="3242" spans="1:31" x14ac:dyDescent="0.35">
      <c r="A3242" s="41"/>
      <c r="B3242" s="41"/>
      <c r="C3242" s="42"/>
      <c r="D3242" s="43"/>
      <c r="E3242" s="43"/>
      <c r="F3242" s="43"/>
      <c r="G3242" s="43"/>
      <c r="H3242" s="43"/>
      <c r="I3242" s="43"/>
      <c r="J3242" s="43"/>
      <c r="K3242" s="43"/>
      <c r="L3242" s="43"/>
      <c r="M3242" s="43"/>
      <c r="N3242" s="43"/>
      <c r="O3242" s="43"/>
      <c r="P3242" s="43"/>
      <c r="Q3242" s="43"/>
      <c r="R3242" s="43"/>
      <c r="S3242" s="43"/>
      <c r="T3242" s="43"/>
      <c r="U3242" s="43"/>
      <c r="V3242" s="41"/>
      <c r="W3242" s="41"/>
      <c r="X3242" s="41"/>
      <c r="Y3242" s="41"/>
      <c r="Z3242" s="41"/>
      <c r="AA3242" s="44"/>
      <c r="AB3242" s="44"/>
      <c r="AC3242" s="43"/>
      <c r="AD3242" s="43"/>
      <c r="AE3242" s="43"/>
    </row>
    <row r="3243" spans="1:31" x14ac:dyDescent="0.35">
      <c r="C3243" s="33"/>
      <c r="D3243" s="34"/>
      <c r="E3243" s="34"/>
      <c r="F3243" s="34"/>
      <c r="G3243" s="34"/>
      <c r="H3243" s="34"/>
      <c r="I3243" s="34"/>
      <c r="J3243" s="34"/>
      <c r="K3243" s="34"/>
      <c r="L3243" s="34"/>
      <c r="M3243" s="34"/>
      <c r="N3243" s="34"/>
      <c r="O3243" s="34"/>
      <c r="AA3243" s="35"/>
      <c r="AB3243" s="35"/>
      <c r="AC3243" s="34"/>
      <c r="AD3243" s="34"/>
      <c r="AE3243" s="34"/>
    </row>
    <row r="3244" spans="1:31" ht="15" thickBot="1" x14ac:dyDescent="0.4">
      <c r="A3244" s="45"/>
      <c r="B3244" s="45"/>
      <c r="C3244" s="46"/>
      <c r="D3244" s="47"/>
      <c r="E3244" s="47"/>
      <c r="F3244" s="47"/>
      <c r="G3244" s="47"/>
      <c r="H3244" s="47"/>
      <c r="I3244" s="47"/>
      <c r="J3244" s="47"/>
      <c r="K3244" s="47"/>
      <c r="L3244" s="47"/>
      <c r="M3244" s="47"/>
      <c r="N3244" s="47"/>
      <c r="O3244" s="47"/>
      <c r="P3244" s="47"/>
      <c r="Q3244" s="47"/>
      <c r="R3244" s="47"/>
      <c r="S3244" s="47"/>
      <c r="T3244" s="45"/>
      <c r="U3244" s="45"/>
      <c r="V3244" s="45"/>
      <c r="W3244" s="45"/>
      <c r="X3244" s="47"/>
      <c r="Y3244" s="45"/>
      <c r="Z3244" s="45"/>
      <c r="AA3244" s="48"/>
      <c r="AB3244" s="48"/>
      <c r="AC3244" s="47"/>
      <c r="AD3244" s="47"/>
      <c r="AE3244" s="47"/>
    </row>
    <row r="3245" spans="1:31" x14ac:dyDescent="0.35">
      <c r="A3245" s="41"/>
      <c r="B3245" s="41"/>
      <c r="C3245" s="42"/>
      <c r="D3245" s="43"/>
      <c r="E3245" s="43"/>
      <c r="F3245" s="43"/>
      <c r="G3245" s="43"/>
      <c r="H3245" s="43"/>
      <c r="I3245" s="43"/>
      <c r="J3245" s="43"/>
      <c r="K3245" s="43"/>
      <c r="L3245" s="43"/>
      <c r="M3245" s="43"/>
      <c r="N3245" s="43"/>
      <c r="O3245" s="43"/>
      <c r="P3245" s="43"/>
      <c r="Q3245" s="43"/>
      <c r="R3245" s="43"/>
      <c r="S3245" s="43"/>
      <c r="T3245" s="43"/>
      <c r="U3245" s="43"/>
      <c r="V3245" s="41"/>
      <c r="W3245" s="41"/>
      <c r="X3245" s="41"/>
      <c r="Y3245" s="41"/>
      <c r="Z3245" s="41"/>
      <c r="AA3245" s="44"/>
      <c r="AB3245" s="44"/>
      <c r="AC3245" s="43"/>
      <c r="AD3245" s="43"/>
      <c r="AE3245" s="43"/>
    </row>
    <row r="3246" spans="1:31" x14ac:dyDescent="0.35">
      <c r="C3246" s="33"/>
      <c r="D3246" s="34"/>
      <c r="E3246" s="34"/>
      <c r="F3246" s="34"/>
      <c r="G3246" s="34"/>
      <c r="H3246" s="34"/>
      <c r="I3246" s="34"/>
      <c r="J3246" s="34"/>
      <c r="K3246" s="34"/>
      <c r="L3246" s="34"/>
      <c r="M3246" s="34"/>
      <c r="N3246" s="34"/>
      <c r="O3246" s="34"/>
      <c r="AA3246" s="35"/>
      <c r="AB3246" s="35"/>
      <c r="AC3246" s="34"/>
      <c r="AD3246" s="34"/>
      <c r="AE3246" s="34"/>
    </row>
    <row r="3247" spans="1:31" ht="15" thickBot="1" x14ac:dyDescent="0.4">
      <c r="A3247" s="45"/>
      <c r="B3247" s="45"/>
      <c r="C3247" s="46"/>
      <c r="D3247" s="47"/>
      <c r="E3247" s="47"/>
      <c r="F3247" s="47"/>
      <c r="G3247" s="47"/>
      <c r="H3247" s="47"/>
      <c r="I3247" s="47"/>
      <c r="J3247" s="47"/>
      <c r="K3247" s="47"/>
      <c r="L3247" s="47"/>
      <c r="M3247" s="47"/>
      <c r="N3247" s="47"/>
      <c r="O3247" s="47"/>
      <c r="P3247" s="47"/>
      <c r="Q3247" s="47"/>
      <c r="R3247" s="47"/>
      <c r="S3247" s="47"/>
      <c r="T3247" s="45"/>
      <c r="U3247" s="45"/>
      <c r="V3247" s="45"/>
      <c r="W3247" s="45"/>
      <c r="X3247" s="47"/>
      <c r="Y3247" s="45"/>
      <c r="Z3247" s="45"/>
      <c r="AA3247" s="48"/>
      <c r="AB3247" s="48"/>
      <c r="AC3247" s="47"/>
      <c r="AD3247" s="47"/>
      <c r="AE3247" s="47"/>
    </row>
    <row r="3248" spans="1:31" x14ac:dyDescent="0.35">
      <c r="A3248" s="41"/>
      <c r="B3248" s="41"/>
      <c r="C3248" s="42"/>
      <c r="D3248" s="43"/>
      <c r="E3248" s="43"/>
      <c r="F3248" s="43"/>
      <c r="G3248" s="43"/>
      <c r="H3248" s="43"/>
      <c r="I3248" s="43"/>
      <c r="J3248" s="43"/>
      <c r="K3248" s="43"/>
      <c r="L3248" s="43"/>
      <c r="M3248" s="43"/>
      <c r="N3248" s="43"/>
      <c r="O3248" s="43"/>
      <c r="P3248" s="43"/>
      <c r="Q3248" s="43"/>
      <c r="R3248" s="43"/>
      <c r="S3248" s="43"/>
      <c r="T3248" s="43"/>
      <c r="U3248" s="43"/>
      <c r="V3248" s="41"/>
      <c r="W3248" s="41"/>
      <c r="X3248" s="41"/>
      <c r="Y3248" s="41"/>
      <c r="Z3248" s="41"/>
      <c r="AA3248" s="44"/>
      <c r="AB3248" s="44"/>
      <c r="AC3248" s="43"/>
      <c r="AD3248" s="43"/>
      <c r="AE3248" s="43"/>
    </row>
    <row r="3249" spans="1:31" x14ac:dyDescent="0.35">
      <c r="C3249" s="33"/>
      <c r="D3249" s="34"/>
      <c r="E3249" s="34"/>
      <c r="F3249" s="34"/>
      <c r="G3249" s="34"/>
      <c r="H3249" s="34"/>
      <c r="I3249" s="34"/>
      <c r="J3249" s="34"/>
      <c r="K3249" s="34"/>
      <c r="L3249" s="34"/>
      <c r="M3249" s="34"/>
      <c r="N3249" s="34"/>
      <c r="O3249" s="34"/>
      <c r="AA3249" s="35"/>
      <c r="AB3249" s="35"/>
      <c r="AC3249" s="34"/>
      <c r="AD3249" s="34"/>
      <c r="AE3249" s="34"/>
    </row>
    <row r="3250" spans="1:31" ht="15" thickBot="1" x14ac:dyDescent="0.4">
      <c r="A3250" s="45"/>
      <c r="B3250" s="45"/>
      <c r="C3250" s="46"/>
      <c r="D3250" s="47"/>
      <c r="E3250" s="47"/>
      <c r="F3250" s="47"/>
      <c r="G3250" s="47"/>
      <c r="H3250" s="47"/>
      <c r="I3250" s="47"/>
      <c r="J3250" s="47"/>
      <c r="K3250" s="47"/>
      <c r="L3250" s="47"/>
      <c r="M3250" s="47"/>
      <c r="N3250" s="47"/>
      <c r="O3250" s="47"/>
      <c r="P3250" s="47"/>
      <c r="Q3250" s="47"/>
      <c r="R3250" s="47"/>
      <c r="S3250" s="47"/>
      <c r="T3250" s="45"/>
      <c r="U3250" s="45"/>
      <c r="V3250" s="45"/>
      <c r="W3250" s="45"/>
      <c r="X3250" s="47"/>
      <c r="Y3250" s="45"/>
      <c r="Z3250" s="45"/>
      <c r="AA3250" s="48"/>
      <c r="AB3250" s="48"/>
      <c r="AC3250" s="47"/>
      <c r="AD3250" s="47"/>
      <c r="AE3250" s="47"/>
    </row>
    <row r="3251" spans="1:31" x14ac:dyDescent="0.35">
      <c r="A3251" s="41"/>
      <c r="B3251" s="41"/>
      <c r="C3251" s="42"/>
      <c r="D3251" s="43"/>
      <c r="E3251" s="43"/>
      <c r="F3251" s="43"/>
      <c r="G3251" s="43"/>
      <c r="H3251" s="43"/>
      <c r="I3251" s="43"/>
      <c r="J3251" s="43"/>
      <c r="K3251" s="43"/>
      <c r="L3251" s="43"/>
      <c r="M3251" s="43"/>
      <c r="N3251" s="43"/>
      <c r="O3251" s="43"/>
      <c r="P3251" s="43"/>
      <c r="Q3251" s="43"/>
      <c r="R3251" s="43"/>
      <c r="S3251" s="43"/>
      <c r="T3251" s="43"/>
      <c r="U3251" s="43"/>
      <c r="V3251" s="41"/>
      <c r="W3251" s="41"/>
      <c r="X3251" s="41"/>
      <c r="Y3251" s="41"/>
      <c r="Z3251" s="41"/>
      <c r="AA3251" s="44"/>
      <c r="AB3251" s="44"/>
      <c r="AC3251" s="43"/>
      <c r="AD3251" s="43"/>
      <c r="AE3251" s="43"/>
    </row>
    <row r="3252" spans="1:31" x14ac:dyDescent="0.35">
      <c r="C3252" s="33"/>
      <c r="D3252" s="34"/>
      <c r="E3252" s="34"/>
      <c r="F3252" s="34"/>
      <c r="G3252" s="34"/>
      <c r="H3252" s="34"/>
      <c r="I3252" s="34"/>
      <c r="J3252" s="34"/>
      <c r="K3252" s="34"/>
      <c r="L3252" s="34"/>
      <c r="M3252" s="34"/>
      <c r="N3252" s="34"/>
      <c r="O3252" s="34"/>
      <c r="AA3252" s="35"/>
      <c r="AB3252" s="35"/>
      <c r="AC3252" s="34"/>
      <c r="AD3252" s="34"/>
      <c r="AE3252" s="34"/>
    </row>
    <row r="3253" spans="1:31" ht="15" thickBot="1" x14ac:dyDescent="0.4">
      <c r="A3253" s="45"/>
      <c r="B3253" s="45"/>
      <c r="C3253" s="46"/>
      <c r="D3253" s="47"/>
      <c r="E3253" s="47"/>
      <c r="F3253" s="47"/>
      <c r="G3253" s="47"/>
      <c r="H3253" s="47"/>
      <c r="I3253" s="47"/>
      <c r="J3253" s="47"/>
      <c r="K3253" s="47"/>
      <c r="L3253" s="47"/>
      <c r="M3253" s="47"/>
      <c r="N3253" s="47"/>
      <c r="O3253" s="47"/>
      <c r="P3253" s="47"/>
      <c r="Q3253" s="47"/>
      <c r="R3253" s="47"/>
      <c r="S3253" s="47"/>
      <c r="T3253" s="45"/>
      <c r="U3253" s="45"/>
      <c r="V3253" s="45"/>
      <c r="W3253" s="45"/>
      <c r="X3253" s="47"/>
      <c r="Y3253" s="45"/>
      <c r="Z3253" s="45"/>
      <c r="AA3253" s="48"/>
      <c r="AB3253" s="48"/>
      <c r="AC3253" s="47"/>
      <c r="AD3253" s="47"/>
      <c r="AE3253" s="47"/>
    </row>
    <row r="3254" spans="1:31" x14ac:dyDescent="0.35">
      <c r="A3254" s="41"/>
      <c r="B3254" s="41"/>
      <c r="C3254" s="42"/>
      <c r="D3254" s="43"/>
      <c r="E3254" s="43"/>
      <c r="F3254" s="43"/>
      <c r="G3254" s="43"/>
      <c r="H3254" s="43"/>
      <c r="I3254" s="43"/>
      <c r="J3254" s="43"/>
      <c r="K3254" s="43"/>
      <c r="L3254" s="43"/>
      <c r="M3254" s="43"/>
      <c r="N3254" s="43"/>
      <c r="O3254" s="43"/>
      <c r="P3254" s="43"/>
      <c r="Q3254" s="43"/>
      <c r="R3254" s="43"/>
      <c r="S3254" s="43"/>
      <c r="T3254" s="43"/>
      <c r="U3254" s="43"/>
      <c r="V3254" s="41"/>
      <c r="W3254" s="41"/>
      <c r="X3254" s="41"/>
      <c r="Y3254" s="41"/>
      <c r="Z3254" s="41"/>
      <c r="AA3254" s="44"/>
      <c r="AB3254" s="44"/>
      <c r="AC3254" s="43"/>
      <c r="AD3254" s="43"/>
      <c r="AE3254" s="43"/>
    </row>
    <row r="3255" spans="1:31" x14ac:dyDescent="0.35">
      <c r="C3255" s="33"/>
      <c r="D3255" s="34"/>
      <c r="E3255" s="34"/>
      <c r="F3255" s="34"/>
      <c r="G3255" s="34"/>
      <c r="H3255" s="34"/>
      <c r="I3255" s="34"/>
      <c r="J3255" s="34"/>
      <c r="K3255" s="34"/>
      <c r="L3255" s="34"/>
      <c r="M3255" s="34"/>
      <c r="N3255" s="34"/>
      <c r="O3255" s="34"/>
      <c r="AA3255" s="35"/>
      <c r="AB3255" s="35"/>
      <c r="AC3255" s="34"/>
      <c r="AD3255" s="34"/>
      <c r="AE3255" s="34"/>
    </row>
    <row r="3256" spans="1:31" ht="15" thickBot="1" x14ac:dyDescent="0.4">
      <c r="A3256" s="45"/>
      <c r="B3256" s="45"/>
      <c r="C3256" s="46"/>
      <c r="D3256" s="47"/>
      <c r="E3256" s="47"/>
      <c r="F3256" s="47"/>
      <c r="G3256" s="47"/>
      <c r="H3256" s="47"/>
      <c r="I3256" s="47"/>
      <c r="J3256" s="47"/>
      <c r="K3256" s="47"/>
      <c r="L3256" s="47"/>
      <c r="M3256" s="47"/>
      <c r="N3256" s="47"/>
      <c r="O3256" s="47"/>
      <c r="P3256" s="47"/>
      <c r="Q3256" s="47"/>
      <c r="R3256" s="47"/>
      <c r="S3256" s="47"/>
      <c r="T3256" s="45"/>
      <c r="U3256" s="45"/>
      <c r="V3256" s="45"/>
      <c r="W3256" s="45"/>
      <c r="X3256" s="47"/>
      <c r="Y3256" s="45"/>
      <c r="Z3256" s="45"/>
      <c r="AA3256" s="48"/>
      <c r="AB3256" s="48"/>
      <c r="AC3256" s="47"/>
      <c r="AD3256" s="47"/>
      <c r="AE3256" s="47"/>
    </row>
    <row r="3257" spans="1:31" x14ac:dyDescent="0.35">
      <c r="A3257" s="41"/>
      <c r="B3257" s="41"/>
      <c r="C3257" s="42"/>
      <c r="D3257" s="43"/>
      <c r="E3257" s="43"/>
      <c r="F3257" s="43"/>
      <c r="G3257" s="43"/>
      <c r="H3257" s="43"/>
      <c r="I3257" s="43"/>
      <c r="J3257" s="43"/>
      <c r="K3257" s="43"/>
      <c r="L3257" s="43"/>
      <c r="M3257" s="43"/>
      <c r="N3257" s="43"/>
      <c r="O3257" s="43"/>
      <c r="P3257" s="43"/>
      <c r="Q3257" s="43"/>
      <c r="R3257" s="43"/>
      <c r="S3257" s="43"/>
      <c r="T3257" s="43"/>
      <c r="U3257" s="43"/>
      <c r="V3257" s="41"/>
      <c r="W3257" s="41"/>
      <c r="X3257" s="41"/>
      <c r="Y3257" s="41"/>
      <c r="Z3257" s="41"/>
      <c r="AA3257" s="44"/>
      <c r="AB3257" s="44"/>
      <c r="AC3257" s="43"/>
      <c r="AD3257" s="43"/>
      <c r="AE3257" s="43"/>
    </row>
    <row r="3258" spans="1:31" x14ac:dyDescent="0.35">
      <c r="C3258" s="33"/>
      <c r="D3258" s="34"/>
      <c r="E3258" s="34"/>
      <c r="F3258" s="34"/>
      <c r="G3258" s="34"/>
      <c r="H3258" s="34"/>
      <c r="I3258" s="34"/>
      <c r="J3258" s="34"/>
      <c r="K3258" s="34"/>
      <c r="L3258" s="34"/>
      <c r="M3258" s="34"/>
      <c r="N3258" s="34"/>
      <c r="O3258" s="34"/>
      <c r="AA3258" s="35"/>
      <c r="AB3258" s="35"/>
      <c r="AC3258" s="34"/>
      <c r="AD3258" s="34"/>
      <c r="AE3258" s="34"/>
    </row>
    <row r="3259" spans="1:31" ht="15" thickBot="1" x14ac:dyDescent="0.4">
      <c r="A3259" s="45"/>
      <c r="B3259" s="45"/>
      <c r="C3259" s="46"/>
      <c r="D3259" s="47"/>
      <c r="E3259" s="47"/>
      <c r="F3259" s="47"/>
      <c r="G3259" s="47"/>
      <c r="H3259" s="47"/>
      <c r="I3259" s="47"/>
      <c r="J3259" s="47"/>
      <c r="K3259" s="47"/>
      <c r="L3259" s="47"/>
      <c r="M3259" s="47"/>
      <c r="N3259" s="47"/>
      <c r="O3259" s="47"/>
      <c r="P3259" s="47"/>
      <c r="Q3259" s="47"/>
      <c r="R3259" s="47"/>
      <c r="S3259" s="47"/>
      <c r="T3259" s="45"/>
      <c r="U3259" s="45"/>
      <c r="V3259" s="45"/>
      <c r="W3259" s="45"/>
      <c r="X3259" s="47"/>
      <c r="Y3259" s="45"/>
      <c r="Z3259" s="45"/>
      <c r="AA3259" s="48"/>
      <c r="AB3259" s="48"/>
      <c r="AC3259" s="47"/>
      <c r="AD3259" s="47"/>
      <c r="AE3259" s="47"/>
    </row>
    <row r="3260" spans="1:31" x14ac:dyDescent="0.35">
      <c r="A3260" s="41"/>
      <c r="B3260" s="41"/>
      <c r="C3260" s="42"/>
      <c r="D3260" s="43"/>
      <c r="E3260" s="43"/>
      <c r="F3260" s="43"/>
      <c r="G3260" s="43"/>
      <c r="H3260" s="43"/>
      <c r="I3260" s="43"/>
      <c r="J3260" s="43"/>
      <c r="K3260" s="43"/>
      <c r="L3260" s="43"/>
      <c r="M3260" s="43"/>
      <c r="N3260" s="43"/>
      <c r="O3260" s="43"/>
      <c r="P3260" s="43"/>
      <c r="Q3260" s="43"/>
      <c r="R3260" s="43"/>
      <c r="S3260" s="43"/>
      <c r="T3260" s="43"/>
      <c r="U3260" s="43"/>
      <c r="V3260" s="41"/>
      <c r="W3260" s="41"/>
      <c r="X3260" s="41"/>
      <c r="Y3260" s="41"/>
      <c r="Z3260" s="41"/>
      <c r="AA3260" s="44"/>
      <c r="AB3260" s="44"/>
      <c r="AC3260" s="43"/>
      <c r="AD3260" s="43"/>
      <c r="AE3260" s="43"/>
    </row>
    <row r="3261" spans="1:31" x14ac:dyDescent="0.35">
      <c r="C3261" s="33"/>
      <c r="D3261" s="34"/>
      <c r="E3261" s="34"/>
      <c r="F3261" s="34"/>
      <c r="G3261" s="34"/>
      <c r="H3261" s="34"/>
      <c r="I3261" s="34"/>
      <c r="J3261" s="34"/>
      <c r="K3261" s="34"/>
      <c r="L3261" s="34"/>
      <c r="M3261" s="34"/>
      <c r="N3261" s="34"/>
      <c r="O3261" s="34"/>
      <c r="AA3261" s="35"/>
      <c r="AB3261" s="35"/>
      <c r="AC3261" s="34"/>
      <c r="AD3261" s="34"/>
      <c r="AE3261" s="34"/>
    </row>
    <row r="3262" spans="1:31" ht="15" thickBot="1" x14ac:dyDescent="0.4">
      <c r="A3262" s="45"/>
      <c r="B3262" s="45"/>
      <c r="C3262" s="46"/>
      <c r="D3262" s="47"/>
      <c r="E3262" s="47"/>
      <c r="F3262" s="47"/>
      <c r="G3262" s="47"/>
      <c r="H3262" s="47"/>
      <c r="I3262" s="47"/>
      <c r="J3262" s="47"/>
      <c r="K3262" s="47"/>
      <c r="L3262" s="47"/>
      <c r="M3262" s="47"/>
      <c r="N3262" s="47"/>
      <c r="O3262" s="47"/>
      <c r="P3262" s="47"/>
      <c r="Q3262" s="47"/>
      <c r="R3262" s="47"/>
      <c r="S3262" s="47"/>
      <c r="T3262" s="45"/>
      <c r="U3262" s="45"/>
      <c r="V3262" s="45"/>
      <c r="W3262" s="45"/>
      <c r="X3262" s="47"/>
      <c r="Y3262" s="45"/>
      <c r="Z3262" s="45"/>
      <c r="AA3262" s="48"/>
      <c r="AB3262" s="48"/>
      <c r="AC3262" s="47"/>
      <c r="AD3262" s="47"/>
      <c r="AE3262" s="47"/>
    </row>
    <row r="3263" spans="1:31" x14ac:dyDescent="0.35">
      <c r="A3263" s="41"/>
      <c r="B3263" s="41"/>
      <c r="C3263" s="42"/>
      <c r="D3263" s="43"/>
      <c r="E3263" s="43"/>
      <c r="F3263" s="43"/>
      <c r="G3263" s="43"/>
      <c r="H3263" s="43"/>
      <c r="I3263" s="43"/>
      <c r="J3263" s="43"/>
      <c r="K3263" s="43"/>
      <c r="L3263" s="43"/>
      <c r="M3263" s="43"/>
      <c r="N3263" s="43"/>
      <c r="O3263" s="43"/>
      <c r="P3263" s="43"/>
      <c r="Q3263" s="43"/>
      <c r="R3263" s="43"/>
      <c r="S3263" s="43"/>
      <c r="T3263" s="43"/>
      <c r="U3263" s="43"/>
      <c r="V3263" s="41"/>
      <c r="W3263" s="41"/>
      <c r="X3263" s="41"/>
      <c r="Y3263" s="41"/>
      <c r="Z3263" s="41"/>
      <c r="AA3263" s="44"/>
      <c r="AB3263" s="44"/>
      <c r="AC3263" s="43"/>
      <c r="AD3263" s="43"/>
      <c r="AE3263" s="43"/>
    </row>
    <row r="3264" spans="1:31" x14ac:dyDescent="0.35">
      <c r="C3264" s="33"/>
      <c r="D3264" s="34"/>
      <c r="E3264" s="34"/>
      <c r="F3264" s="34"/>
      <c r="G3264" s="34"/>
      <c r="H3264" s="34"/>
      <c r="I3264" s="34"/>
      <c r="J3264" s="34"/>
      <c r="K3264" s="34"/>
      <c r="L3264" s="34"/>
      <c r="M3264" s="34"/>
      <c r="N3264" s="34"/>
      <c r="O3264" s="34"/>
      <c r="AA3264" s="35"/>
      <c r="AB3264" s="35"/>
      <c r="AC3264" s="34"/>
      <c r="AD3264" s="34"/>
      <c r="AE3264" s="34"/>
    </row>
    <row r="3265" spans="1:31" ht="15" thickBot="1" x14ac:dyDescent="0.4">
      <c r="A3265" s="45"/>
      <c r="B3265" s="45"/>
      <c r="C3265" s="46"/>
      <c r="D3265" s="47"/>
      <c r="E3265" s="47"/>
      <c r="F3265" s="47"/>
      <c r="G3265" s="47"/>
      <c r="H3265" s="47"/>
      <c r="I3265" s="47"/>
      <c r="J3265" s="47"/>
      <c r="K3265" s="47"/>
      <c r="L3265" s="47"/>
      <c r="M3265" s="47"/>
      <c r="N3265" s="47"/>
      <c r="O3265" s="47"/>
      <c r="P3265" s="47"/>
      <c r="Q3265" s="47"/>
      <c r="R3265" s="47"/>
      <c r="S3265" s="47"/>
      <c r="T3265" s="45"/>
      <c r="U3265" s="45"/>
      <c r="V3265" s="45"/>
      <c r="W3265" s="45"/>
      <c r="X3265" s="47"/>
      <c r="Y3265" s="45"/>
      <c r="Z3265" s="45"/>
      <c r="AA3265" s="48"/>
      <c r="AB3265" s="48"/>
      <c r="AC3265" s="47"/>
      <c r="AD3265" s="47"/>
      <c r="AE3265" s="47"/>
    </row>
    <row r="3266" spans="1:31" x14ac:dyDescent="0.35">
      <c r="A3266" s="41"/>
      <c r="B3266" s="41"/>
      <c r="C3266" s="42"/>
      <c r="D3266" s="43"/>
      <c r="E3266" s="43"/>
      <c r="F3266" s="43"/>
      <c r="G3266" s="43"/>
      <c r="H3266" s="43"/>
      <c r="I3266" s="43"/>
      <c r="J3266" s="43"/>
      <c r="K3266" s="43"/>
      <c r="L3266" s="43"/>
      <c r="M3266" s="43"/>
      <c r="N3266" s="43"/>
      <c r="O3266" s="43"/>
      <c r="P3266" s="43"/>
      <c r="Q3266" s="43"/>
      <c r="R3266" s="43"/>
      <c r="S3266" s="43"/>
      <c r="T3266" s="43"/>
      <c r="U3266" s="43"/>
      <c r="V3266" s="41"/>
      <c r="W3266" s="41"/>
      <c r="X3266" s="41"/>
      <c r="Y3266" s="41"/>
      <c r="Z3266" s="41"/>
      <c r="AA3266" s="44"/>
      <c r="AB3266" s="44"/>
      <c r="AC3266" s="43"/>
      <c r="AD3266" s="43"/>
      <c r="AE3266" s="43"/>
    </row>
    <row r="3267" spans="1:31" x14ac:dyDescent="0.35">
      <c r="C3267" s="33"/>
      <c r="D3267" s="34"/>
      <c r="E3267" s="34"/>
      <c r="F3267" s="34"/>
      <c r="G3267" s="34"/>
      <c r="H3267" s="34"/>
      <c r="I3267" s="34"/>
      <c r="J3267" s="34"/>
      <c r="K3267" s="34"/>
      <c r="L3267" s="34"/>
      <c r="M3267" s="34"/>
      <c r="N3267" s="34"/>
      <c r="O3267" s="34"/>
      <c r="AA3267" s="35"/>
      <c r="AB3267" s="35"/>
      <c r="AC3267" s="34"/>
      <c r="AD3267" s="34"/>
      <c r="AE3267" s="34"/>
    </row>
    <row r="3268" spans="1:31" ht="15" thickBot="1" x14ac:dyDescent="0.4">
      <c r="A3268" s="45"/>
      <c r="B3268" s="45"/>
      <c r="C3268" s="46"/>
      <c r="D3268" s="47"/>
      <c r="E3268" s="47"/>
      <c r="F3268" s="47"/>
      <c r="G3268" s="47"/>
      <c r="H3268" s="47"/>
      <c r="I3268" s="47"/>
      <c r="J3268" s="47"/>
      <c r="K3268" s="47"/>
      <c r="L3268" s="47"/>
      <c r="M3268" s="47"/>
      <c r="N3268" s="47"/>
      <c r="O3268" s="47"/>
      <c r="P3268" s="47"/>
      <c r="Q3268" s="47"/>
      <c r="R3268" s="47"/>
      <c r="S3268" s="47"/>
      <c r="T3268" s="45"/>
      <c r="U3268" s="45"/>
      <c r="V3268" s="45"/>
      <c r="W3268" s="45"/>
      <c r="X3268" s="47"/>
      <c r="Y3268" s="45"/>
      <c r="Z3268" s="45"/>
      <c r="AA3268" s="48"/>
      <c r="AB3268" s="48"/>
      <c r="AC3268" s="47"/>
      <c r="AD3268" s="47"/>
      <c r="AE3268" s="47"/>
    </row>
    <row r="3269" spans="1:31" x14ac:dyDescent="0.35">
      <c r="A3269" s="41"/>
      <c r="B3269" s="41"/>
      <c r="C3269" s="42"/>
      <c r="D3269" s="43"/>
      <c r="E3269" s="43"/>
      <c r="F3269" s="43"/>
      <c r="G3269" s="43"/>
      <c r="H3269" s="43"/>
      <c r="I3269" s="43"/>
      <c r="J3269" s="43"/>
      <c r="K3269" s="43"/>
      <c r="L3269" s="43"/>
      <c r="M3269" s="43"/>
      <c r="N3269" s="43"/>
      <c r="O3269" s="43"/>
      <c r="P3269" s="43"/>
      <c r="Q3269" s="43"/>
      <c r="R3269" s="43"/>
      <c r="S3269" s="43"/>
      <c r="T3269" s="43"/>
      <c r="U3269" s="43"/>
      <c r="V3269" s="41"/>
      <c r="W3269" s="41"/>
      <c r="X3269" s="41"/>
      <c r="Y3269" s="41"/>
      <c r="Z3269" s="41"/>
      <c r="AA3269" s="44"/>
      <c r="AB3269" s="44"/>
      <c r="AC3269" s="43"/>
      <c r="AD3269" s="43"/>
      <c r="AE3269" s="43"/>
    </row>
    <row r="3270" spans="1:31" x14ac:dyDescent="0.35">
      <c r="C3270" s="33"/>
      <c r="D3270" s="34"/>
      <c r="E3270" s="34"/>
      <c r="F3270" s="34"/>
      <c r="G3270" s="34"/>
      <c r="H3270" s="34"/>
      <c r="I3270" s="34"/>
      <c r="J3270" s="34"/>
      <c r="K3270" s="34"/>
      <c r="L3270" s="34"/>
      <c r="M3270" s="34"/>
      <c r="N3270" s="34"/>
      <c r="O3270" s="34"/>
      <c r="AA3270" s="35"/>
      <c r="AB3270" s="35"/>
      <c r="AC3270" s="34"/>
      <c r="AD3270" s="34"/>
      <c r="AE3270" s="34"/>
    </row>
    <row r="3271" spans="1:31" ht="15" thickBot="1" x14ac:dyDescent="0.4">
      <c r="A3271" s="45"/>
      <c r="B3271" s="45"/>
      <c r="C3271" s="46"/>
      <c r="D3271" s="47"/>
      <c r="E3271" s="47"/>
      <c r="F3271" s="47"/>
      <c r="G3271" s="47"/>
      <c r="H3271" s="47"/>
      <c r="I3271" s="47"/>
      <c r="J3271" s="47"/>
      <c r="K3271" s="47"/>
      <c r="L3271" s="47"/>
      <c r="M3271" s="47"/>
      <c r="N3271" s="47"/>
      <c r="O3271" s="47"/>
      <c r="P3271" s="47"/>
      <c r="Q3271" s="47"/>
      <c r="R3271" s="47"/>
      <c r="S3271" s="47"/>
      <c r="T3271" s="45"/>
      <c r="U3271" s="45"/>
      <c r="V3271" s="45"/>
      <c r="W3271" s="45"/>
      <c r="X3271" s="47"/>
      <c r="Y3271" s="45"/>
      <c r="Z3271" s="45"/>
      <c r="AA3271" s="48"/>
      <c r="AB3271" s="48"/>
      <c r="AC3271" s="47"/>
      <c r="AD3271" s="47"/>
      <c r="AE3271" s="47"/>
    </row>
    <row r="3272" spans="1:31" x14ac:dyDescent="0.35">
      <c r="A3272" s="41"/>
      <c r="B3272" s="41"/>
      <c r="C3272" s="42"/>
      <c r="D3272" s="43"/>
      <c r="E3272" s="43"/>
      <c r="F3272" s="43"/>
      <c r="G3272" s="43"/>
      <c r="H3272" s="43"/>
      <c r="I3272" s="43"/>
      <c r="J3272" s="43"/>
      <c r="K3272" s="43"/>
      <c r="L3272" s="43"/>
      <c r="M3272" s="43"/>
      <c r="N3272" s="43"/>
      <c r="O3272" s="43"/>
      <c r="P3272" s="43"/>
      <c r="Q3272" s="43"/>
      <c r="R3272" s="43"/>
      <c r="S3272" s="43"/>
      <c r="T3272" s="43"/>
      <c r="U3272" s="43"/>
      <c r="V3272" s="41"/>
      <c r="W3272" s="41"/>
      <c r="X3272" s="41"/>
      <c r="Y3272" s="41"/>
      <c r="Z3272" s="41"/>
      <c r="AA3272" s="44"/>
      <c r="AB3272" s="44"/>
      <c r="AC3272" s="43"/>
      <c r="AD3272" s="43"/>
      <c r="AE3272" s="43"/>
    </row>
    <row r="3273" spans="1:31" x14ac:dyDescent="0.35">
      <c r="C3273" s="33"/>
      <c r="D3273" s="34"/>
      <c r="E3273" s="34"/>
      <c r="F3273" s="34"/>
      <c r="G3273" s="34"/>
      <c r="H3273" s="34"/>
      <c r="I3273" s="34"/>
      <c r="J3273" s="34"/>
      <c r="K3273" s="34"/>
      <c r="L3273" s="34"/>
      <c r="M3273" s="34"/>
      <c r="N3273" s="34"/>
      <c r="O3273" s="34"/>
      <c r="AA3273" s="35"/>
      <c r="AB3273" s="35"/>
      <c r="AC3273" s="34"/>
      <c r="AD3273" s="34"/>
      <c r="AE3273" s="34"/>
    </row>
    <row r="3274" spans="1:31" ht="15" thickBot="1" x14ac:dyDescent="0.4">
      <c r="A3274" s="45"/>
      <c r="B3274" s="45"/>
      <c r="C3274" s="46"/>
      <c r="D3274" s="47"/>
      <c r="E3274" s="47"/>
      <c r="F3274" s="47"/>
      <c r="G3274" s="47"/>
      <c r="H3274" s="47"/>
      <c r="I3274" s="47"/>
      <c r="J3274" s="47"/>
      <c r="K3274" s="47"/>
      <c r="L3274" s="47"/>
      <c r="M3274" s="47"/>
      <c r="N3274" s="47"/>
      <c r="O3274" s="47"/>
      <c r="P3274" s="47"/>
      <c r="Q3274" s="47"/>
      <c r="R3274" s="47"/>
      <c r="S3274" s="47"/>
      <c r="T3274" s="45"/>
      <c r="U3274" s="45"/>
      <c r="V3274" s="45"/>
      <c r="W3274" s="45"/>
      <c r="X3274" s="47"/>
      <c r="Y3274" s="45"/>
      <c r="Z3274" s="45"/>
      <c r="AA3274" s="48"/>
      <c r="AB3274" s="48"/>
      <c r="AC3274" s="47"/>
      <c r="AD3274" s="47"/>
      <c r="AE3274" s="47"/>
    </row>
    <row r="3275" spans="1:31" x14ac:dyDescent="0.35">
      <c r="A3275" s="41"/>
      <c r="B3275" s="41"/>
      <c r="C3275" s="42"/>
      <c r="D3275" s="43"/>
      <c r="E3275" s="43"/>
      <c r="F3275" s="43"/>
      <c r="G3275" s="43"/>
      <c r="H3275" s="43"/>
      <c r="I3275" s="43"/>
      <c r="J3275" s="43"/>
      <c r="K3275" s="43"/>
      <c r="L3275" s="43"/>
      <c r="M3275" s="43"/>
      <c r="N3275" s="43"/>
      <c r="O3275" s="43"/>
      <c r="P3275" s="43"/>
      <c r="Q3275" s="43"/>
      <c r="R3275" s="43"/>
      <c r="S3275" s="43"/>
      <c r="T3275" s="43"/>
      <c r="U3275" s="43"/>
      <c r="V3275" s="41"/>
      <c r="W3275" s="41"/>
      <c r="X3275" s="41"/>
      <c r="Y3275" s="41"/>
      <c r="Z3275" s="41"/>
      <c r="AA3275" s="44"/>
      <c r="AB3275" s="44"/>
      <c r="AC3275" s="43"/>
      <c r="AD3275" s="43"/>
      <c r="AE3275" s="43"/>
    </row>
    <row r="3276" spans="1:31" x14ac:dyDescent="0.35">
      <c r="C3276" s="33"/>
      <c r="D3276" s="34"/>
      <c r="E3276" s="34"/>
      <c r="F3276" s="34"/>
      <c r="G3276" s="34"/>
      <c r="H3276" s="34"/>
      <c r="I3276" s="34"/>
      <c r="J3276" s="34"/>
      <c r="K3276" s="34"/>
      <c r="L3276" s="34"/>
      <c r="M3276" s="34"/>
      <c r="N3276" s="34"/>
      <c r="O3276" s="34"/>
      <c r="AA3276" s="35"/>
      <c r="AB3276" s="35"/>
      <c r="AC3276" s="34"/>
      <c r="AD3276" s="34"/>
      <c r="AE3276" s="34"/>
    </row>
    <row r="3277" spans="1:31" ht="15" thickBot="1" x14ac:dyDescent="0.4">
      <c r="A3277" s="45"/>
      <c r="B3277" s="45"/>
      <c r="C3277" s="46"/>
      <c r="D3277" s="47"/>
      <c r="E3277" s="47"/>
      <c r="F3277" s="47"/>
      <c r="G3277" s="47"/>
      <c r="H3277" s="47"/>
      <c r="I3277" s="47"/>
      <c r="J3277" s="47"/>
      <c r="K3277" s="47"/>
      <c r="L3277" s="47"/>
      <c r="M3277" s="47"/>
      <c r="N3277" s="47"/>
      <c r="O3277" s="47"/>
      <c r="P3277" s="47"/>
      <c r="Q3277" s="47"/>
      <c r="R3277" s="47"/>
      <c r="S3277" s="47"/>
      <c r="T3277" s="45"/>
      <c r="U3277" s="45"/>
      <c r="V3277" s="45"/>
      <c r="W3277" s="45"/>
      <c r="X3277" s="47"/>
      <c r="Y3277" s="45"/>
      <c r="Z3277" s="45"/>
      <c r="AA3277" s="48"/>
      <c r="AB3277" s="48"/>
      <c r="AC3277" s="47"/>
      <c r="AD3277" s="47"/>
      <c r="AE3277" s="47"/>
    </row>
    <row r="3278" spans="1:31" x14ac:dyDescent="0.35">
      <c r="A3278" s="41"/>
      <c r="B3278" s="41"/>
      <c r="C3278" s="42"/>
      <c r="D3278" s="43"/>
      <c r="E3278" s="43"/>
      <c r="F3278" s="43"/>
      <c r="G3278" s="43"/>
      <c r="H3278" s="43"/>
      <c r="I3278" s="43"/>
      <c r="J3278" s="43"/>
      <c r="K3278" s="43"/>
      <c r="L3278" s="43"/>
      <c r="M3278" s="43"/>
      <c r="N3278" s="43"/>
      <c r="O3278" s="43"/>
      <c r="P3278" s="43"/>
      <c r="Q3278" s="43"/>
      <c r="R3278" s="43"/>
      <c r="S3278" s="43"/>
      <c r="T3278" s="43"/>
      <c r="U3278" s="43"/>
      <c r="V3278" s="41"/>
      <c r="W3278" s="41"/>
      <c r="X3278" s="41"/>
      <c r="Y3278" s="41"/>
      <c r="Z3278" s="41"/>
      <c r="AA3278" s="44"/>
      <c r="AB3278" s="44"/>
      <c r="AC3278" s="43"/>
      <c r="AD3278" s="43"/>
      <c r="AE3278" s="43"/>
    </row>
    <row r="3279" spans="1:31" x14ac:dyDescent="0.35">
      <c r="C3279" s="33"/>
      <c r="D3279" s="34"/>
      <c r="E3279" s="34"/>
      <c r="F3279" s="34"/>
      <c r="G3279" s="34"/>
      <c r="H3279" s="34"/>
      <c r="I3279" s="34"/>
      <c r="J3279" s="34"/>
      <c r="K3279" s="34"/>
      <c r="L3279" s="34"/>
      <c r="M3279" s="34"/>
      <c r="N3279" s="34"/>
      <c r="O3279" s="34"/>
      <c r="AA3279" s="35"/>
      <c r="AB3279" s="35"/>
      <c r="AC3279" s="34"/>
      <c r="AD3279" s="34"/>
      <c r="AE3279" s="34"/>
    </row>
    <row r="3280" spans="1:31" ht="15" thickBot="1" x14ac:dyDescent="0.4">
      <c r="A3280" s="45"/>
      <c r="B3280" s="45"/>
      <c r="C3280" s="46"/>
      <c r="D3280" s="47"/>
      <c r="E3280" s="47"/>
      <c r="F3280" s="47"/>
      <c r="G3280" s="47"/>
      <c r="H3280" s="47"/>
      <c r="I3280" s="47"/>
      <c r="J3280" s="47"/>
      <c r="K3280" s="47"/>
      <c r="L3280" s="47"/>
      <c r="M3280" s="47"/>
      <c r="N3280" s="47"/>
      <c r="O3280" s="47"/>
      <c r="P3280" s="47"/>
      <c r="Q3280" s="47"/>
      <c r="R3280" s="47"/>
      <c r="S3280" s="47"/>
      <c r="T3280" s="45"/>
      <c r="U3280" s="45"/>
      <c r="V3280" s="45"/>
      <c r="W3280" s="45"/>
      <c r="X3280" s="47"/>
      <c r="Y3280" s="45"/>
      <c r="Z3280" s="45"/>
      <c r="AA3280" s="48"/>
      <c r="AB3280" s="48"/>
      <c r="AC3280" s="47"/>
      <c r="AD3280" s="47"/>
      <c r="AE3280" s="47"/>
    </row>
    <row r="3281" spans="1:31" x14ac:dyDescent="0.35">
      <c r="A3281" s="41"/>
      <c r="B3281" s="41"/>
      <c r="C3281" s="42"/>
      <c r="D3281" s="43"/>
      <c r="E3281" s="43"/>
      <c r="F3281" s="43"/>
      <c r="G3281" s="43"/>
      <c r="H3281" s="43"/>
      <c r="I3281" s="43"/>
      <c r="J3281" s="43"/>
      <c r="K3281" s="43"/>
      <c r="L3281" s="43"/>
      <c r="M3281" s="43"/>
      <c r="N3281" s="43"/>
      <c r="O3281" s="43"/>
      <c r="P3281" s="43"/>
      <c r="Q3281" s="43"/>
      <c r="R3281" s="43"/>
      <c r="S3281" s="43"/>
      <c r="T3281" s="43"/>
      <c r="U3281" s="43"/>
      <c r="V3281" s="41"/>
      <c r="W3281" s="41"/>
      <c r="X3281" s="41"/>
      <c r="Y3281" s="41"/>
      <c r="Z3281" s="41"/>
      <c r="AA3281" s="44"/>
      <c r="AB3281" s="44"/>
      <c r="AC3281" s="43"/>
      <c r="AD3281" s="43"/>
      <c r="AE3281" s="43"/>
    </row>
    <row r="3282" spans="1:31" x14ac:dyDescent="0.35">
      <c r="C3282" s="33"/>
      <c r="D3282" s="34"/>
      <c r="E3282" s="34"/>
      <c r="F3282" s="34"/>
      <c r="G3282" s="34"/>
      <c r="H3282" s="34"/>
      <c r="I3282" s="34"/>
      <c r="J3282" s="34"/>
      <c r="K3282" s="34"/>
      <c r="L3282" s="34"/>
      <c r="M3282" s="34"/>
      <c r="N3282" s="34"/>
      <c r="O3282" s="34"/>
      <c r="AA3282" s="35"/>
      <c r="AB3282" s="35"/>
      <c r="AC3282" s="34"/>
      <c r="AD3282" s="34"/>
      <c r="AE3282" s="34"/>
    </row>
    <row r="3283" spans="1:31" ht="15" thickBot="1" x14ac:dyDescent="0.4">
      <c r="A3283" s="45"/>
      <c r="B3283" s="45"/>
      <c r="C3283" s="46"/>
      <c r="D3283" s="47"/>
      <c r="E3283" s="47"/>
      <c r="F3283" s="47"/>
      <c r="G3283" s="47"/>
      <c r="H3283" s="47"/>
      <c r="I3283" s="47"/>
      <c r="J3283" s="47"/>
      <c r="K3283" s="47"/>
      <c r="L3283" s="47"/>
      <c r="M3283" s="47"/>
      <c r="N3283" s="47"/>
      <c r="O3283" s="47"/>
      <c r="P3283" s="47"/>
      <c r="Q3283" s="47"/>
      <c r="R3283" s="47"/>
      <c r="S3283" s="47"/>
      <c r="T3283" s="45"/>
      <c r="U3283" s="45"/>
      <c r="V3283" s="45"/>
      <c r="W3283" s="45"/>
      <c r="X3283" s="47"/>
      <c r="Y3283" s="45"/>
      <c r="Z3283" s="45"/>
      <c r="AA3283" s="48"/>
      <c r="AB3283" s="48"/>
      <c r="AC3283" s="47"/>
      <c r="AD3283" s="47"/>
      <c r="AE3283" s="47"/>
    </row>
    <row r="3284" spans="1:31" x14ac:dyDescent="0.35">
      <c r="A3284" s="41"/>
      <c r="B3284" s="41"/>
      <c r="C3284" s="42"/>
      <c r="D3284" s="43"/>
      <c r="E3284" s="43"/>
      <c r="F3284" s="43"/>
      <c r="G3284" s="43"/>
      <c r="H3284" s="43"/>
      <c r="I3284" s="43"/>
      <c r="J3284" s="43"/>
      <c r="K3284" s="43"/>
      <c r="L3284" s="43"/>
      <c r="M3284" s="43"/>
      <c r="N3284" s="43"/>
      <c r="O3284" s="43"/>
      <c r="P3284" s="43"/>
      <c r="Q3284" s="43"/>
      <c r="R3284" s="43"/>
      <c r="S3284" s="43"/>
      <c r="T3284" s="43"/>
      <c r="U3284" s="43"/>
      <c r="V3284" s="41"/>
      <c r="W3284" s="41"/>
      <c r="X3284" s="41"/>
      <c r="Y3284" s="41"/>
      <c r="Z3284" s="41"/>
      <c r="AA3284" s="44"/>
      <c r="AB3284" s="44"/>
      <c r="AC3284" s="43"/>
      <c r="AD3284" s="43"/>
      <c r="AE3284" s="43"/>
    </row>
    <row r="3285" spans="1:31" x14ac:dyDescent="0.35">
      <c r="C3285" s="33"/>
      <c r="D3285" s="34"/>
      <c r="E3285" s="34"/>
      <c r="F3285" s="34"/>
      <c r="G3285" s="34"/>
      <c r="H3285" s="34"/>
      <c r="I3285" s="34"/>
      <c r="J3285" s="34"/>
      <c r="K3285" s="34"/>
      <c r="L3285" s="34"/>
      <c r="M3285" s="34"/>
      <c r="N3285" s="34"/>
      <c r="O3285" s="34"/>
      <c r="AA3285" s="35"/>
      <c r="AB3285" s="35"/>
      <c r="AC3285" s="34"/>
      <c r="AD3285" s="34"/>
      <c r="AE3285" s="34"/>
    </row>
    <row r="3286" spans="1:31" ht="15" thickBot="1" x14ac:dyDescent="0.4">
      <c r="A3286" s="45"/>
      <c r="B3286" s="45"/>
      <c r="C3286" s="46"/>
      <c r="D3286" s="47"/>
      <c r="E3286" s="47"/>
      <c r="F3286" s="47"/>
      <c r="G3286" s="47"/>
      <c r="H3286" s="47"/>
      <c r="I3286" s="47"/>
      <c r="J3286" s="47"/>
      <c r="K3286" s="47"/>
      <c r="L3286" s="47"/>
      <c r="M3286" s="47"/>
      <c r="N3286" s="47"/>
      <c r="O3286" s="47"/>
      <c r="P3286" s="47"/>
      <c r="Q3286" s="47"/>
      <c r="R3286" s="47"/>
      <c r="S3286" s="47"/>
      <c r="T3286" s="45"/>
      <c r="U3286" s="45"/>
      <c r="V3286" s="45"/>
      <c r="W3286" s="45"/>
      <c r="X3286" s="47"/>
      <c r="Y3286" s="45"/>
      <c r="Z3286" s="45"/>
      <c r="AA3286" s="48"/>
      <c r="AB3286" s="48"/>
      <c r="AC3286" s="47"/>
      <c r="AD3286" s="47"/>
      <c r="AE3286" s="47"/>
    </row>
    <row r="3287" spans="1:31" x14ac:dyDescent="0.35">
      <c r="A3287" s="41"/>
      <c r="B3287" s="41"/>
      <c r="C3287" s="42"/>
      <c r="D3287" s="43"/>
      <c r="E3287" s="43"/>
      <c r="F3287" s="43"/>
      <c r="G3287" s="43"/>
      <c r="H3287" s="43"/>
      <c r="I3287" s="43"/>
      <c r="J3287" s="43"/>
      <c r="K3287" s="43"/>
      <c r="L3287" s="43"/>
      <c r="M3287" s="43"/>
      <c r="N3287" s="43"/>
      <c r="O3287" s="43"/>
      <c r="P3287" s="43"/>
      <c r="Q3287" s="43"/>
      <c r="R3287" s="43"/>
      <c r="S3287" s="43"/>
      <c r="T3287" s="43"/>
      <c r="U3287" s="43"/>
      <c r="V3287" s="41"/>
      <c r="W3287" s="41"/>
      <c r="X3287" s="41"/>
      <c r="Y3287" s="41"/>
      <c r="Z3287" s="41"/>
      <c r="AA3287" s="44"/>
      <c r="AB3287" s="44"/>
      <c r="AC3287" s="43"/>
      <c r="AD3287" s="43"/>
      <c r="AE3287" s="43"/>
    </row>
    <row r="3288" spans="1:31" x14ac:dyDescent="0.35">
      <c r="C3288" s="33"/>
      <c r="D3288" s="34"/>
      <c r="E3288" s="34"/>
      <c r="F3288" s="34"/>
      <c r="G3288" s="34"/>
      <c r="H3288" s="34"/>
      <c r="I3288" s="34"/>
      <c r="J3288" s="34"/>
      <c r="K3288" s="34"/>
      <c r="L3288" s="34"/>
      <c r="M3288" s="34"/>
      <c r="N3288" s="34"/>
      <c r="O3288" s="34"/>
      <c r="AA3288" s="35"/>
      <c r="AB3288" s="35"/>
      <c r="AC3288" s="34"/>
      <c r="AD3288" s="34"/>
      <c r="AE3288" s="34"/>
    </row>
    <row r="3289" spans="1:31" ht="15" thickBot="1" x14ac:dyDescent="0.4">
      <c r="A3289" s="45"/>
      <c r="B3289" s="45"/>
      <c r="C3289" s="46"/>
      <c r="D3289" s="47"/>
      <c r="E3289" s="47"/>
      <c r="F3289" s="47"/>
      <c r="G3289" s="47"/>
      <c r="H3289" s="47"/>
      <c r="I3289" s="47"/>
      <c r="J3289" s="47"/>
      <c r="K3289" s="47"/>
      <c r="L3289" s="47"/>
      <c r="M3289" s="47"/>
      <c r="N3289" s="47"/>
      <c r="O3289" s="47"/>
      <c r="P3289" s="47"/>
      <c r="Q3289" s="47"/>
      <c r="R3289" s="47"/>
      <c r="S3289" s="47"/>
      <c r="T3289" s="45"/>
      <c r="U3289" s="45"/>
      <c r="V3289" s="45"/>
      <c r="W3289" s="45"/>
      <c r="X3289" s="47"/>
      <c r="Y3289" s="45"/>
      <c r="Z3289" s="45"/>
      <c r="AA3289" s="48"/>
      <c r="AB3289" s="48"/>
      <c r="AC3289" s="47"/>
      <c r="AD3289" s="47"/>
      <c r="AE3289" s="47"/>
    </row>
    <row r="3290" spans="1:31" x14ac:dyDescent="0.35">
      <c r="A3290" s="41"/>
      <c r="B3290" s="41"/>
      <c r="C3290" s="42"/>
      <c r="D3290" s="43"/>
      <c r="E3290" s="43"/>
      <c r="F3290" s="43"/>
      <c r="G3290" s="43"/>
      <c r="H3290" s="43"/>
      <c r="I3290" s="43"/>
      <c r="J3290" s="43"/>
      <c r="K3290" s="43"/>
      <c r="L3290" s="43"/>
      <c r="M3290" s="43"/>
      <c r="N3290" s="43"/>
      <c r="O3290" s="43"/>
      <c r="P3290" s="43"/>
      <c r="Q3290" s="43"/>
      <c r="R3290" s="43"/>
      <c r="S3290" s="43"/>
      <c r="T3290" s="43"/>
      <c r="U3290" s="43"/>
      <c r="V3290" s="41"/>
      <c r="W3290" s="41"/>
      <c r="X3290" s="41"/>
      <c r="Y3290" s="41"/>
      <c r="Z3290" s="41"/>
      <c r="AA3290" s="44"/>
      <c r="AB3290" s="44"/>
      <c r="AC3290" s="43"/>
      <c r="AD3290" s="43"/>
      <c r="AE3290" s="43"/>
    </row>
    <row r="3291" spans="1:31" x14ac:dyDescent="0.35">
      <c r="C3291" s="33"/>
      <c r="D3291" s="34"/>
      <c r="E3291" s="34"/>
      <c r="F3291" s="34"/>
      <c r="G3291" s="34"/>
      <c r="H3291" s="34"/>
      <c r="I3291" s="34"/>
      <c r="J3291" s="34"/>
      <c r="K3291" s="34"/>
      <c r="L3291" s="34"/>
      <c r="M3291" s="34"/>
      <c r="N3291" s="34"/>
      <c r="O3291" s="34"/>
      <c r="AA3291" s="35"/>
      <c r="AB3291" s="35"/>
      <c r="AC3291" s="34"/>
      <c r="AD3291" s="34"/>
      <c r="AE3291" s="34"/>
    </row>
    <row r="3292" spans="1:31" ht="15" thickBot="1" x14ac:dyDescent="0.4">
      <c r="A3292" s="45"/>
      <c r="B3292" s="45"/>
      <c r="C3292" s="46"/>
      <c r="D3292" s="47"/>
      <c r="E3292" s="47"/>
      <c r="F3292" s="47"/>
      <c r="G3292" s="47"/>
      <c r="H3292" s="47"/>
      <c r="I3292" s="47"/>
      <c r="J3292" s="47"/>
      <c r="K3292" s="47"/>
      <c r="L3292" s="47"/>
      <c r="M3292" s="47"/>
      <c r="N3292" s="47"/>
      <c r="O3292" s="47"/>
      <c r="P3292" s="47"/>
      <c r="Q3292" s="47"/>
      <c r="R3292" s="47"/>
      <c r="S3292" s="47"/>
      <c r="T3292" s="45"/>
      <c r="U3292" s="45"/>
      <c r="V3292" s="45"/>
      <c r="W3292" s="45"/>
      <c r="X3292" s="47"/>
      <c r="Y3292" s="45"/>
      <c r="Z3292" s="45"/>
      <c r="AA3292" s="48"/>
      <c r="AB3292" s="48"/>
      <c r="AC3292" s="47"/>
      <c r="AD3292" s="47"/>
      <c r="AE3292" s="47"/>
    </row>
    <row r="3293" spans="1:31" x14ac:dyDescent="0.35">
      <c r="A3293" s="41"/>
      <c r="B3293" s="41"/>
      <c r="C3293" s="42"/>
      <c r="D3293" s="43"/>
      <c r="E3293" s="43"/>
      <c r="F3293" s="43"/>
      <c r="G3293" s="43"/>
      <c r="H3293" s="43"/>
      <c r="I3293" s="43"/>
      <c r="J3293" s="43"/>
      <c r="K3293" s="43"/>
      <c r="L3293" s="43"/>
      <c r="M3293" s="43"/>
      <c r="N3293" s="43"/>
      <c r="O3293" s="43"/>
      <c r="P3293" s="43"/>
      <c r="Q3293" s="43"/>
      <c r="R3293" s="43"/>
      <c r="S3293" s="43"/>
      <c r="T3293" s="43"/>
      <c r="U3293" s="43"/>
      <c r="V3293" s="41"/>
      <c r="W3293" s="41"/>
      <c r="X3293" s="41"/>
      <c r="Y3293" s="41"/>
      <c r="Z3293" s="41"/>
      <c r="AA3293" s="44"/>
      <c r="AB3293" s="44"/>
      <c r="AC3293" s="43"/>
      <c r="AD3293" s="43"/>
      <c r="AE3293" s="43"/>
    </row>
    <row r="3294" spans="1:31" x14ac:dyDescent="0.35">
      <c r="C3294" s="33"/>
      <c r="D3294" s="34"/>
      <c r="E3294" s="34"/>
      <c r="F3294" s="34"/>
      <c r="G3294" s="34"/>
      <c r="H3294" s="34"/>
      <c r="I3294" s="34"/>
      <c r="J3294" s="34"/>
      <c r="K3294" s="34"/>
      <c r="L3294" s="34"/>
      <c r="M3294" s="34"/>
      <c r="N3294" s="34"/>
      <c r="O3294" s="34"/>
      <c r="AA3294" s="35"/>
      <c r="AB3294" s="35"/>
      <c r="AC3294" s="34"/>
      <c r="AD3294" s="34"/>
      <c r="AE3294" s="34"/>
    </row>
    <row r="3295" spans="1:31" ht="15" thickBot="1" x14ac:dyDescent="0.4">
      <c r="A3295" s="45"/>
      <c r="B3295" s="45"/>
      <c r="C3295" s="46"/>
      <c r="D3295" s="47"/>
      <c r="E3295" s="47"/>
      <c r="F3295" s="47"/>
      <c r="G3295" s="47"/>
      <c r="H3295" s="47"/>
      <c r="I3295" s="47"/>
      <c r="J3295" s="47"/>
      <c r="K3295" s="47"/>
      <c r="L3295" s="47"/>
      <c r="M3295" s="47"/>
      <c r="N3295" s="47"/>
      <c r="O3295" s="47"/>
      <c r="P3295" s="47"/>
      <c r="Q3295" s="47"/>
      <c r="R3295" s="47"/>
      <c r="S3295" s="47"/>
      <c r="T3295" s="45"/>
      <c r="U3295" s="45"/>
      <c r="V3295" s="45"/>
      <c r="W3295" s="45"/>
      <c r="X3295" s="47"/>
      <c r="Y3295" s="45"/>
      <c r="Z3295" s="45"/>
      <c r="AA3295" s="48"/>
      <c r="AB3295" s="48"/>
      <c r="AC3295" s="47"/>
      <c r="AD3295" s="47"/>
      <c r="AE3295" s="47"/>
    </row>
    <row r="3296" spans="1:31" x14ac:dyDescent="0.35">
      <c r="A3296" s="41"/>
      <c r="B3296" s="41"/>
      <c r="C3296" s="42"/>
      <c r="D3296" s="43"/>
      <c r="E3296" s="43"/>
      <c r="F3296" s="43"/>
      <c r="G3296" s="43"/>
      <c r="H3296" s="43"/>
      <c r="I3296" s="43"/>
      <c r="J3296" s="43"/>
      <c r="K3296" s="43"/>
      <c r="L3296" s="43"/>
      <c r="M3296" s="43"/>
      <c r="N3296" s="43"/>
      <c r="O3296" s="43"/>
      <c r="P3296" s="43"/>
      <c r="Q3296" s="43"/>
      <c r="R3296" s="43"/>
      <c r="S3296" s="43"/>
      <c r="T3296" s="43"/>
      <c r="U3296" s="43"/>
      <c r="V3296" s="41"/>
      <c r="W3296" s="41"/>
      <c r="X3296" s="41"/>
      <c r="Y3296" s="41"/>
      <c r="Z3296" s="41"/>
      <c r="AA3296" s="44"/>
      <c r="AB3296" s="44"/>
      <c r="AC3296" s="43"/>
      <c r="AD3296" s="43"/>
      <c r="AE3296" s="43"/>
    </row>
    <row r="3297" spans="1:31" x14ac:dyDescent="0.35">
      <c r="C3297" s="33"/>
      <c r="D3297" s="34"/>
      <c r="E3297" s="34"/>
      <c r="F3297" s="34"/>
      <c r="G3297" s="34"/>
      <c r="H3297" s="34"/>
      <c r="I3297" s="34"/>
      <c r="J3297" s="34"/>
      <c r="K3297" s="34"/>
      <c r="L3297" s="34"/>
      <c r="M3297" s="34"/>
      <c r="N3297" s="34"/>
      <c r="O3297" s="34"/>
      <c r="AA3297" s="35"/>
      <c r="AB3297" s="35"/>
      <c r="AC3297" s="34"/>
      <c r="AD3297" s="34"/>
      <c r="AE3297" s="34"/>
    </row>
    <row r="3298" spans="1:31" ht="15" thickBot="1" x14ac:dyDescent="0.4">
      <c r="A3298" s="45"/>
      <c r="B3298" s="45"/>
      <c r="C3298" s="46"/>
      <c r="D3298" s="47"/>
      <c r="E3298" s="47"/>
      <c r="F3298" s="47"/>
      <c r="G3298" s="47"/>
      <c r="H3298" s="47"/>
      <c r="I3298" s="47"/>
      <c r="J3298" s="47"/>
      <c r="K3298" s="47"/>
      <c r="L3298" s="47"/>
      <c r="M3298" s="47"/>
      <c r="N3298" s="47"/>
      <c r="O3298" s="47"/>
      <c r="P3298" s="47"/>
      <c r="Q3298" s="47"/>
      <c r="R3298" s="47"/>
      <c r="S3298" s="47"/>
      <c r="T3298" s="45"/>
      <c r="U3298" s="45"/>
      <c r="V3298" s="45"/>
      <c r="W3298" s="45"/>
      <c r="X3298" s="47"/>
      <c r="Y3298" s="45"/>
      <c r="Z3298" s="45"/>
      <c r="AA3298" s="48"/>
      <c r="AB3298" s="48"/>
      <c r="AC3298" s="47"/>
      <c r="AD3298" s="47"/>
      <c r="AE3298" s="47"/>
    </row>
    <row r="3299" spans="1:31" x14ac:dyDescent="0.35">
      <c r="A3299" s="41"/>
      <c r="B3299" s="41"/>
      <c r="C3299" s="42"/>
      <c r="D3299" s="43"/>
      <c r="E3299" s="43"/>
      <c r="F3299" s="43"/>
      <c r="G3299" s="43"/>
      <c r="H3299" s="43"/>
      <c r="I3299" s="43"/>
      <c r="J3299" s="43"/>
      <c r="K3299" s="43"/>
      <c r="L3299" s="43"/>
      <c r="M3299" s="43"/>
      <c r="N3299" s="43"/>
      <c r="O3299" s="43"/>
      <c r="P3299" s="43"/>
      <c r="Q3299" s="43"/>
      <c r="R3299" s="43"/>
      <c r="S3299" s="43"/>
      <c r="T3299" s="43"/>
      <c r="U3299" s="43"/>
      <c r="V3299" s="41"/>
      <c r="W3299" s="41"/>
      <c r="X3299" s="41"/>
      <c r="Y3299" s="41"/>
      <c r="Z3299" s="41"/>
      <c r="AA3299" s="44"/>
      <c r="AB3299" s="44"/>
      <c r="AC3299" s="43"/>
      <c r="AD3299" s="43"/>
      <c r="AE3299" s="43"/>
    </row>
    <row r="3300" spans="1:31" x14ac:dyDescent="0.35">
      <c r="C3300" s="33"/>
      <c r="D3300" s="34"/>
      <c r="E3300" s="34"/>
      <c r="F3300" s="34"/>
      <c r="G3300" s="34"/>
      <c r="H3300" s="34"/>
      <c r="I3300" s="34"/>
      <c r="J3300" s="34"/>
      <c r="K3300" s="34"/>
      <c r="L3300" s="34"/>
      <c r="M3300" s="34"/>
      <c r="N3300" s="34"/>
      <c r="O3300" s="34"/>
      <c r="AA3300" s="35"/>
      <c r="AB3300" s="35"/>
      <c r="AC3300" s="34"/>
      <c r="AD3300" s="34"/>
      <c r="AE3300" s="34"/>
    </row>
    <row r="3301" spans="1:31" ht="15" thickBot="1" x14ac:dyDescent="0.4">
      <c r="A3301" s="45"/>
      <c r="B3301" s="45"/>
      <c r="C3301" s="46"/>
      <c r="D3301" s="47"/>
      <c r="E3301" s="47"/>
      <c r="F3301" s="47"/>
      <c r="G3301" s="47"/>
      <c r="H3301" s="47"/>
      <c r="I3301" s="47"/>
      <c r="J3301" s="47"/>
      <c r="K3301" s="47"/>
      <c r="L3301" s="47"/>
      <c r="M3301" s="47"/>
      <c r="N3301" s="47"/>
      <c r="O3301" s="47"/>
      <c r="P3301" s="47"/>
      <c r="Q3301" s="47"/>
      <c r="R3301" s="47"/>
      <c r="S3301" s="47"/>
      <c r="T3301" s="45"/>
      <c r="U3301" s="45"/>
      <c r="V3301" s="45"/>
      <c r="W3301" s="45"/>
      <c r="X3301" s="47"/>
      <c r="Y3301" s="45"/>
      <c r="Z3301" s="45"/>
      <c r="AA3301" s="48"/>
      <c r="AB3301" s="48"/>
      <c r="AC3301" s="47"/>
      <c r="AD3301" s="47"/>
      <c r="AE3301" s="47"/>
    </row>
    <row r="3302" spans="1:31" x14ac:dyDescent="0.35">
      <c r="A3302" s="41"/>
      <c r="B3302" s="41"/>
      <c r="C3302" s="42"/>
      <c r="D3302" s="43"/>
      <c r="E3302" s="43"/>
      <c r="F3302" s="43"/>
      <c r="G3302" s="43"/>
      <c r="H3302" s="43"/>
      <c r="I3302" s="43"/>
      <c r="J3302" s="43"/>
      <c r="K3302" s="43"/>
      <c r="L3302" s="43"/>
      <c r="M3302" s="43"/>
      <c r="N3302" s="43"/>
      <c r="O3302" s="43"/>
      <c r="P3302" s="43"/>
      <c r="Q3302" s="43"/>
      <c r="R3302" s="43"/>
      <c r="S3302" s="43"/>
      <c r="T3302" s="43"/>
      <c r="U3302" s="43"/>
      <c r="V3302" s="41"/>
      <c r="W3302" s="41"/>
      <c r="X3302" s="41"/>
      <c r="Y3302" s="41"/>
      <c r="Z3302" s="41"/>
      <c r="AA3302" s="44"/>
      <c r="AB3302" s="44"/>
      <c r="AC3302" s="43"/>
      <c r="AD3302" s="43"/>
      <c r="AE3302" s="43"/>
    </row>
    <row r="3303" spans="1:31" x14ac:dyDescent="0.35">
      <c r="C3303" s="33"/>
      <c r="D3303" s="34"/>
      <c r="E3303" s="34"/>
      <c r="F3303" s="34"/>
      <c r="G3303" s="34"/>
      <c r="H3303" s="34"/>
      <c r="I3303" s="34"/>
      <c r="J3303" s="34"/>
      <c r="K3303" s="34"/>
      <c r="L3303" s="34"/>
      <c r="M3303" s="34"/>
      <c r="N3303" s="34"/>
      <c r="O3303" s="34"/>
      <c r="AA3303" s="35"/>
      <c r="AB3303" s="35"/>
      <c r="AC3303" s="34"/>
      <c r="AD3303" s="34"/>
      <c r="AE3303" s="34"/>
    </row>
    <row r="3304" spans="1:31" ht="15" thickBot="1" x14ac:dyDescent="0.4">
      <c r="A3304" s="45"/>
      <c r="B3304" s="45"/>
      <c r="C3304" s="46"/>
      <c r="D3304" s="47"/>
      <c r="E3304" s="47"/>
      <c r="F3304" s="47"/>
      <c r="G3304" s="47"/>
      <c r="H3304" s="47"/>
      <c r="I3304" s="47"/>
      <c r="J3304" s="47"/>
      <c r="K3304" s="47"/>
      <c r="L3304" s="47"/>
      <c r="M3304" s="47"/>
      <c r="N3304" s="47"/>
      <c r="O3304" s="47"/>
      <c r="P3304" s="47"/>
      <c r="Q3304" s="47"/>
      <c r="R3304" s="47"/>
      <c r="S3304" s="47"/>
      <c r="T3304" s="45"/>
      <c r="U3304" s="45"/>
      <c r="V3304" s="45"/>
      <c r="W3304" s="45"/>
      <c r="X3304" s="47"/>
      <c r="Y3304" s="45"/>
      <c r="Z3304" s="45"/>
      <c r="AA3304" s="48"/>
      <c r="AB3304" s="48"/>
      <c r="AC3304" s="47"/>
      <c r="AD3304" s="47"/>
      <c r="AE3304" s="47"/>
    </row>
    <row r="3305" spans="1:31" x14ac:dyDescent="0.35">
      <c r="A3305" s="41"/>
      <c r="B3305" s="41"/>
      <c r="C3305" s="42"/>
      <c r="D3305" s="43"/>
      <c r="E3305" s="43"/>
      <c r="F3305" s="43"/>
      <c r="G3305" s="43"/>
      <c r="H3305" s="43"/>
      <c r="I3305" s="43"/>
      <c r="J3305" s="43"/>
      <c r="K3305" s="43"/>
      <c r="L3305" s="43"/>
      <c r="M3305" s="43"/>
      <c r="N3305" s="43"/>
      <c r="O3305" s="43"/>
      <c r="P3305" s="43"/>
      <c r="Q3305" s="43"/>
      <c r="R3305" s="43"/>
      <c r="S3305" s="43"/>
      <c r="T3305" s="43"/>
      <c r="U3305" s="43"/>
      <c r="V3305" s="41"/>
      <c r="W3305" s="41"/>
      <c r="X3305" s="41"/>
      <c r="Y3305" s="41"/>
      <c r="Z3305" s="41"/>
      <c r="AA3305" s="44"/>
      <c r="AB3305" s="44"/>
      <c r="AC3305" s="43"/>
      <c r="AD3305" s="43"/>
      <c r="AE3305" s="43"/>
    </row>
    <row r="3306" spans="1:31" x14ac:dyDescent="0.35">
      <c r="C3306" s="33"/>
      <c r="D3306" s="34"/>
      <c r="E3306" s="34"/>
      <c r="F3306" s="34"/>
      <c r="G3306" s="34"/>
      <c r="H3306" s="34"/>
      <c r="I3306" s="34"/>
      <c r="J3306" s="34"/>
      <c r="K3306" s="34"/>
      <c r="L3306" s="34"/>
      <c r="M3306" s="34"/>
      <c r="N3306" s="34"/>
      <c r="O3306" s="34"/>
      <c r="AA3306" s="35"/>
      <c r="AB3306" s="35"/>
      <c r="AC3306" s="34"/>
      <c r="AD3306" s="34"/>
      <c r="AE3306" s="34"/>
    </row>
    <row r="3307" spans="1:31" ht="15" thickBot="1" x14ac:dyDescent="0.4">
      <c r="A3307" s="45"/>
      <c r="B3307" s="45"/>
      <c r="C3307" s="46"/>
      <c r="D3307" s="47"/>
      <c r="E3307" s="47"/>
      <c r="F3307" s="47"/>
      <c r="G3307" s="47"/>
      <c r="H3307" s="47"/>
      <c r="I3307" s="47"/>
      <c r="J3307" s="47"/>
      <c r="K3307" s="47"/>
      <c r="L3307" s="47"/>
      <c r="M3307" s="47"/>
      <c r="N3307" s="47"/>
      <c r="O3307" s="47"/>
      <c r="P3307" s="47"/>
      <c r="Q3307" s="47"/>
      <c r="R3307" s="47"/>
      <c r="S3307" s="47"/>
      <c r="T3307" s="45"/>
      <c r="U3307" s="45"/>
      <c r="V3307" s="45"/>
      <c r="W3307" s="45"/>
      <c r="X3307" s="47"/>
      <c r="Y3307" s="45"/>
      <c r="Z3307" s="45"/>
      <c r="AA3307" s="48"/>
      <c r="AB3307" s="48"/>
      <c r="AC3307" s="47"/>
      <c r="AD3307" s="47"/>
      <c r="AE3307" s="47"/>
    </row>
    <row r="3308" spans="1:31" x14ac:dyDescent="0.35">
      <c r="A3308" s="41"/>
      <c r="B3308" s="41"/>
      <c r="C3308" s="42"/>
      <c r="D3308" s="43"/>
      <c r="E3308" s="43"/>
      <c r="F3308" s="43"/>
      <c r="G3308" s="43"/>
      <c r="H3308" s="43"/>
      <c r="I3308" s="43"/>
      <c r="J3308" s="43"/>
      <c r="K3308" s="43"/>
      <c r="L3308" s="43"/>
      <c r="M3308" s="43"/>
      <c r="N3308" s="43"/>
      <c r="O3308" s="43"/>
      <c r="P3308" s="43"/>
      <c r="Q3308" s="43"/>
      <c r="R3308" s="43"/>
      <c r="S3308" s="43"/>
      <c r="T3308" s="43"/>
      <c r="U3308" s="43"/>
      <c r="V3308" s="41"/>
      <c r="W3308" s="41"/>
      <c r="X3308" s="41"/>
      <c r="Y3308" s="41"/>
      <c r="Z3308" s="41"/>
      <c r="AA3308" s="44"/>
      <c r="AB3308" s="44"/>
      <c r="AC3308" s="43"/>
      <c r="AD3308" s="43"/>
      <c r="AE3308" s="43"/>
    </row>
    <row r="3309" spans="1:31" x14ac:dyDescent="0.35">
      <c r="C3309" s="33"/>
      <c r="D3309" s="34"/>
      <c r="E3309" s="34"/>
      <c r="F3309" s="34"/>
      <c r="G3309" s="34"/>
      <c r="H3309" s="34"/>
      <c r="I3309" s="34"/>
      <c r="J3309" s="34"/>
      <c r="K3309" s="34"/>
      <c r="L3309" s="34"/>
      <c r="M3309" s="34"/>
      <c r="N3309" s="34"/>
      <c r="O3309" s="34"/>
      <c r="AA3309" s="35"/>
      <c r="AB3309" s="35"/>
      <c r="AC3309" s="34"/>
      <c r="AD3309" s="34"/>
      <c r="AE3309" s="34"/>
    </row>
    <row r="3310" spans="1:31" ht="15" thickBot="1" x14ac:dyDescent="0.4">
      <c r="A3310" s="45"/>
      <c r="B3310" s="45"/>
      <c r="C3310" s="46"/>
      <c r="D3310" s="47"/>
      <c r="E3310" s="47"/>
      <c r="F3310" s="47"/>
      <c r="G3310" s="47"/>
      <c r="H3310" s="47"/>
      <c r="I3310" s="47"/>
      <c r="J3310" s="47"/>
      <c r="K3310" s="47"/>
      <c r="L3310" s="47"/>
      <c r="M3310" s="47"/>
      <c r="N3310" s="47"/>
      <c r="O3310" s="47"/>
      <c r="P3310" s="47"/>
      <c r="Q3310" s="47"/>
      <c r="R3310" s="47"/>
      <c r="S3310" s="47"/>
      <c r="T3310" s="45"/>
      <c r="U3310" s="45"/>
      <c r="V3310" s="45"/>
      <c r="W3310" s="45"/>
      <c r="X3310" s="47"/>
      <c r="Y3310" s="45"/>
      <c r="Z3310" s="45"/>
      <c r="AA3310" s="48"/>
      <c r="AB3310" s="48"/>
      <c r="AC3310" s="47"/>
      <c r="AD3310" s="47"/>
      <c r="AE3310" s="47"/>
    </row>
    <row r="3311" spans="1:31" x14ac:dyDescent="0.35">
      <c r="A3311" s="41"/>
      <c r="B3311" s="41"/>
      <c r="C3311" s="42"/>
      <c r="D3311" s="43"/>
      <c r="E3311" s="43"/>
      <c r="F3311" s="43"/>
      <c r="G3311" s="43"/>
      <c r="H3311" s="43"/>
      <c r="I3311" s="43"/>
      <c r="J3311" s="43"/>
      <c r="K3311" s="43"/>
      <c r="L3311" s="43"/>
      <c r="M3311" s="43"/>
      <c r="N3311" s="43"/>
      <c r="O3311" s="43"/>
      <c r="P3311" s="43"/>
      <c r="Q3311" s="43"/>
      <c r="R3311" s="43"/>
      <c r="S3311" s="43"/>
      <c r="T3311" s="43"/>
      <c r="U3311" s="43"/>
      <c r="V3311" s="41"/>
      <c r="W3311" s="41"/>
      <c r="X3311" s="41"/>
      <c r="Y3311" s="41"/>
      <c r="Z3311" s="41"/>
      <c r="AA3311" s="44"/>
      <c r="AB3311" s="44"/>
      <c r="AC3311" s="43"/>
      <c r="AD3311" s="43"/>
      <c r="AE3311" s="43"/>
    </row>
    <row r="3312" spans="1:31" x14ac:dyDescent="0.35">
      <c r="C3312" s="33"/>
      <c r="D3312" s="34"/>
      <c r="E3312" s="34"/>
      <c r="F3312" s="34"/>
      <c r="G3312" s="34"/>
      <c r="H3312" s="34"/>
      <c r="I3312" s="34"/>
      <c r="J3312" s="34"/>
      <c r="K3312" s="34"/>
      <c r="L3312" s="34"/>
      <c r="M3312" s="34"/>
      <c r="N3312" s="34"/>
      <c r="O3312" s="34"/>
      <c r="AA3312" s="35"/>
      <c r="AB3312" s="35"/>
      <c r="AC3312" s="34"/>
      <c r="AD3312" s="34"/>
      <c r="AE3312" s="34"/>
    </row>
    <row r="3313" spans="1:31" ht="15" thickBot="1" x14ac:dyDescent="0.4">
      <c r="A3313" s="45"/>
      <c r="B3313" s="45"/>
      <c r="C3313" s="46"/>
      <c r="D3313" s="47"/>
      <c r="E3313" s="47"/>
      <c r="F3313" s="47"/>
      <c r="G3313" s="47"/>
      <c r="H3313" s="47"/>
      <c r="I3313" s="47"/>
      <c r="J3313" s="47"/>
      <c r="K3313" s="47"/>
      <c r="L3313" s="47"/>
      <c r="M3313" s="47"/>
      <c r="N3313" s="47"/>
      <c r="O3313" s="47"/>
      <c r="P3313" s="47"/>
      <c r="Q3313" s="47"/>
      <c r="R3313" s="47"/>
      <c r="S3313" s="47"/>
      <c r="T3313" s="45"/>
      <c r="U3313" s="45"/>
      <c r="V3313" s="45"/>
      <c r="W3313" s="45"/>
      <c r="X3313" s="47"/>
      <c r="Y3313" s="45"/>
      <c r="Z3313" s="45"/>
      <c r="AA3313" s="48"/>
      <c r="AB3313" s="48"/>
      <c r="AC3313" s="47"/>
      <c r="AD3313" s="47"/>
      <c r="AE3313" s="47"/>
    </row>
    <row r="3314" spans="1:31" x14ac:dyDescent="0.35">
      <c r="A3314" s="41"/>
      <c r="B3314" s="41"/>
      <c r="C3314" s="42"/>
      <c r="D3314" s="43"/>
      <c r="E3314" s="43"/>
      <c r="F3314" s="43"/>
      <c r="G3314" s="43"/>
      <c r="H3314" s="43"/>
      <c r="I3314" s="43"/>
      <c r="J3314" s="43"/>
      <c r="K3314" s="43"/>
      <c r="L3314" s="43"/>
      <c r="M3314" s="43"/>
      <c r="N3314" s="43"/>
      <c r="O3314" s="43"/>
      <c r="P3314" s="43"/>
      <c r="Q3314" s="43"/>
      <c r="R3314" s="43"/>
      <c r="S3314" s="43"/>
      <c r="T3314" s="43"/>
      <c r="U3314" s="43"/>
      <c r="V3314" s="41"/>
      <c r="W3314" s="41"/>
      <c r="X3314" s="41"/>
      <c r="Y3314" s="41"/>
      <c r="Z3314" s="41"/>
      <c r="AA3314" s="44"/>
      <c r="AB3314" s="44"/>
      <c r="AC3314" s="43"/>
      <c r="AD3314" s="43"/>
      <c r="AE3314" s="43"/>
    </row>
    <row r="3315" spans="1:31" x14ac:dyDescent="0.35">
      <c r="C3315" s="33"/>
      <c r="D3315" s="34"/>
      <c r="E3315" s="34"/>
      <c r="F3315" s="34"/>
      <c r="G3315" s="34"/>
      <c r="H3315" s="34"/>
      <c r="I3315" s="34"/>
      <c r="J3315" s="34"/>
      <c r="K3315" s="34"/>
      <c r="L3315" s="34"/>
      <c r="M3315" s="34"/>
      <c r="N3315" s="34"/>
      <c r="O3315" s="34"/>
      <c r="AA3315" s="35"/>
      <c r="AB3315" s="35"/>
      <c r="AC3315" s="34"/>
      <c r="AD3315" s="34"/>
      <c r="AE3315" s="34"/>
    </row>
    <row r="3316" spans="1:31" ht="15" thickBot="1" x14ac:dyDescent="0.4">
      <c r="A3316" s="45"/>
      <c r="B3316" s="45"/>
      <c r="C3316" s="46"/>
      <c r="D3316" s="47"/>
      <c r="E3316" s="47"/>
      <c r="F3316" s="47"/>
      <c r="G3316" s="47"/>
      <c r="H3316" s="47"/>
      <c r="I3316" s="47"/>
      <c r="J3316" s="47"/>
      <c r="K3316" s="47"/>
      <c r="L3316" s="47"/>
      <c r="M3316" s="47"/>
      <c r="N3316" s="47"/>
      <c r="O3316" s="47"/>
      <c r="P3316" s="47"/>
      <c r="Q3316" s="47"/>
      <c r="R3316" s="47"/>
      <c r="S3316" s="47"/>
      <c r="T3316" s="45"/>
      <c r="U3316" s="45"/>
      <c r="V3316" s="45"/>
      <c r="W3316" s="45"/>
      <c r="X3316" s="47"/>
      <c r="Y3316" s="45"/>
      <c r="Z3316" s="45"/>
      <c r="AA3316" s="48"/>
      <c r="AB3316" s="48"/>
      <c r="AC3316" s="47"/>
      <c r="AD3316" s="47"/>
      <c r="AE3316" s="47"/>
    </row>
    <row r="3317" spans="1:31" x14ac:dyDescent="0.35">
      <c r="A3317" s="41"/>
      <c r="B3317" s="41"/>
      <c r="C3317" s="42"/>
      <c r="D3317" s="43"/>
      <c r="E3317" s="43"/>
      <c r="F3317" s="43"/>
      <c r="G3317" s="43"/>
      <c r="H3317" s="43"/>
      <c r="I3317" s="43"/>
      <c r="J3317" s="43"/>
      <c r="K3317" s="43"/>
      <c r="L3317" s="43"/>
      <c r="M3317" s="43"/>
      <c r="N3317" s="43"/>
      <c r="O3317" s="43"/>
      <c r="P3317" s="43"/>
      <c r="Q3317" s="43"/>
      <c r="R3317" s="43"/>
      <c r="S3317" s="43"/>
      <c r="T3317" s="43"/>
      <c r="U3317" s="43"/>
      <c r="V3317" s="41"/>
      <c r="W3317" s="41"/>
      <c r="X3317" s="41"/>
      <c r="Y3317" s="41"/>
      <c r="Z3317" s="41"/>
      <c r="AA3317" s="44"/>
      <c r="AB3317" s="44"/>
      <c r="AC3317" s="43"/>
      <c r="AD3317" s="43"/>
      <c r="AE3317" s="43"/>
    </row>
    <row r="3318" spans="1:31" x14ac:dyDescent="0.35">
      <c r="C3318" s="33"/>
      <c r="D3318" s="34"/>
      <c r="E3318" s="34"/>
      <c r="F3318" s="34"/>
      <c r="G3318" s="34"/>
      <c r="H3318" s="34"/>
      <c r="I3318" s="34"/>
      <c r="J3318" s="34"/>
      <c r="K3318" s="34"/>
      <c r="L3318" s="34"/>
      <c r="M3318" s="34"/>
      <c r="N3318" s="34"/>
      <c r="O3318" s="34"/>
      <c r="AA3318" s="35"/>
      <c r="AB3318" s="35"/>
      <c r="AC3318" s="34"/>
      <c r="AD3318" s="34"/>
      <c r="AE3318" s="34"/>
    </row>
    <row r="3319" spans="1:31" ht="15" thickBot="1" x14ac:dyDescent="0.4">
      <c r="A3319" s="45"/>
      <c r="B3319" s="45"/>
      <c r="C3319" s="46"/>
      <c r="D3319" s="47"/>
      <c r="E3319" s="47"/>
      <c r="F3319" s="47"/>
      <c r="G3319" s="47"/>
      <c r="H3319" s="47"/>
      <c r="I3319" s="47"/>
      <c r="J3319" s="47"/>
      <c r="K3319" s="47"/>
      <c r="L3319" s="47"/>
      <c r="M3319" s="47"/>
      <c r="N3319" s="47"/>
      <c r="O3319" s="47"/>
      <c r="P3319" s="47"/>
      <c r="Q3319" s="47"/>
      <c r="R3319" s="47"/>
      <c r="S3319" s="47"/>
      <c r="T3319" s="45"/>
      <c r="U3319" s="45"/>
      <c r="V3319" s="45"/>
      <c r="W3319" s="45"/>
      <c r="X3319" s="47"/>
      <c r="Y3319" s="45"/>
      <c r="Z3319" s="45"/>
      <c r="AA3319" s="48"/>
      <c r="AB3319" s="48"/>
      <c r="AC3319" s="47"/>
      <c r="AD3319" s="47"/>
      <c r="AE3319" s="47"/>
    </row>
    <row r="3320" spans="1:31" x14ac:dyDescent="0.35">
      <c r="A3320" s="41"/>
      <c r="B3320" s="41"/>
      <c r="C3320" s="42"/>
      <c r="D3320" s="43"/>
      <c r="E3320" s="43"/>
      <c r="F3320" s="43"/>
      <c r="G3320" s="43"/>
      <c r="H3320" s="43"/>
      <c r="I3320" s="43"/>
      <c r="J3320" s="43"/>
      <c r="K3320" s="43"/>
      <c r="L3320" s="43"/>
      <c r="M3320" s="43"/>
      <c r="N3320" s="43"/>
      <c r="O3320" s="43"/>
      <c r="P3320" s="43"/>
      <c r="Q3320" s="43"/>
      <c r="R3320" s="43"/>
      <c r="S3320" s="43"/>
      <c r="T3320" s="43"/>
      <c r="U3320" s="43"/>
      <c r="V3320" s="41"/>
      <c r="W3320" s="41"/>
      <c r="X3320" s="41"/>
      <c r="Y3320" s="41"/>
      <c r="Z3320" s="41"/>
      <c r="AA3320" s="44"/>
      <c r="AB3320" s="44"/>
      <c r="AC3320" s="43"/>
      <c r="AD3320" s="43"/>
      <c r="AE3320" s="43"/>
    </row>
    <row r="3321" spans="1:31" x14ac:dyDescent="0.35">
      <c r="C3321" s="33"/>
      <c r="D3321" s="34"/>
      <c r="E3321" s="34"/>
      <c r="F3321" s="34"/>
      <c r="G3321" s="34"/>
      <c r="H3321" s="34"/>
      <c r="I3321" s="34"/>
      <c r="J3321" s="34"/>
      <c r="K3321" s="34"/>
      <c r="L3321" s="34"/>
      <c r="M3321" s="34"/>
      <c r="N3321" s="34"/>
      <c r="O3321" s="34"/>
      <c r="AA3321" s="35"/>
      <c r="AB3321" s="35"/>
      <c r="AC3321" s="34"/>
      <c r="AD3321" s="34"/>
      <c r="AE3321" s="34"/>
    </row>
    <row r="3322" spans="1:31" ht="15" thickBot="1" x14ac:dyDescent="0.4">
      <c r="A3322" s="45"/>
      <c r="B3322" s="45"/>
      <c r="C3322" s="46"/>
      <c r="D3322" s="47"/>
      <c r="E3322" s="47"/>
      <c r="F3322" s="47"/>
      <c r="G3322" s="47"/>
      <c r="H3322" s="47"/>
      <c r="I3322" s="47"/>
      <c r="J3322" s="47"/>
      <c r="K3322" s="47"/>
      <c r="L3322" s="47"/>
      <c r="M3322" s="47"/>
      <c r="N3322" s="47"/>
      <c r="O3322" s="47"/>
      <c r="P3322" s="47"/>
      <c r="Q3322" s="47"/>
      <c r="R3322" s="47"/>
      <c r="S3322" s="47"/>
      <c r="T3322" s="45"/>
      <c r="U3322" s="45"/>
      <c r="V3322" s="45"/>
      <c r="W3322" s="45"/>
      <c r="X3322" s="47"/>
      <c r="Y3322" s="45"/>
      <c r="Z3322" s="45"/>
      <c r="AA3322" s="48"/>
      <c r="AB3322" s="48"/>
      <c r="AC3322" s="47"/>
      <c r="AD3322" s="47"/>
      <c r="AE3322" s="47"/>
    </row>
    <row r="3323" spans="1:31" x14ac:dyDescent="0.35">
      <c r="A3323" s="41"/>
      <c r="B3323" s="41"/>
      <c r="C3323" s="42"/>
      <c r="D3323" s="43"/>
      <c r="E3323" s="43"/>
      <c r="F3323" s="43"/>
      <c r="G3323" s="43"/>
      <c r="H3323" s="43"/>
      <c r="I3323" s="43"/>
      <c r="J3323" s="43"/>
      <c r="K3323" s="43"/>
      <c r="L3323" s="43"/>
      <c r="M3323" s="43"/>
      <c r="N3323" s="43"/>
      <c r="O3323" s="43"/>
      <c r="P3323" s="43"/>
      <c r="Q3323" s="43"/>
      <c r="R3323" s="43"/>
      <c r="S3323" s="43"/>
      <c r="T3323" s="43"/>
      <c r="U3323" s="43"/>
      <c r="V3323" s="41"/>
      <c r="W3323" s="41"/>
      <c r="X3323" s="41"/>
      <c r="Y3323" s="41"/>
      <c r="Z3323" s="41"/>
      <c r="AA3323" s="44"/>
      <c r="AB3323" s="44"/>
      <c r="AC3323" s="43"/>
      <c r="AD3323" s="43"/>
      <c r="AE3323" s="43"/>
    </row>
    <row r="3324" spans="1:31" x14ac:dyDescent="0.35">
      <c r="C3324" s="33"/>
      <c r="D3324" s="34"/>
      <c r="E3324" s="34"/>
      <c r="F3324" s="34"/>
      <c r="G3324" s="34"/>
      <c r="H3324" s="34"/>
      <c r="I3324" s="34"/>
      <c r="J3324" s="34"/>
      <c r="K3324" s="34"/>
      <c r="L3324" s="34"/>
      <c r="M3324" s="34"/>
      <c r="N3324" s="34"/>
      <c r="O3324" s="34"/>
      <c r="AA3324" s="35"/>
      <c r="AB3324" s="35"/>
      <c r="AC3324" s="34"/>
      <c r="AD3324" s="34"/>
      <c r="AE3324" s="34"/>
    </row>
    <row r="3325" spans="1:31" ht="15" thickBot="1" x14ac:dyDescent="0.4">
      <c r="A3325" s="45"/>
      <c r="B3325" s="45"/>
      <c r="C3325" s="46"/>
      <c r="D3325" s="47"/>
      <c r="E3325" s="47"/>
      <c r="F3325" s="47"/>
      <c r="G3325" s="47"/>
      <c r="H3325" s="47"/>
      <c r="I3325" s="47"/>
      <c r="J3325" s="47"/>
      <c r="K3325" s="47"/>
      <c r="L3325" s="47"/>
      <c r="M3325" s="47"/>
      <c r="N3325" s="47"/>
      <c r="O3325" s="47"/>
      <c r="P3325" s="47"/>
      <c r="Q3325" s="47"/>
      <c r="R3325" s="47"/>
      <c r="S3325" s="47"/>
      <c r="T3325" s="45"/>
      <c r="U3325" s="45"/>
      <c r="V3325" s="45"/>
      <c r="W3325" s="45"/>
      <c r="X3325" s="47"/>
      <c r="Y3325" s="45"/>
      <c r="Z3325" s="45"/>
      <c r="AA3325" s="48"/>
      <c r="AB3325" s="48"/>
      <c r="AC3325" s="47"/>
      <c r="AD3325" s="47"/>
      <c r="AE3325" s="47"/>
    </row>
    <row r="3326" spans="1:31" x14ac:dyDescent="0.35">
      <c r="A3326" s="41"/>
      <c r="B3326" s="41"/>
      <c r="C3326" s="42"/>
      <c r="D3326" s="43"/>
      <c r="E3326" s="43"/>
      <c r="F3326" s="43"/>
      <c r="G3326" s="43"/>
      <c r="H3326" s="43"/>
      <c r="I3326" s="43"/>
      <c r="J3326" s="43"/>
      <c r="K3326" s="43"/>
      <c r="L3326" s="43"/>
      <c r="M3326" s="43"/>
      <c r="N3326" s="43"/>
      <c r="O3326" s="43"/>
      <c r="P3326" s="43"/>
      <c r="Q3326" s="43"/>
      <c r="R3326" s="43"/>
      <c r="S3326" s="43"/>
      <c r="T3326" s="43"/>
      <c r="U3326" s="43"/>
      <c r="V3326" s="41"/>
      <c r="W3326" s="41"/>
      <c r="X3326" s="41"/>
      <c r="Y3326" s="41"/>
      <c r="Z3326" s="41"/>
      <c r="AA3326" s="44"/>
      <c r="AB3326" s="44"/>
      <c r="AC3326" s="43"/>
      <c r="AD3326" s="43"/>
      <c r="AE3326" s="43"/>
    </row>
    <row r="3327" spans="1:31" x14ac:dyDescent="0.35">
      <c r="C3327" s="33"/>
      <c r="D3327" s="34"/>
      <c r="E3327" s="34"/>
      <c r="F3327" s="34"/>
      <c r="G3327" s="34"/>
      <c r="H3327" s="34"/>
      <c r="I3327" s="34"/>
      <c r="J3327" s="34"/>
      <c r="K3327" s="34"/>
      <c r="L3327" s="34"/>
      <c r="M3327" s="34"/>
      <c r="N3327" s="34"/>
      <c r="O3327" s="34"/>
      <c r="AA3327" s="35"/>
      <c r="AB3327" s="35"/>
      <c r="AC3327" s="34"/>
      <c r="AD3327" s="34"/>
      <c r="AE3327" s="34"/>
    </row>
    <row r="3328" spans="1:31" ht="15" thickBot="1" x14ac:dyDescent="0.4">
      <c r="A3328" s="45"/>
      <c r="B3328" s="45"/>
      <c r="C3328" s="46"/>
      <c r="D3328" s="47"/>
      <c r="E3328" s="47"/>
      <c r="F3328" s="47"/>
      <c r="G3328" s="47"/>
      <c r="H3328" s="47"/>
      <c r="I3328" s="47"/>
      <c r="J3328" s="47"/>
      <c r="K3328" s="47"/>
      <c r="L3328" s="47"/>
      <c r="M3328" s="47"/>
      <c r="N3328" s="47"/>
      <c r="O3328" s="47"/>
      <c r="P3328" s="47"/>
      <c r="Q3328" s="47"/>
      <c r="R3328" s="47"/>
      <c r="S3328" s="47"/>
      <c r="T3328" s="45"/>
      <c r="U3328" s="45"/>
      <c r="V3328" s="45"/>
      <c r="W3328" s="45"/>
      <c r="X3328" s="47"/>
      <c r="Y3328" s="45"/>
      <c r="Z3328" s="45"/>
      <c r="AA3328" s="48"/>
      <c r="AB3328" s="48"/>
      <c r="AC3328" s="47"/>
      <c r="AD3328" s="47"/>
      <c r="AE3328" s="47"/>
    </row>
    <row r="3329" spans="1:31" x14ac:dyDescent="0.35">
      <c r="A3329" s="41"/>
      <c r="B3329" s="41"/>
      <c r="C3329" s="42"/>
      <c r="D3329" s="43"/>
      <c r="E3329" s="43"/>
      <c r="F3329" s="43"/>
      <c r="G3329" s="43"/>
      <c r="H3329" s="43"/>
      <c r="I3329" s="43"/>
      <c r="J3329" s="43"/>
      <c r="K3329" s="43"/>
      <c r="L3329" s="43"/>
      <c r="M3329" s="43"/>
      <c r="N3329" s="43"/>
      <c r="O3329" s="43"/>
      <c r="P3329" s="43"/>
      <c r="Q3329" s="43"/>
      <c r="R3329" s="43"/>
      <c r="S3329" s="43"/>
      <c r="T3329" s="43"/>
      <c r="U3329" s="43"/>
      <c r="V3329" s="41"/>
      <c r="W3329" s="41"/>
      <c r="X3329" s="41"/>
      <c r="Y3329" s="41"/>
      <c r="Z3329" s="41"/>
      <c r="AA3329" s="44"/>
      <c r="AB3329" s="44"/>
      <c r="AC3329" s="43"/>
      <c r="AD3329" s="43"/>
      <c r="AE3329" s="43"/>
    </row>
    <row r="3330" spans="1:31" x14ac:dyDescent="0.35">
      <c r="C3330" s="33"/>
      <c r="D3330" s="34"/>
      <c r="E3330" s="34"/>
      <c r="F3330" s="34"/>
      <c r="G3330" s="34"/>
      <c r="H3330" s="34"/>
      <c r="I3330" s="34"/>
      <c r="J3330" s="34"/>
      <c r="K3330" s="34"/>
      <c r="L3330" s="34"/>
      <c r="M3330" s="34"/>
      <c r="N3330" s="34"/>
      <c r="O3330" s="34"/>
      <c r="AA3330" s="35"/>
      <c r="AB3330" s="35"/>
      <c r="AC3330" s="34"/>
      <c r="AD3330" s="34"/>
      <c r="AE3330" s="34"/>
    </row>
    <row r="3331" spans="1:31" ht="15" thickBot="1" x14ac:dyDescent="0.4">
      <c r="A3331" s="45"/>
      <c r="B3331" s="45"/>
      <c r="C3331" s="46"/>
      <c r="D3331" s="47"/>
      <c r="E3331" s="47"/>
      <c r="F3331" s="47"/>
      <c r="G3331" s="47"/>
      <c r="H3331" s="47"/>
      <c r="I3331" s="47"/>
      <c r="J3331" s="47"/>
      <c r="K3331" s="47"/>
      <c r="L3331" s="47"/>
      <c r="M3331" s="47"/>
      <c r="N3331" s="47"/>
      <c r="O3331" s="47"/>
      <c r="P3331" s="47"/>
      <c r="Q3331" s="47"/>
      <c r="R3331" s="47"/>
      <c r="S3331" s="47"/>
      <c r="T3331" s="45"/>
      <c r="U3331" s="45"/>
      <c r="V3331" s="45"/>
      <c r="W3331" s="45"/>
      <c r="X3331" s="47"/>
      <c r="Y3331" s="45"/>
      <c r="Z3331" s="45"/>
      <c r="AA3331" s="48"/>
      <c r="AB3331" s="48"/>
      <c r="AC3331" s="47"/>
      <c r="AD3331" s="47"/>
      <c r="AE3331" s="47"/>
    </row>
    <row r="3332" spans="1:31" x14ac:dyDescent="0.35">
      <c r="A3332" s="41"/>
      <c r="B3332" s="41"/>
      <c r="C3332" s="42"/>
      <c r="D3332" s="43"/>
      <c r="E3332" s="43"/>
      <c r="F3332" s="43"/>
      <c r="G3332" s="43"/>
      <c r="H3332" s="43"/>
      <c r="I3332" s="43"/>
      <c r="J3332" s="43"/>
      <c r="K3332" s="43"/>
      <c r="L3332" s="43"/>
      <c r="M3332" s="43"/>
      <c r="N3332" s="43"/>
      <c r="O3332" s="43"/>
      <c r="P3332" s="43"/>
      <c r="Q3332" s="43"/>
      <c r="R3332" s="43"/>
      <c r="S3332" s="43"/>
      <c r="T3332" s="43"/>
      <c r="U3332" s="43"/>
      <c r="V3332" s="41"/>
      <c r="W3332" s="41"/>
      <c r="X3332" s="41"/>
      <c r="Y3332" s="41"/>
      <c r="Z3332" s="41"/>
      <c r="AA3332" s="44"/>
      <c r="AB3332" s="44"/>
      <c r="AC3332" s="43"/>
      <c r="AD3332" s="43"/>
      <c r="AE3332" s="43"/>
    </row>
    <row r="3333" spans="1:31" x14ac:dyDescent="0.35">
      <c r="C3333" s="33"/>
      <c r="D3333" s="34"/>
      <c r="E3333" s="34"/>
      <c r="F3333" s="34"/>
      <c r="G3333" s="34"/>
      <c r="H3333" s="34"/>
      <c r="I3333" s="34"/>
      <c r="J3333" s="34"/>
      <c r="K3333" s="34"/>
      <c r="L3333" s="34"/>
      <c r="M3333" s="34"/>
      <c r="N3333" s="34"/>
      <c r="O3333" s="34"/>
      <c r="AA3333" s="35"/>
      <c r="AB3333" s="35"/>
      <c r="AC3333" s="34"/>
      <c r="AD3333" s="34"/>
      <c r="AE3333" s="34"/>
    </row>
    <row r="3334" spans="1:31" ht="15" thickBot="1" x14ac:dyDescent="0.4">
      <c r="A3334" s="45"/>
      <c r="B3334" s="45"/>
      <c r="C3334" s="46"/>
      <c r="D3334" s="47"/>
      <c r="E3334" s="47"/>
      <c r="F3334" s="47"/>
      <c r="G3334" s="47"/>
      <c r="H3334" s="47"/>
      <c r="I3334" s="47"/>
      <c r="J3334" s="47"/>
      <c r="K3334" s="47"/>
      <c r="L3334" s="47"/>
      <c r="M3334" s="47"/>
      <c r="N3334" s="47"/>
      <c r="O3334" s="47"/>
      <c r="P3334" s="47"/>
      <c r="Q3334" s="47"/>
      <c r="R3334" s="47"/>
      <c r="S3334" s="47"/>
      <c r="T3334" s="45"/>
      <c r="U3334" s="45"/>
      <c r="V3334" s="45"/>
      <c r="W3334" s="45"/>
      <c r="X3334" s="47"/>
      <c r="Y3334" s="45"/>
      <c r="Z3334" s="45"/>
      <c r="AA3334" s="48"/>
      <c r="AB3334" s="48"/>
      <c r="AC3334" s="47"/>
      <c r="AD3334" s="47"/>
      <c r="AE3334" s="47"/>
    </row>
    <row r="3335" spans="1:31" x14ac:dyDescent="0.35">
      <c r="A3335" s="41"/>
      <c r="B3335" s="41"/>
      <c r="C3335" s="42"/>
      <c r="D3335" s="43"/>
      <c r="E3335" s="43"/>
      <c r="F3335" s="43"/>
      <c r="G3335" s="43"/>
      <c r="H3335" s="43"/>
      <c r="I3335" s="43"/>
      <c r="J3335" s="43"/>
      <c r="K3335" s="43"/>
      <c r="L3335" s="43"/>
      <c r="M3335" s="43"/>
      <c r="N3335" s="43"/>
      <c r="O3335" s="43"/>
      <c r="P3335" s="43"/>
      <c r="Q3335" s="43"/>
      <c r="R3335" s="43"/>
      <c r="S3335" s="43"/>
      <c r="T3335" s="43"/>
      <c r="U3335" s="43"/>
      <c r="V3335" s="41"/>
      <c r="W3335" s="41"/>
      <c r="X3335" s="41"/>
      <c r="Y3335" s="41"/>
      <c r="Z3335" s="41"/>
      <c r="AA3335" s="44"/>
      <c r="AB3335" s="44"/>
      <c r="AC3335" s="43"/>
      <c r="AD3335" s="43"/>
      <c r="AE3335" s="43"/>
    </row>
    <row r="3336" spans="1:31" x14ac:dyDescent="0.35">
      <c r="C3336" s="33"/>
      <c r="D3336" s="34"/>
      <c r="E3336" s="34"/>
      <c r="F3336" s="34"/>
      <c r="G3336" s="34"/>
      <c r="H3336" s="34"/>
      <c r="I3336" s="34"/>
      <c r="J3336" s="34"/>
      <c r="K3336" s="34"/>
      <c r="L3336" s="34"/>
      <c r="M3336" s="34"/>
      <c r="N3336" s="34"/>
      <c r="O3336" s="34"/>
      <c r="AA3336" s="35"/>
      <c r="AB3336" s="35"/>
      <c r="AC3336" s="34"/>
      <c r="AD3336" s="34"/>
      <c r="AE3336" s="34"/>
    </row>
    <row r="3337" spans="1:31" ht="15" thickBot="1" x14ac:dyDescent="0.4">
      <c r="A3337" s="45"/>
      <c r="B3337" s="45"/>
      <c r="C3337" s="46"/>
      <c r="D3337" s="47"/>
      <c r="E3337" s="47"/>
      <c r="F3337" s="47"/>
      <c r="G3337" s="47"/>
      <c r="H3337" s="47"/>
      <c r="I3337" s="47"/>
      <c r="J3337" s="47"/>
      <c r="K3337" s="47"/>
      <c r="L3337" s="47"/>
      <c r="M3337" s="47"/>
      <c r="N3337" s="47"/>
      <c r="O3337" s="47"/>
      <c r="P3337" s="47"/>
      <c r="Q3337" s="47"/>
      <c r="R3337" s="47"/>
      <c r="S3337" s="47"/>
      <c r="T3337" s="45"/>
      <c r="U3337" s="45"/>
      <c r="V3337" s="45"/>
      <c r="W3337" s="45"/>
      <c r="X3337" s="47"/>
      <c r="Y3337" s="45"/>
      <c r="Z3337" s="45"/>
      <c r="AA3337" s="48"/>
      <c r="AB3337" s="48"/>
      <c r="AC3337" s="47"/>
      <c r="AD3337" s="47"/>
      <c r="AE3337" s="47"/>
    </row>
    <row r="3338" spans="1:31" x14ac:dyDescent="0.35">
      <c r="A3338" s="41"/>
      <c r="B3338" s="41"/>
      <c r="C3338" s="42"/>
      <c r="D3338" s="43"/>
      <c r="E3338" s="43"/>
      <c r="F3338" s="43"/>
      <c r="G3338" s="43"/>
      <c r="H3338" s="43"/>
      <c r="I3338" s="43"/>
      <c r="J3338" s="43"/>
      <c r="K3338" s="43"/>
      <c r="L3338" s="43"/>
      <c r="M3338" s="43"/>
      <c r="N3338" s="43"/>
      <c r="O3338" s="43"/>
      <c r="P3338" s="43"/>
      <c r="Q3338" s="43"/>
      <c r="R3338" s="43"/>
      <c r="S3338" s="43"/>
      <c r="T3338" s="43"/>
      <c r="U3338" s="43"/>
      <c r="V3338" s="41"/>
      <c r="W3338" s="41"/>
      <c r="X3338" s="41"/>
      <c r="Y3338" s="41"/>
      <c r="Z3338" s="41"/>
      <c r="AA3338" s="44"/>
      <c r="AB3338" s="44"/>
      <c r="AC3338" s="43"/>
      <c r="AD3338" s="43"/>
      <c r="AE3338" s="43"/>
    </row>
    <row r="3339" spans="1:31" x14ac:dyDescent="0.35">
      <c r="C3339" s="33"/>
      <c r="D3339" s="34"/>
      <c r="E3339" s="34"/>
      <c r="F3339" s="34"/>
      <c r="G3339" s="34"/>
      <c r="H3339" s="34"/>
      <c r="I3339" s="34"/>
      <c r="J3339" s="34"/>
      <c r="K3339" s="34"/>
      <c r="L3339" s="34"/>
      <c r="M3339" s="34"/>
      <c r="N3339" s="34"/>
      <c r="O3339" s="34"/>
      <c r="AA3339" s="35"/>
      <c r="AB3339" s="35"/>
      <c r="AC3339" s="34"/>
      <c r="AD3339" s="34"/>
      <c r="AE3339" s="34"/>
    </row>
    <row r="3340" spans="1:31" ht="15" thickBot="1" x14ac:dyDescent="0.4">
      <c r="A3340" s="45"/>
      <c r="B3340" s="45"/>
      <c r="C3340" s="46"/>
      <c r="D3340" s="47"/>
      <c r="E3340" s="47"/>
      <c r="F3340" s="47"/>
      <c r="G3340" s="47"/>
      <c r="H3340" s="47"/>
      <c r="I3340" s="47"/>
      <c r="J3340" s="47"/>
      <c r="K3340" s="47"/>
      <c r="L3340" s="47"/>
      <c r="M3340" s="47"/>
      <c r="N3340" s="47"/>
      <c r="O3340" s="47"/>
      <c r="P3340" s="47"/>
      <c r="Q3340" s="47"/>
      <c r="R3340" s="47"/>
      <c r="S3340" s="47"/>
      <c r="T3340" s="45"/>
      <c r="U3340" s="45"/>
      <c r="V3340" s="45"/>
      <c r="W3340" s="45"/>
      <c r="X3340" s="47"/>
      <c r="Y3340" s="45"/>
      <c r="Z3340" s="45"/>
      <c r="AA3340" s="48"/>
      <c r="AB3340" s="48"/>
      <c r="AC3340" s="47"/>
      <c r="AD3340" s="47"/>
      <c r="AE3340" s="47"/>
    </row>
    <row r="3341" spans="1:31" x14ac:dyDescent="0.35">
      <c r="A3341" s="41"/>
      <c r="B3341" s="41"/>
      <c r="C3341" s="42"/>
      <c r="D3341" s="43"/>
      <c r="E3341" s="43"/>
      <c r="F3341" s="43"/>
      <c r="G3341" s="43"/>
      <c r="H3341" s="43"/>
      <c r="I3341" s="43"/>
      <c r="J3341" s="43"/>
      <c r="K3341" s="43"/>
      <c r="L3341" s="43"/>
      <c r="M3341" s="43"/>
      <c r="N3341" s="43"/>
      <c r="O3341" s="43"/>
      <c r="P3341" s="43"/>
      <c r="Q3341" s="43"/>
      <c r="R3341" s="43"/>
      <c r="S3341" s="43"/>
      <c r="T3341" s="43"/>
      <c r="U3341" s="43"/>
      <c r="V3341" s="41"/>
      <c r="W3341" s="41"/>
      <c r="X3341" s="41"/>
      <c r="Y3341" s="41"/>
      <c r="Z3341" s="41"/>
      <c r="AA3341" s="44"/>
      <c r="AB3341" s="44"/>
      <c r="AC3341" s="43"/>
      <c r="AD3341" s="43"/>
      <c r="AE3341" s="43"/>
    </row>
    <row r="3342" spans="1:31" x14ac:dyDescent="0.35">
      <c r="C3342" s="33"/>
      <c r="D3342" s="34"/>
      <c r="E3342" s="34"/>
      <c r="F3342" s="34"/>
      <c r="G3342" s="34"/>
      <c r="H3342" s="34"/>
      <c r="I3342" s="34"/>
      <c r="J3342" s="34"/>
      <c r="K3342" s="34"/>
      <c r="L3342" s="34"/>
      <c r="M3342" s="34"/>
      <c r="N3342" s="34"/>
      <c r="O3342" s="34"/>
      <c r="AA3342" s="35"/>
      <c r="AB3342" s="35"/>
      <c r="AC3342" s="34"/>
      <c r="AD3342" s="34"/>
      <c r="AE3342" s="34"/>
    </row>
    <row r="3343" spans="1:31" ht="15" thickBot="1" x14ac:dyDescent="0.4">
      <c r="A3343" s="45"/>
      <c r="B3343" s="45"/>
      <c r="C3343" s="46"/>
      <c r="D3343" s="47"/>
      <c r="E3343" s="47"/>
      <c r="F3343" s="47"/>
      <c r="G3343" s="47"/>
      <c r="H3343" s="47"/>
      <c r="I3343" s="47"/>
      <c r="J3343" s="47"/>
      <c r="K3343" s="47"/>
      <c r="L3343" s="47"/>
      <c r="M3343" s="47"/>
      <c r="N3343" s="47"/>
      <c r="O3343" s="47"/>
      <c r="P3343" s="47"/>
      <c r="Q3343" s="47"/>
      <c r="R3343" s="47"/>
      <c r="S3343" s="47"/>
      <c r="T3343" s="45"/>
      <c r="U3343" s="45"/>
      <c r="V3343" s="45"/>
      <c r="W3343" s="45"/>
      <c r="X3343" s="47"/>
      <c r="Y3343" s="45"/>
      <c r="Z3343" s="45"/>
      <c r="AA3343" s="48"/>
      <c r="AB3343" s="48"/>
      <c r="AC3343" s="47"/>
      <c r="AD3343" s="47"/>
      <c r="AE3343" s="47"/>
    </row>
    <row r="3344" spans="1:31" x14ac:dyDescent="0.35">
      <c r="A3344" s="41"/>
      <c r="B3344" s="41"/>
      <c r="C3344" s="42"/>
      <c r="D3344" s="43"/>
      <c r="E3344" s="43"/>
      <c r="F3344" s="43"/>
      <c r="G3344" s="43"/>
      <c r="H3344" s="43"/>
      <c r="I3344" s="43"/>
      <c r="J3344" s="43"/>
      <c r="K3344" s="43"/>
      <c r="L3344" s="43"/>
      <c r="M3344" s="43"/>
      <c r="N3344" s="43"/>
      <c r="O3344" s="43"/>
      <c r="P3344" s="43"/>
      <c r="Q3344" s="43"/>
      <c r="R3344" s="43"/>
      <c r="S3344" s="43"/>
      <c r="T3344" s="43"/>
      <c r="U3344" s="43"/>
      <c r="V3344" s="41"/>
      <c r="W3344" s="41"/>
      <c r="X3344" s="41"/>
      <c r="Y3344" s="41"/>
      <c r="Z3344" s="41"/>
      <c r="AA3344" s="44"/>
      <c r="AB3344" s="44"/>
      <c r="AC3344" s="43"/>
      <c r="AD3344" s="43"/>
      <c r="AE3344" s="43"/>
    </row>
    <row r="3345" spans="1:31" x14ac:dyDescent="0.35">
      <c r="C3345" s="33"/>
      <c r="D3345" s="34"/>
      <c r="E3345" s="34"/>
      <c r="F3345" s="34"/>
      <c r="G3345" s="34"/>
      <c r="H3345" s="34"/>
      <c r="I3345" s="34"/>
      <c r="J3345" s="34"/>
      <c r="K3345" s="34"/>
      <c r="L3345" s="34"/>
      <c r="M3345" s="34"/>
      <c r="N3345" s="34"/>
      <c r="O3345" s="34"/>
      <c r="AA3345" s="35"/>
      <c r="AB3345" s="35"/>
      <c r="AC3345" s="34"/>
      <c r="AD3345" s="34"/>
      <c r="AE3345" s="34"/>
    </row>
    <row r="3346" spans="1:31" ht="15" thickBot="1" x14ac:dyDescent="0.4">
      <c r="A3346" s="45"/>
      <c r="B3346" s="45"/>
      <c r="C3346" s="46"/>
      <c r="D3346" s="47"/>
      <c r="E3346" s="47"/>
      <c r="F3346" s="47"/>
      <c r="G3346" s="47"/>
      <c r="H3346" s="47"/>
      <c r="I3346" s="47"/>
      <c r="J3346" s="47"/>
      <c r="K3346" s="47"/>
      <c r="L3346" s="47"/>
      <c r="M3346" s="47"/>
      <c r="N3346" s="47"/>
      <c r="O3346" s="47"/>
      <c r="P3346" s="47"/>
      <c r="Q3346" s="47"/>
      <c r="R3346" s="47"/>
      <c r="S3346" s="47"/>
      <c r="T3346" s="45"/>
      <c r="U3346" s="45"/>
      <c r="V3346" s="45"/>
      <c r="W3346" s="45"/>
      <c r="X3346" s="47"/>
      <c r="Y3346" s="45"/>
      <c r="Z3346" s="45"/>
      <c r="AA3346" s="48"/>
      <c r="AB3346" s="48"/>
      <c r="AC3346" s="47"/>
      <c r="AD3346" s="47"/>
      <c r="AE3346" s="47"/>
    </row>
    <row r="3347" spans="1:31" x14ac:dyDescent="0.35">
      <c r="A3347" s="41"/>
      <c r="B3347" s="41"/>
      <c r="C3347" s="42"/>
      <c r="D3347" s="43"/>
      <c r="E3347" s="43"/>
      <c r="F3347" s="43"/>
      <c r="G3347" s="43"/>
      <c r="H3347" s="43"/>
      <c r="I3347" s="43"/>
      <c r="J3347" s="43"/>
      <c r="K3347" s="43"/>
      <c r="L3347" s="43"/>
      <c r="M3347" s="43"/>
      <c r="N3347" s="43"/>
      <c r="O3347" s="43"/>
      <c r="P3347" s="43"/>
      <c r="Q3347" s="43"/>
      <c r="R3347" s="43"/>
      <c r="S3347" s="43"/>
      <c r="T3347" s="43"/>
      <c r="U3347" s="43"/>
      <c r="V3347" s="41"/>
      <c r="W3347" s="41"/>
      <c r="X3347" s="41"/>
      <c r="Y3347" s="41"/>
      <c r="Z3347" s="41"/>
      <c r="AA3347" s="44"/>
      <c r="AB3347" s="44"/>
      <c r="AC3347" s="43"/>
      <c r="AD3347" s="43"/>
      <c r="AE3347" s="43"/>
    </row>
    <row r="3348" spans="1:31" x14ac:dyDescent="0.35">
      <c r="C3348" s="33"/>
      <c r="D3348" s="34"/>
      <c r="E3348" s="34"/>
      <c r="F3348" s="34"/>
      <c r="G3348" s="34"/>
      <c r="H3348" s="34"/>
      <c r="I3348" s="34"/>
      <c r="J3348" s="34"/>
      <c r="K3348" s="34"/>
      <c r="L3348" s="34"/>
      <c r="M3348" s="34"/>
      <c r="N3348" s="34"/>
      <c r="O3348" s="34"/>
      <c r="AA3348" s="35"/>
      <c r="AB3348" s="35"/>
      <c r="AC3348" s="34"/>
      <c r="AD3348" s="34"/>
      <c r="AE3348" s="34"/>
    </row>
    <row r="3349" spans="1:31" ht="15" thickBot="1" x14ac:dyDescent="0.4">
      <c r="A3349" s="45"/>
      <c r="B3349" s="45"/>
      <c r="C3349" s="46"/>
      <c r="D3349" s="47"/>
      <c r="E3349" s="47"/>
      <c r="F3349" s="47"/>
      <c r="G3349" s="47"/>
      <c r="H3349" s="47"/>
      <c r="I3349" s="47"/>
      <c r="J3349" s="47"/>
      <c r="K3349" s="47"/>
      <c r="L3349" s="47"/>
      <c r="M3349" s="47"/>
      <c r="N3349" s="47"/>
      <c r="O3349" s="47"/>
      <c r="P3349" s="47"/>
      <c r="Q3349" s="47"/>
      <c r="R3349" s="47"/>
      <c r="S3349" s="47"/>
      <c r="T3349" s="45"/>
      <c r="U3349" s="45"/>
      <c r="V3349" s="45"/>
      <c r="W3349" s="45"/>
      <c r="X3349" s="47"/>
      <c r="Y3349" s="45"/>
      <c r="Z3349" s="45"/>
      <c r="AA3349" s="48"/>
      <c r="AB3349" s="48"/>
      <c r="AC3349" s="47"/>
      <c r="AD3349" s="47"/>
      <c r="AE3349" s="47"/>
    </row>
    <row r="3350" spans="1:31" x14ac:dyDescent="0.35">
      <c r="A3350" s="41"/>
      <c r="B3350" s="41"/>
      <c r="C3350" s="42"/>
      <c r="D3350" s="43"/>
      <c r="E3350" s="43"/>
      <c r="F3350" s="43"/>
      <c r="G3350" s="43"/>
      <c r="H3350" s="43"/>
      <c r="I3350" s="43"/>
      <c r="J3350" s="43"/>
      <c r="K3350" s="43"/>
      <c r="L3350" s="43"/>
      <c r="M3350" s="43"/>
      <c r="N3350" s="43"/>
      <c r="O3350" s="43"/>
      <c r="P3350" s="43"/>
      <c r="Q3350" s="43"/>
      <c r="R3350" s="43"/>
      <c r="S3350" s="43"/>
      <c r="T3350" s="43"/>
      <c r="U3350" s="43"/>
      <c r="V3350" s="41"/>
      <c r="W3350" s="41"/>
      <c r="X3350" s="41"/>
      <c r="Y3350" s="41"/>
      <c r="Z3350" s="41"/>
      <c r="AA3350" s="44"/>
      <c r="AB3350" s="44"/>
      <c r="AC3350" s="43"/>
      <c r="AD3350" s="43"/>
      <c r="AE3350" s="43"/>
    </row>
    <row r="3351" spans="1:31" x14ac:dyDescent="0.35">
      <c r="C3351" s="33"/>
      <c r="D3351" s="34"/>
      <c r="E3351" s="34"/>
      <c r="F3351" s="34"/>
      <c r="G3351" s="34"/>
      <c r="H3351" s="34"/>
      <c r="I3351" s="34"/>
      <c r="J3351" s="34"/>
      <c r="K3351" s="34"/>
      <c r="L3351" s="34"/>
      <c r="M3351" s="34"/>
      <c r="N3351" s="34"/>
      <c r="O3351" s="34"/>
      <c r="AA3351" s="35"/>
      <c r="AB3351" s="35"/>
      <c r="AC3351" s="34"/>
      <c r="AD3351" s="34"/>
      <c r="AE3351" s="34"/>
    </row>
    <row r="3352" spans="1:31" ht="15" thickBot="1" x14ac:dyDescent="0.4">
      <c r="A3352" s="45"/>
      <c r="B3352" s="45"/>
      <c r="C3352" s="46"/>
      <c r="D3352" s="47"/>
      <c r="E3352" s="47"/>
      <c r="F3352" s="47"/>
      <c r="G3352" s="47"/>
      <c r="H3352" s="47"/>
      <c r="I3352" s="47"/>
      <c r="J3352" s="47"/>
      <c r="K3352" s="47"/>
      <c r="L3352" s="47"/>
      <c r="M3352" s="47"/>
      <c r="N3352" s="47"/>
      <c r="O3352" s="47"/>
      <c r="P3352" s="47"/>
      <c r="Q3352" s="47"/>
      <c r="R3352" s="47"/>
      <c r="S3352" s="47"/>
      <c r="T3352" s="45"/>
      <c r="U3352" s="45"/>
      <c r="V3352" s="45"/>
      <c r="W3352" s="45"/>
      <c r="X3352" s="47"/>
      <c r="Y3352" s="45"/>
      <c r="Z3352" s="45"/>
      <c r="AA3352" s="48"/>
      <c r="AB3352" s="48"/>
      <c r="AC3352" s="47"/>
      <c r="AD3352" s="47"/>
      <c r="AE3352" s="47"/>
    </row>
    <row r="3353" spans="1:31" x14ac:dyDescent="0.35">
      <c r="A3353" s="41"/>
      <c r="B3353" s="41"/>
      <c r="C3353" s="42"/>
      <c r="D3353" s="43"/>
      <c r="E3353" s="43"/>
      <c r="F3353" s="43"/>
      <c r="G3353" s="43"/>
      <c r="H3353" s="43"/>
      <c r="I3353" s="43"/>
      <c r="J3353" s="43"/>
      <c r="K3353" s="43"/>
      <c r="L3353" s="43"/>
      <c r="M3353" s="43"/>
      <c r="N3353" s="43"/>
      <c r="O3353" s="43"/>
      <c r="P3353" s="43"/>
      <c r="Q3353" s="43"/>
      <c r="R3353" s="43"/>
      <c r="S3353" s="43"/>
      <c r="T3353" s="43"/>
      <c r="U3353" s="43"/>
      <c r="V3353" s="41"/>
      <c r="W3353" s="41"/>
      <c r="X3353" s="41"/>
      <c r="Y3353" s="41"/>
      <c r="Z3353" s="41"/>
      <c r="AA3353" s="44"/>
      <c r="AB3353" s="44"/>
      <c r="AC3353" s="43"/>
      <c r="AD3353" s="43"/>
      <c r="AE3353" s="43"/>
    </row>
    <row r="3354" spans="1:31" x14ac:dyDescent="0.35">
      <c r="C3354" s="33"/>
      <c r="D3354" s="34"/>
      <c r="E3354" s="34"/>
      <c r="F3354" s="34"/>
      <c r="G3354" s="34"/>
      <c r="H3354" s="34"/>
      <c r="I3354" s="34"/>
      <c r="J3354" s="34"/>
      <c r="K3354" s="34"/>
      <c r="L3354" s="34"/>
      <c r="M3354" s="34"/>
      <c r="N3354" s="34"/>
      <c r="O3354" s="34"/>
      <c r="AA3354" s="35"/>
      <c r="AB3354" s="35"/>
      <c r="AC3354" s="34"/>
      <c r="AD3354" s="34"/>
      <c r="AE3354" s="34"/>
    </row>
    <row r="3355" spans="1:31" ht="15" thickBot="1" x14ac:dyDescent="0.4">
      <c r="A3355" s="45"/>
      <c r="B3355" s="45"/>
      <c r="C3355" s="46"/>
      <c r="D3355" s="47"/>
      <c r="E3355" s="47"/>
      <c r="F3355" s="47"/>
      <c r="G3355" s="47"/>
      <c r="H3355" s="47"/>
      <c r="I3355" s="47"/>
      <c r="J3355" s="47"/>
      <c r="K3355" s="47"/>
      <c r="L3355" s="47"/>
      <c r="M3355" s="47"/>
      <c r="N3355" s="47"/>
      <c r="O3355" s="47"/>
      <c r="P3355" s="47"/>
      <c r="Q3355" s="47"/>
      <c r="R3355" s="47"/>
      <c r="S3355" s="47"/>
      <c r="T3355" s="45"/>
      <c r="U3355" s="45"/>
      <c r="V3355" s="45"/>
      <c r="W3355" s="45"/>
      <c r="X3355" s="47"/>
      <c r="Y3355" s="45"/>
      <c r="Z3355" s="45"/>
      <c r="AA3355" s="48"/>
      <c r="AB3355" s="48"/>
      <c r="AC3355" s="47"/>
      <c r="AD3355" s="47"/>
      <c r="AE3355" s="47"/>
    </row>
    <row r="3356" spans="1:31" x14ac:dyDescent="0.35">
      <c r="A3356" s="41"/>
      <c r="B3356" s="41"/>
      <c r="C3356" s="42"/>
      <c r="D3356" s="43"/>
      <c r="E3356" s="43"/>
      <c r="F3356" s="43"/>
      <c r="G3356" s="43"/>
      <c r="H3356" s="43"/>
      <c r="I3356" s="43"/>
      <c r="J3356" s="43"/>
      <c r="K3356" s="43"/>
      <c r="L3356" s="43"/>
      <c r="M3356" s="43"/>
      <c r="N3356" s="43"/>
      <c r="O3356" s="43"/>
      <c r="P3356" s="43"/>
      <c r="Q3356" s="43"/>
      <c r="R3356" s="43"/>
      <c r="S3356" s="43"/>
      <c r="T3356" s="43"/>
      <c r="U3356" s="43"/>
      <c r="V3356" s="41"/>
      <c r="W3356" s="41"/>
      <c r="X3356" s="41"/>
      <c r="Y3356" s="41"/>
      <c r="Z3356" s="41"/>
      <c r="AA3356" s="44"/>
      <c r="AB3356" s="44"/>
      <c r="AC3356" s="43"/>
      <c r="AD3356" s="43"/>
      <c r="AE3356" s="43"/>
    </row>
    <row r="3357" spans="1:31" x14ac:dyDescent="0.35">
      <c r="C3357" s="33"/>
      <c r="D3357" s="34"/>
      <c r="E3357" s="34"/>
      <c r="F3357" s="34"/>
      <c r="G3357" s="34"/>
      <c r="H3357" s="34"/>
      <c r="I3357" s="34"/>
      <c r="J3357" s="34"/>
      <c r="K3357" s="34"/>
      <c r="L3357" s="34"/>
      <c r="M3357" s="34"/>
      <c r="N3357" s="34"/>
      <c r="O3357" s="34"/>
      <c r="AA3357" s="35"/>
      <c r="AB3357" s="35"/>
      <c r="AC3357" s="34"/>
      <c r="AD3357" s="34"/>
      <c r="AE3357" s="34"/>
    </row>
    <row r="3358" spans="1:31" ht="15" thickBot="1" x14ac:dyDescent="0.4">
      <c r="A3358" s="45"/>
      <c r="B3358" s="45"/>
      <c r="C3358" s="46"/>
      <c r="D3358" s="47"/>
      <c r="E3358" s="47"/>
      <c r="F3358" s="47"/>
      <c r="G3358" s="47"/>
      <c r="H3358" s="47"/>
      <c r="I3358" s="47"/>
      <c r="J3358" s="47"/>
      <c r="K3358" s="47"/>
      <c r="L3358" s="47"/>
      <c r="M3358" s="47"/>
      <c r="N3358" s="47"/>
      <c r="O3358" s="47"/>
      <c r="P3358" s="47"/>
      <c r="Q3358" s="47"/>
      <c r="R3358" s="47"/>
      <c r="S3358" s="47"/>
      <c r="T3358" s="45"/>
      <c r="U3358" s="45"/>
      <c r="V3358" s="45"/>
      <c r="W3358" s="45"/>
      <c r="X3358" s="47"/>
      <c r="Y3358" s="45"/>
      <c r="Z3358" s="45"/>
      <c r="AA3358" s="48"/>
      <c r="AB3358" s="48"/>
      <c r="AC3358" s="47"/>
      <c r="AD3358" s="47"/>
      <c r="AE3358" s="47"/>
    </row>
    <row r="3359" spans="1:31" x14ac:dyDescent="0.35">
      <c r="A3359" s="41"/>
      <c r="B3359" s="41"/>
      <c r="C3359" s="42"/>
      <c r="D3359" s="43"/>
      <c r="E3359" s="43"/>
      <c r="F3359" s="43"/>
      <c r="G3359" s="43"/>
      <c r="H3359" s="43"/>
      <c r="I3359" s="43"/>
      <c r="J3359" s="43"/>
      <c r="K3359" s="43"/>
      <c r="L3359" s="43"/>
      <c r="M3359" s="43"/>
      <c r="N3359" s="43"/>
      <c r="O3359" s="43"/>
      <c r="P3359" s="43"/>
      <c r="Q3359" s="43"/>
      <c r="R3359" s="43"/>
      <c r="S3359" s="43"/>
      <c r="T3359" s="43"/>
      <c r="U3359" s="43"/>
      <c r="V3359" s="41"/>
      <c r="W3359" s="41"/>
      <c r="X3359" s="41"/>
      <c r="Y3359" s="41"/>
      <c r="Z3359" s="41"/>
      <c r="AA3359" s="44"/>
      <c r="AB3359" s="44"/>
      <c r="AC3359" s="43"/>
      <c r="AD3359" s="43"/>
      <c r="AE3359" s="43"/>
    </row>
    <row r="3360" spans="1:31" x14ac:dyDescent="0.35">
      <c r="C3360" s="33"/>
      <c r="D3360" s="34"/>
      <c r="E3360" s="34"/>
      <c r="F3360" s="34"/>
      <c r="G3360" s="34"/>
      <c r="H3360" s="34"/>
      <c r="I3360" s="34"/>
      <c r="J3360" s="34"/>
      <c r="K3360" s="34"/>
      <c r="L3360" s="34"/>
      <c r="M3360" s="34"/>
      <c r="N3360" s="34"/>
      <c r="O3360" s="34"/>
      <c r="AA3360" s="35"/>
      <c r="AB3360" s="35"/>
      <c r="AC3360" s="34"/>
      <c r="AD3360" s="34"/>
      <c r="AE3360" s="34"/>
    </row>
    <row r="3361" spans="1:31" ht="15" thickBot="1" x14ac:dyDescent="0.4">
      <c r="A3361" s="45"/>
      <c r="B3361" s="45"/>
      <c r="C3361" s="46"/>
      <c r="D3361" s="47"/>
      <c r="E3361" s="47"/>
      <c r="F3361" s="47"/>
      <c r="G3361" s="47"/>
      <c r="H3361" s="47"/>
      <c r="I3361" s="47"/>
      <c r="J3361" s="47"/>
      <c r="K3361" s="47"/>
      <c r="L3361" s="47"/>
      <c r="M3361" s="47"/>
      <c r="N3361" s="47"/>
      <c r="O3361" s="47"/>
      <c r="P3361" s="47"/>
      <c r="Q3361" s="47"/>
      <c r="R3361" s="47"/>
      <c r="S3361" s="47"/>
      <c r="T3361" s="45"/>
      <c r="U3361" s="45"/>
      <c r="V3361" s="45"/>
      <c r="W3361" s="45"/>
      <c r="X3361" s="47"/>
      <c r="Y3361" s="45"/>
      <c r="Z3361" s="45"/>
      <c r="AA3361" s="48"/>
      <c r="AB3361" s="48"/>
      <c r="AC3361" s="47"/>
      <c r="AD3361" s="47"/>
      <c r="AE3361" s="47"/>
    </row>
    <row r="3362" spans="1:31" x14ac:dyDescent="0.35">
      <c r="A3362" s="41"/>
      <c r="B3362" s="41"/>
      <c r="C3362" s="42"/>
      <c r="D3362" s="43"/>
      <c r="E3362" s="43"/>
      <c r="F3362" s="43"/>
      <c r="G3362" s="43"/>
      <c r="H3362" s="43"/>
      <c r="I3362" s="43"/>
      <c r="J3362" s="43"/>
      <c r="K3362" s="43"/>
      <c r="L3362" s="43"/>
      <c r="M3362" s="43"/>
      <c r="N3362" s="43"/>
      <c r="O3362" s="43"/>
      <c r="P3362" s="43"/>
      <c r="Q3362" s="43"/>
      <c r="R3362" s="43"/>
      <c r="S3362" s="43"/>
      <c r="T3362" s="43"/>
      <c r="U3362" s="43"/>
      <c r="V3362" s="41"/>
      <c r="W3362" s="41"/>
      <c r="X3362" s="41"/>
      <c r="Y3362" s="41"/>
      <c r="Z3362" s="41"/>
      <c r="AA3362" s="44"/>
      <c r="AB3362" s="44"/>
      <c r="AC3362" s="43"/>
      <c r="AD3362" s="43"/>
      <c r="AE3362" s="43"/>
    </row>
    <row r="3363" spans="1:31" x14ac:dyDescent="0.35">
      <c r="C3363" s="33"/>
      <c r="D3363" s="34"/>
      <c r="E3363" s="34"/>
      <c r="F3363" s="34"/>
      <c r="G3363" s="34"/>
      <c r="H3363" s="34"/>
      <c r="I3363" s="34"/>
      <c r="J3363" s="34"/>
      <c r="K3363" s="34"/>
      <c r="L3363" s="34"/>
      <c r="M3363" s="34"/>
      <c r="N3363" s="34"/>
      <c r="O3363" s="34"/>
      <c r="AA3363" s="35"/>
      <c r="AB3363" s="35"/>
      <c r="AC3363" s="34"/>
      <c r="AD3363" s="34"/>
      <c r="AE3363" s="34"/>
    </row>
    <row r="3364" spans="1:31" ht="15" thickBot="1" x14ac:dyDescent="0.4">
      <c r="A3364" s="45"/>
      <c r="B3364" s="45"/>
      <c r="C3364" s="46"/>
      <c r="D3364" s="47"/>
      <c r="E3364" s="47"/>
      <c r="F3364" s="47"/>
      <c r="G3364" s="47"/>
      <c r="H3364" s="47"/>
      <c r="I3364" s="47"/>
      <c r="J3364" s="47"/>
      <c r="K3364" s="47"/>
      <c r="L3364" s="47"/>
      <c r="M3364" s="47"/>
      <c r="N3364" s="47"/>
      <c r="O3364" s="47"/>
      <c r="P3364" s="47"/>
      <c r="Q3364" s="47"/>
      <c r="R3364" s="47"/>
      <c r="S3364" s="47"/>
      <c r="T3364" s="45"/>
      <c r="U3364" s="45"/>
      <c r="V3364" s="45"/>
      <c r="W3364" s="45"/>
      <c r="X3364" s="47"/>
      <c r="Y3364" s="45"/>
      <c r="Z3364" s="45"/>
      <c r="AA3364" s="48"/>
      <c r="AB3364" s="48"/>
      <c r="AC3364" s="47"/>
      <c r="AD3364" s="47"/>
      <c r="AE3364" s="47"/>
    </row>
    <row r="3365" spans="1:31" x14ac:dyDescent="0.35">
      <c r="A3365" s="41"/>
      <c r="B3365" s="41"/>
      <c r="C3365" s="42"/>
      <c r="D3365" s="43"/>
      <c r="E3365" s="43"/>
      <c r="F3365" s="43"/>
      <c r="G3365" s="43"/>
      <c r="H3365" s="43"/>
      <c r="I3365" s="43"/>
      <c r="J3365" s="43"/>
      <c r="K3365" s="43"/>
      <c r="L3365" s="43"/>
      <c r="M3365" s="43"/>
      <c r="N3365" s="43"/>
      <c r="O3365" s="43"/>
      <c r="P3365" s="43"/>
      <c r="Q3365" s="43"/>
      <c r="R3365" s="43"/>
      <c r="S3365" s="43"/>
      <c r="T3365" s="43"/>
      <c r="U3365" s="43"/>
      <c r="V3365" s="41"/>
      <c r="W3365" s="41"/>
      <c r="X3365" s="41"/>
      <c r="Y3365" s="41"/>
      <c r="Z3365" s="41"/>
      <c r="AA3365" s="44"/>
      <c r="AB3365" s="44"/>
      <c r="AC3365" s="43"/>
      <c r="AD3365" s="43"/>
      <c r="AE3365" s="43"/>
    </row>
    <row r="3366" spans="1:31" x14ac:dyDescent="0.35">
      <c r="C3366" s="33"/>
      <c r="D3366" s="34"/>
      <c r="E3366" s="34"/>
      <c r="F3366" s="34"/>
      <c r="G3366" s="34"/>
      <c r="H3366" s="34"/>
      <c r="I3366" s="34"/>
      <c r="J3366" s="34"/>
      <c r="K3366" s="34"/>
      <c r="L3366" s="34"/>
      <c r="M3366" s="34"/>
      <c r="N3366" s="34"/>
      <c r="O3366" s="34"/>
      <c r="AA3366" s="35"/>
      <c r="AB3366" s="35"/>
      <c r="AC3366" s="34"/>
      <c r="AD3366" s="34"/>
      <c r="AE3366" s="34"/>
    </row>
    <row r="3367" spans="1:31" ht="15" thickBot="1" x14ac:dyDescent="0.4">
      <c r="A3367" s="45"/>
      <c r="B3367" s="45"/>
      <c r="C3367" s="46"/>
      <c r="D3367" s="47"/>
      <c r="E3367" s="47"/>
      <c r="F3367" s="47"/>
      <c r="G3367" s="47"/>
      <c r="H3367" s="47"/>
      <c r="I3367" s="47"/>
      <c r="J3367" s="47"/>
      <c r="K3367" s="47"/>
      <c r="L3367" s="47"/>
      <c r="M3367" s="47"/>
      <c r="N3367" s="47"/>
      <c r="O3367" s="47"/>
      <c r="P3367" s="47"/>
      <c r="Q3367" s="47"/>
      <c r="R3367" s="47"/>
      <c r="S3367" s="47"/>
      <c r="T3367" s="45"/>
      <c r="U3367" s="45"/>
      <c r="V3367" s="45"/>
      <c r="W3367" s="45"/>
      <c r="X3367" s="47"/>
      <c r="Y3367" s="45"/>
      <c r="Z3367" s="45"/>
      <c r="AA3367" s="48"/>
      <c r="AB3367" s="48"/>
      <c r="AC3367" s="47"/>
      <c r="AD3367" s="47"/>
      <c r="AE3367" s="47"/>
    </row>
    <row r="3368" spans="1:31" x14ac:dyDescent="0.35">
      <c r="A3368" s="41"/>
      <c r="B3368" s="41"/>
      <c r="C3368" s="42"/>
      <c r="D3368" s="43"/>
      <c r="E3368" s="43"/>
      <c r="F3368" s="43"/>
      <c r="G3368" s="43"/>
      <c r="H3368" s="43"/>
      <c r="I3368" s="43"/>
      <c r="J3368" s="43"/>
      <c r="K3368" s="43"/>
      <c r="L3368" s="43"/>
      <c r="M3368" s="43"/>
      <c r="N3368" s="43"/>
      <c r="O3368" s="43"/>
      <c r="P3368" s="43"/>
      <c r="Q3368" s="43"/>
      <c r="R3368" s="43"/>
      <c r="S3368" s="43"/>
      <c r="T3368" s="43"/>
      <c r="U3368" s="43"/>
      <c r="V3368" s="41"/>
      <c r="W3368" s="41"/>
      <c r="X3368" s="41"/>
      <c r="Y3368" s="41"/>
      <c r="Z3368" s="41"/>
      <c r="AA3368" s="44"/>
      <c r="AB3368" s="44"/>
      <c r="AC3368" s="43"/>
      <c r="AD3368" s="43"/>
      <c r="AE3368" s="43"/>
    </row>
    <row r="3369" spans="1:31" x14ac:dyDescent="0.35">
      <c r="C3369" s="33"/>
      <c r="D3369" s="34"/>
      <c r="E3369" s="34"/>
      <c r="F3369" s="34"/>
      <c r="G3369" s="34"/>
      <c r="H3369" s="34"/>
      <c r="I3369" s="34"/>
      <c r="J3369" s="34"/>
      <c r="K3369" s="34"/>
      <c r="L3369" s="34"/>
      <c r="M3369" s="34"/>
      <c r="N3369" s="34"/>
      <c r="O3369" s="34"/>
      <c r="AA3369" s="35"/>
      <c r="AB3369" s="35"/>
      <c r="AC3369" s="34"/>
      <c r="AD3369" s="34"/>
      <c r="AE3369" s="34"/>
    </row>
    <row r="3370" spans="1:31" ht="15" thickBot="1" x14ac:dyDescent="0.4">
      <c r="A3370" s="45"/>
      <c r="B3370" s="45"/>
      <c r="C3370" s="46"/>
      <c r="D3370" s="47"/>
      <c r="E3370" s="47"/>
      <c r="F3370" s="47"/>
      <c r="G3370" s="47"/>
      <c r="H3370" s="47"/>
      <c r="I3370" s="47"/>
      <c r="J3370" s="47"/>
      <c r="K3370" s="47"/>
      <c r="L3370" s="47"/>
      <c r="M3370" s="47"/>
      <c r="N3370" s="47"/>
      <c r="O3370" s="47"/>
      <c r="P3370" s="47"/>
      <c r="Q3370" s="47"/>
      <c r="R3370" s="47"/>
      <c r="S3370" s="47"/>
      <c r="T3370" s="45"/>
      <c r="U3370" s="45"/>
      <c r="V3370" s="45"/>
      <c r="W3370" s="45"/>
      <c r="X3370" s="47"/>
      <c r="Y3370" s="45"/>
      <c r="Z3370" s="45"/>
      <c r="AA3370" s="48"/>
      <c r="AB3370" s="48"/>
      <c r="AC3370" s="47"/>
      <c r="AD3370" s="47"/>
      <c r="AE3370" s="47"/>
    </row>
    <row r="3371" spans="1:31" x14ac:dyDescent="0.35">
      <c r="A3371" s="41"/>
      <c r="B3371" s="41"/>
      <c r="C3371" s="42"/>
      <c r="D3371" s="43"/>
      <c r="E3371" s="43"/>
      <c r="F3371" s="43"/>
      <c r="G3371" s="43"/>
      <c r="H3371" s="43"/>
      <c r="I3371" s="43"/>
      <c r="J3371" s="43"/>
      <c r="K3371" s="43"/>
      <c r="L3371" s="43"/>
      <c r="M3371" s="43"/>
      <c r="N3371" s="43"/>
      <c r="O3371" s="43"/>
      <c r="P3371" s="43"/>
      <c r="Q3371" s="43"/>
      <c r="R3371" s="43"/>
      <c r="S3371" s="43"/>
      <c r="T3371" s="43"/>
      <c r="U3371" s="43"/>
      <c r="V3371" s="41"/>
      <c r="W3371" s="41"/>
      <c r="X3371" s="41"/>
      <c r="Y3371" s="41"/>
      <c r="Z3371" s="41"/>
      <c r="AA3371" s="44"/>
      <c r="AB3371" s="44"/>
      <c r="AC3371" s="43"/>
      <c r="AD3371" s="43"/>
      <c r="AE3371" s="43"/>
    </row>
    <row r="3372" spans="1:31" x14ac:dyDescent="0.35">
      <c r="C3372" s="33"/>
      <c r="D3372" s="34"/>
      <c r="E3372" s="34"/>
      <c r="F3372" s="34"/>
      <c r="G3372" s="34"/>
      <c r="H3372" s="34"/>
      <c r="I3372" s="34"/>
      <c r="J3372" s="34"/>
      <c r="K3372" s="34"/>
      <c r="L3372" s="34"/>
      <c r="M3372" s="34"/>
      <c r="N3372" s="34"/>
      <c r="O3372" s="34"/>
      <c r="AA3372" s="35"/>
      <c r="AB3372" s="35"/>
      <c r="AC3372" s="34"/>
      <c r="AD3372" s="34"/>
      <c r="AE3372" s="34"/>
    </row>
    <row r="3373" spans="1:31" ht="15" thickBot="1" x14ac:dyDescent="0.4">
      <c r="A3373" s="45"/>
      <c r="B3373" s="45"/>
      <c r="C3373" s="46"/>
      <c r="D3373" s="47"/>
      <c r="E3373" s="47"/>
      <c r="F3373" s="47"/>
      <c r="G3373" s="47"/>
      <c r="H3373" s="47"/>
      <c r="I3373" s="47"/>
      <c r="J3373" s="47"/>
      <c r="K3373" s="47"/>
      <c r="L3373" s="47"/>
      <c r="M3373" s="47"/>
      <c r="N3373" s="47"/>
      <c r="O3373" s="47"/>
      <c r="P3373" s="47"/>
      <c r="Q3373" s="47"/>
      <c r="R3373" s="47"/>
      <c r="S3373" s="47"/>
      <c r="T3373" s="45"/>
      <c r="U3373" s="45"/>
      <c r="V3373" s="45"/>
      <c r="W3373" s="45"/>
      <c r="X3373" s="47"/>
      <c r="Y3373" s="45"/>
      <c r="Z3373" s="45"/>
      <c r="AA3373" s="48"/>
      <c r="AB3373" s="48"/>
      <c r="AC3373" s="47"/>
      <c r="AD3373" s="47"/>
      <c r="AE3373" s="47"/>
    </row>
    <row r="3374" spans="1:31" x14ac:dyDescent="0.35">
      <c r="A3374" s="41"/>
      <c r="B3374" s="41"/>
      <c r="C3374" s="42"/>
      <c r="D3374" s="43"/>
      <c r="E3374" s="43"/>
      <c r="F3374" s="43"/>
      <c r="G3374" s="43"/>
      <c r="H3374" s="43"/>
      <c r="I3374" s="43"/>
      <c r="J3374" s="43"/>
      <c r="K3374" s="43"/>
      <c r="L3374" s="43"/>
      <c r="M3374" s="43"/>
      <c r="N3374" s="43"/>
      <c r="O3374" s="43"/>
      <c r="P3374" s="43"/>
      <c r="Q3374" s="43"/>
      <c r="R3374" s="43"/>
      <c r="S3374" s="43"/>
      <c r="T3374" s="43"/>
      <c r="U3374" s="43"/>
      <c r="V3374" s="41"/>
      <c r="W3374" s="41"/>
      <c r="X3374" s="41"/>
      <c r="Y3374" s="41"/>
      <c r="Z3374" s="41"/>
      <c r="AA3374" s="44"/>
      <c r="AB3374" s="44"/>
      <c r="AC3374" s="43"/>
      <c r="AD3374" s="43"/>
      <c r="AE3374" s="43"/>
    </row>
    <row r="3375" spans="1:31" x14ac:dyDescent="0.35">
      <c r="C3375" s="33"/>
      <c r="D3375" s="34"/>
      <c r="E3375" s="34"/>
      <c r="F3375" s="34"/>
      <c r="G3375" s="34"/>
      <c r="H3375" s="34"/>
      <c r="I3375" s="34"/>
      <c r="J3375" s="34"/>
      <c r="K3375" s="34"/>
      <c r="L3375" s="34"/>
      <c r="M3375" s="34"/>
      <c r="N3375" s="34"/>
      <c r="O3375" s="34"/>
      <c r="AA3375" s="35"/>
      <c r="AB3375" s="35"/>
      <c r="AC3375" s="34"/>
      <c r="AD3375" s="34"/>
      <c r="AE3375" s="34"/>
    </row>
    <row r="3376" spans="1:31" ht="15" thickBot="1" x14ac:dyDescent="0.4">
      <c r="A3376" s="45"/>
      <c r="B3376" s="45"/>
      <c r="C3376" s="46"/>
      <c r="D3376" s="47"/>
      <c r="E3376" s="47"/>
      <c r="F3376" s="47"/>
      <c r="G3376" s="47"/>
      <c r="H3376" s="47"/>
      <c r="I3376" s="47"/>
      <c r="J3376" s="47"/>
      <c r="K3376" s="47"/>
      <c r="L3376" s="47"/>
      <c r="M3376" s="47"/>
      <c r="N3376" s="47"/>
      <c r="O3376" s="47"/>
      <c r="P3376" s="47"/>
      <c r="Q3376" s="47"/>
      <c r="R3376" s="47"/>
      <c r="S3376" s="47"/>
      <c r="T3376" s="45"/>
      <c r="U3376" s="45"/>
      <c r="V3376" s="45"/>
      <c r="W3376" s="45"/>
      <c r="X3376" s="47"/>
      <c r="Y3376" s="45"/>
      <c r="Z3376" s="45"/>
      <c r="AA3376" s="48"/>
      <c r="AB3376" s="48"/>
      <c r="AC3376" s="47"/>
      <c r="AD3376" s="47"/>
      <c r="AE3376" s="47"/>
    </row>
    <row r="3377" spans="1:31" x14ac:dyDescent="0.35">
      <c r="A3377" s="41"/>
      <c r="B3377" s="41"/>
      <c r="C3377" s="42"/>
      <c r="D3377" s="43"/>
      <c r="E3377" s="43"/>
      <c r="F3377" s="43"/>
      <c r="G3377" s="43"/>
      <c r="H3377" s="43"/>
      <c r="I3377" s="43"/>
      <c r="J3377" s="43"/>
      <c r="K3377" s="43"/>
      <c r="L3377" s="43"/>
      <c r="M3377" s="43"/>
      <c r="N3377" s="43"/>
      <c r="O3377" s="43"/>
      <c r="P3377" s="43"/>
      <c r="Q3377" s="43"/>
      <c r="R3377" s="43"/>
      <c r="S3377" s="43"/>
      <c r="T3377" s="43"/>
      <c r="U3377" s="43"/>
      <c r="V3377" s="41"/>
      <c r="W3377" s="41"/>
      <c r="X3377" s="41"/>
      <c r="Y3377" s="41"/>
      <c r="Z3377" s="41"/>
      <c r="AA3377" s="44"/>
      <c r="AB3377" s="44"/>
      <c r="AC3377" s="43"/>
      <c r="AD3377" s="43"/>
      <c r="AE3377" s="43"/>
    </row>
    <row r="3378" spans="1:31" x14ac:dyDescent="0.35">
      <c r="C3378" s="33"/>
      <c r="D3378" s="34"/>
      <c r="E3378" s="34"/>
      <c r="F3378" s="34"/>
      <c r="G3378" s="34"/>
      <c r="H3378" s="34"/>
      <c r="I3378" s="34"/>
      <c r="J3378" s="34"/>
      <c r="K3378" s="34"/>
      <c r="L3378" s="34"/>
      <c r="M3378" s="34"/>
      <c r="N3378" s="34"/>
      <c r="O3378" s="34"/>
      <c r="AA3378" s="35"/>
      <c r="AB3378" s="35"/>
      <c r="AC3378" s="34"/>
      <c r="AD3378" s="34"/>
      <c r="AE3378" s="34"/>
    </row>
    <row r="3379" spans="1:31" ht="15" thickBot="1" x14ac:dyDescent="0.4">
      <c r="A3379" s="45"/>
      <c r="B3379" s="45"/>
      <c r="C3379" s="46"/>
      <c r="D3379" s="47"/>
      <c r="E3379" s="47"/>
      <c r="F3379" s="47"/>
      <c r="G3379" s="47"/>
      <c r="H3379" s="47"/>
      <c r="I3379" s="47"/>
      <c r="J3379" s="47"/>
      <c r="K3379" s="47"/>
      <c r="L3379" s="47"/>
      <c r="M3379" s="47"/>
      <c r="N3379" s="47"/>
      <c r="O3379" s="47"/>
      <c r="P3379" s="47"/>
      <c r="Q3379" s="47"/>
      <c r="R3379" s="47"/>
      <c r="S3379" s="47"/>
      <c r="T3379" s="45"/>
      <c r="U3379" s="45"/>
      <c r="V3379" s="45"/>
      <c r="W3379" s="45"/>
      <c r="X3379" s="47"/>
      <c r="Y3379" s="45"/>
      <c r="Z3379" s="45"/>
      <c r="AA3379" s="48"/>
      <c r="AB3379" s="48"/>
      <c r="AC3379" s="47"/>
      <c r="AD3379" s="47"/>
      <c r="AE3379" s="47"/>
    </row>
    <row r="3380" spans="1:31" x14ac:dyDescent="0.35">
      <c r="A3380" s="41"/>
      <c r="B3380" s="41"/>
      <c r="C3380" s="42"/>
      <c r="D3380" s="43"/>
      <c r="E3380" s="43"/>
      <c r="F3380" s="43"/>
      <c r="G3380" s="43"/>
      <c r="H3380" s="43"/>
      <c r="I3380" s="43"/>
      <c r="J3380" s="43"/>
      <c r="K3380" s="43"/>
      <c r="L3380" s="43"/>
      <c r="M3380" s="43"/>
      <c r="N3380" s="43"/>
      <c r="O3380" s="43"/>
      <c r="P3380" s="43"/>
      <c r="Q3380" s="43"/>
      <c r="R3380" s="43"/>
      <c r="S3380" s="43"/>
      <c r="T3380" s="43"/>
      <c r="U3380" s="43"/>
      <c r="V3380" s="41"/>
      <c r="W3380" s="41"/>
      <c r="X3380" s="41"/>
      <c r="Y3380" s="41"/>
      <c r="Z3380" s="41"/>
      <c r="AA3380" s="44"/>
      <c r="AB3380" s="44"/>
      <c r="AC3380" s="43"/>
      <c r="AD3380" s="43"/>
      <c r="AE3380" s="43"/>
    </row>
    <row r="3381" spans="1:31" x14ac:dyDescent="0.35">
      <c r="C3381" s="33"/>
      <c r="D3381" s="34"/>
      <c r="E3381" s="34"/>
      <c r="F3381" s="34"/>
      <c r="G3381" s="34"/>
      <c r="H3381" s="34"/>
      <c r="I3381" s="34"/>
      <c r="J3381" s="34"/>
      <c r="K3381" s="34"/>
      <c r="L3381" s="34"/>
      <c r="M3381" s="34"/>
      <c r="N3381" s="34"/>
      <c r="O3381" s="34"/>
      <c r="AA3381" s="35"/>
      <c r="AB3381" s="35"/>
      <c r="AC3381" s="34"/>
      <c r="AD3381" s="34"/>
      <c r="AE3381" s="34"/>
    </row>
    <row r="3382" spans="1:31" ht="15" thickBot="1" x14ac:dyDescent="0.4">
      <c r="A3382" s="45"/>
      <c r="B3382" s="45"/>
      <c r="C3382" s="46"/>
      <c r="D3382" s="47"/>
      <c r="E3382" s="47"/>
      <c r="F3382" s="47"/>
      <c r="G3382" s="47"/>
      <c r="H3382" s="47"/>
      <c r="I3382" s="47"/>
      <c r="J3382" s="47"/>
      <c r="K3382" s="47"/>
      <c r="L3382" s="47"/>
      <c r="M3382" s="47"/>
      <c r="N3382" s="47"/>
      <c r="O3382" s="47"/>
      <c r="P3382" s="47"/>
      <c r="Q3382" s="47"/>
      <c r="R3382" s="47"/>
      <c r="S3382" s="47"/>
      <c r="T3382" s="45"/>
      <c r="U3382" s="45"/>
      <c r="V3382" s="45"/>
      <c r="W3382" s="45"/>
      <c r="X3382" s="47"/>
      <c r="Y3382" s="45"/>
      <c r="Z3382" s="45"/>
      <c r="AA3382" s="48"/>
      <c r="AB3382" s="48"/>
      <c r="AC3382" s="47"/>
      <c r="AD3382" s="47"/>
      <c r="AE3382" s="47"/>
    </row>
    <row r="3383" spans="1:31" x14ac:dyDescent="0.35">
      <c r="A3383" s="41"/>
      <c r="B3383" s="41"/>
      <c r="C3383" s="42"/>
      <c r="D3383" s="43"/>
      <c r="E3383" s="43"/>
      <c r="F3383" s="43"/>
      <c r="G3383" s="43"/>
      <c r="H3383" s="43"/>
      <c r="I3383" s="43"/>
      <c r="J3383" s="43"/>
      <c r="K3383" s="43"/>
      <c r="L3383" s="43"/>
      <c r="M3383" s="43"/>
      <c r="N3383" s="43"/>
      <c r="O3383" s="43"/>
      <c r="P3383" s="43"/>
      <c r="Q3383" s="43"/>
      <c r="R3383" s="43"/>
      <c r="S3383" s="43"/>
      <c r="T3383" s="43"/>
      <c r="U3383" s="43"/>
      <c r="V3383" s="41"/>
      <c r="W3383" s="41"/>
      <c r="X3383" s="41"/>
      <c r="Y3383" s="41"/>
      <c r="Z3383" s="41"/>
      <c r="AA3383" s="44"/>
      <c r="AB3383" s="44"/>
      <c r="AC3383" s="43"/>
      <c r="AD3383" s="43"/>
      <c r="AE3383" s="43"/>
    </row>
    <row r="3384" spans="1:31" x14ac:dyDescent="0.35">
      <c r="C3384" s="33"/>
      <c r="D3384" s="34"/>
      <c r="E3384" s="34"/>
      <c r="F3384" s="34"/>
      <c r="G3384" s="34"/>
      <c r="H3384" s="34"/>
      <c r="I3384" s="34"/>
      <c r="J3384" s="34"/>
      <c r="K3384" s="34"/>
      <c r="L3384" s="34"/>
      <c r="M3384" s="34"/>
      <c r="N3384" s="34"/>
      <c r="O3384" s="34"/>
      <c r="AA3384" s="35"/>
      <c r="AB3384" s="35"/>
      <c r="AC3384" s="34"/>
      <c r="AD3384" s="34"/>
      <c r="AE3384" s="34"/>
    </row>
    <row r="3385" spans="1:31" ht="15" thickBot="1" x14ac:dyDescent="0.4">
      <c r="A3385" s="45"/>
      <c r="B3385" s="45"/>
      <c r="C3385" s="46"/>
      <c r="D3385" s="47"/>
      <c r="E3385" s="47"/>
      <c r="F3385" s="47"/>
      <c r="G3385" s="47"/>
      <c r="H3385" s="47"/>
      <c r="I3385" s="47"/>
      <c r="J3385" s="47"/>
      <c r="K3385" s="47"/>
      <c r="L3385" s="47"/>
      <c r="M3385" s="47"/>
      <c r="N3385" s="47"/>
      <c r="O3385" s="47"/>
      <c r="P3385" s="47"/>
      <c r="Q3385" s="47"/>
      <c r="R3385" s="47"/>
      <c r="S3385" s="47"/>
      <c r="T3385" s="45"/>
      <c r="U3385" s="45"/>
      <c r="V3385" s="45"/>
      <c r="W3385" s="45"/>
      <c r="X3385" s="47"/>
      <c r="Y3385" s="45"/>
      <c r="Z3385" s="45"/>
      <c r="AA3385" s="48"/>
      <c r="AB3385" s="48"/>
      <c r="AC3385" s="47"/>
      <c r="AD3385" s="47"/>
      <c r="AE3385" s="47"/>
    </row>
    <row r="3386" spans="1:31" x14ac:dyDescent="0.35">
      <c r="A3386" s="41"/>
      <c r="B3386" s="41"/>
      <c r="C3386" s="42"/>
      <c r="D3386" s="43"/>
      <c r="E3386" s="43"/>
      <c r="F3386" s="43"/>
      <c r="G3386" s="43"/>
      <c r="H3386" s="43"/>
      <c r="I3386" s="43"/>
      <c r="J3386" s="43"/>
      <c r="K3386" s="43"/>
      <c r="L3386" s="43"/>
      <c r="M3386" s="43"/>
      <c r="N3386" s="43"/>
      <c r="O3386" s="43"/>
      <c r="P3386" s="43"/>
      <c r="Q3386" s="43"/>
      <c r="R3386" s="43"/>
      <c r="S3386" s="43"/>
      <c r="T3386" s="43"/>
      <c r="U3386" s="43"/>
      <c r="V3386" s="41"/>
      <c r="W3386" s="41"/>
      <c r="X3386" s="41"/>
      <c r="Y3386" s="41"/>
      <c r="Z3386" s="41"/>
      <c r="AA3386" s="44"/>
      <c r="AB3386" s="44"/>
      <c r="AC3386" s="43"/>
      <c r="AD3386" s="43"/>
      <c r="AE3386" s="43"/>
    </row>
    <row r="3387" spans="1:31" x14ac:dyDescent="0.35">
      <c r="C3387" s="33"/>
      <c r="D3387" s="34"/>
      <c r="E3387" s="34"/>
      <c r="F3387" s="34"/>
      <c r="G3387" s="34"/>
      <c r="H3387" s="34"/>
      <c r="I3387" s="34"/>
      <c r="J3387" s="34"/>
      <c r="K3387" s="34"/>
      <c r="L3387" s="34"/>
      <c r="M3387" s="34"/>
      <c r="N3387" s="34"/>
      <c r="O3387" s="34"/>
      <c r="AA3387" s="35"/>
      <c r="AB3387" s="35"/>
      <c r="AC3387" s="34"/>
      <c r="AD3387" s="34"/>
      <c r="AE3387" s="34"/>
    </row>
    <row r="3388" spans="1:31" ht="15" thickBot="1" x14ac:dyDescent="0.4">
      <c r="A3388" s="45"/>
      <c r="B3388" s="45"/>
      <c r="C3388" s="46"/>
      <c r="D3388" s="47"/>
      <c r="E3388" s="47"/>
      <c r="F3388" s="47"/>
      <c r="G3388" s="47"/>
      <c r="H3388" s="47"/>
      <c r="I3388" s="47"/>
      <c r="J3388" s="47"/>
      <c r="K3388" s="47"/>
      <c r="L3388" s="47"/>
      <c r="M3388" s="47"/>
      <c r="N3388" s="47"/>
      <c r="O3388" s="47"/>
      <c r="P3388" s="47"/>
      <c r="Q3388" s="47"/>
      <c r="R3388" s="47"/>
      <c r="S3388" s="47"/>
      <c r="T3388" s="45"/>
      <c r="U3388" s="45"/>
      <c r="V3388" s="45"/>
      <c r="W3388" s="45"/>
      <c r="X3388" s="47"/>
      <c r="Y3388" s="45"/>
      <c r="Z3388" s="45"/>
      <c r="AA3388" s="48"/>
      <c r="AB3388" s="48"/>
      <c r="AC3388" s="47"/>
      <c r="AD3388" s="47"/>
      <c r="AE3388" s="47"/>
    </row>
    <row r="3389" spans="1:31" x14ac:dyDescent="0.35">
      <c r="A3389" s="41"/>
      <c r="B3389" s="41"/>
      <c r="C3389" s="42"/>
      <c r="D3389" s="43"/>
      <c r="E3389" s="43"/>
      <c r="F3389" s="43"/>
      <c r="G3389" s="43"/>
      <c r="H3389" s="43"/>
      <c r="I3389" s="43"/>
      <c r="J3389" s="43"/>
      <c r="K3389" s="43"/>
      <c r="L3389" s="43"/>
      <c r="M3389" s="43"/>
      <c r="N3389" s="43"/>
      <c r="O3389" s="43"/>
      <c r="P3389" s="43"/>
      <c r="Q3389" s="43"/>
      <c r="R3389" s="43"/>
      <c r="S3389" s="43"/>
      <c r="T3389" s="43"/>
      <c r="U3389" s="43"/>
      <c r="V3389" s="41"/>
      <c r="W3389" s="41"/>
      <c r="X3389" s="41"/>
      <c r="Y3389" s="41"/>
      <c r="Z3389" s="41"/>
      <c r="AA3389" s="44"/>
      <c r="AB3389" s="44"/>
      <c r="AC3389" s="43"/>
      <c r="AD3389" s="43"/>
      <c r="AE3389" s="43"/>
    </row>
    <row r="3390" spans="1:31" x14ac:dyDescent="0.35">
      <c r="C3390" s="33"/>
      <c r="D3390" s="34"/>
      <c r="E3390" s="34"/>
      <c r="F3390" s="34"/>
      <c r="G3390" s="34"/>
      <c r="H3390" s="34"/>
      <c r="I3390" s="34"/>
      <c r="J3390" s="34"/>
      <c r="K3390" s="34"/>
      <c r="L3390" s="34"/>
      <c r="M3390" s="34"/>
      <c r="N3390" s="34"/>
      <c r="O3390" s="34"/>
      <c r="AA3390" s="35"/>
      <c r="AB3390" s="35"/>
      <c r="AC3390" s="34"/>
      <c r="AD3390" s="34"/>
      <c r="AE3390" s="34"/>
    </row>
    <row r="3391" spans="1:31" ht="15" thickBot="1" x14ac:dyDescent="0.4">
      <c r="A3391" s="45"/>
      <c r="B3391" s="45"/>
      <c r="C3391" s="46"/>
      <c r="D3391" s="47"/>
      <c r="E3391" s="47"/>
      <c r="F3391" s="47"/>
      <c r="G3391" s="47"/>
      <c r="H3391" s="47"/>
      <c r="I3391" s="47"/>
      <c r="J3391" s="47"/>
      <c r="K3391" s="47"/>
      <c r="L3391" s="47"/>
      <c r="M3391" s="47"/>
      <c r="N3391" s="47"/>
      <c r="O3391" s="47"/>
      <c r="P3391" s="47"/>
      <c r="Q3391" s="47"/>
      <c r="R3391" s="47"/>
      <c r="S3391" s="47"/>
      <c r="T3391" s="45"/>
      <c r="U3391" s="45"/>
      <c r="V3391" s="45"/>
      <c r="W3391" s="45"/>
      <c r="X3391" s="47"/>
      <c r="Y3391" s="45"/>
      <c r="Z3391" s="45"/>
      <c r="AA3391" s="48"/>
      <c r="AB3391" s="48"/>
      <c r="AC3391" s="47"/>
      <c r="AD3391" s="47"/>
      <c r="AE3391" s="47"/>
    </row>
    <row r="3392" spans="1:31" x14ac:dyDescent="0.35">
      <c r="A3392" s="41"/>
      <c r="B3392" s="41"/>
      <c r="C3392" s="42"/>
      <c r="D3392" s="43"/>
      <c r="E3392" s="43"/>
      <c r="F3392" s="43"/>
      <c r="G3392" s="43"/>
      <c r="H3392" s="43"/>
      <c r="I3392" s="43"/>
      <c r="J3392" s="43"/>
      <c r="K3392" s="43"/>
      <c r="L3392" s="43"/>
      <c r="M3392" s="43"/>
      <c r="N3392" s="43"/>
      <c r="O3392" s="43"/>
      <c r="P3392" s="43"/>
      <c r="Q3392" s="43"/>
      <c r="R3392" s="43"/>
      <c r="S3392" s="43"/>
      <c r="T3392" s="43"/>
      <c r="U3392" s="43"/>
      <c r="V3392" s="41"/>
      <c r="W3392" s="41"/>
      <c r="X3392" s="41"/>
      <c r="Y3392" s="41"/>
      <c r="Z3392" s="41"/>
      <c r="AA3392" s="44"/>
      <c r="AB3392" s="44"/>
      <c r="AC3392" s="43"/>
      <c r="AD3392" s="43"/>
      <c r="AE3392" s="43"/>
    </row>
    <row r="3393" spans="1:31" x14ac:dyDescent="0.35">
      <c r="C3393" s="33"/>
      <c r="D3393" s="34"/>
      <c r="E3393" s="34"/>
      <c r="F3393" s="34"/>
      <c r="G3393" s="34"/>
      <c r="H3393" s="34"/>
      <c r="I3393" s="34"/>
      <c r="J3393" s="34"/>
      <c r="K3393" s="34"/>
      <c r="L3393" s="34"/>
      <c r="M3393" s="34"/>
      <c r="N3393" s="34"/>
      <c r="O3393" s="34"/>
      <c r="AA3393" s="35"/>
      <c r="AB3393" s="35"/>
      <c r="AC3393" s="34"/>
      <c r="AD3393" s="34"/>
      <c r="AE3393" s="34"/>
    </row>
    <row r="3394" spans="1:31" ht="15" thickBot="1" x14ac:dyDescent="0.4">
      <c r="A3394" s="45"/>
      <c r="B3394" s="45"/>
      <c r="C3394" s="46"/>
      <c r="D3394" s="47"/>
      <c r="E3394" s="47"/>
      <c r="F3394" s="47"/>
      <c r="G3394" s="47"/>
      <c r="H3394" s="47"/>
      <c r="I3394" s="47"/>
      <c r="J3394" s="47"/>
      <c r="K3394" s="47"/>
      <c r="L3394" s="47"/>
      <c r="M3394" s="47"/>
      <c r="N3394" s="47"/>
      <c r="O3394" s="47"/>
      <c r="P3394" s="47"/>
      <c r="Q3394" s="47"/>
      <c r="R3394" s="47"/>
      <c r="S3394" s="47"/>
      <c r="T3394" s="45"/>
      <c r="U3394" s="45"/>
      <c r="V3394" s="45"/>
      <c r="W3394" s="45"/>
      <c r="X3394" s="47"/>
      <c r="Y3394" s="45"/>
      <c r="Z3394" s="45"/>
      <c r="AA3394" s="48"/>
      <c r="AB3394" s="48"/>
      <c r="AC3394" s="47"/>
      <c r="AD3394" s="47"/>
      <c r="AE3394" s="47"/>
    </row>
    <row r="3395" spans="1:31" x14ac:dyDescent="0.35">
      <c r="A3395" s="41"/>
      <c r="B3395" s="41"/>
      <c r="C3395" s="42"/>
      <c r="D3395" s="43"/>
      <c r="E3395" s="43"/>
      <c r="F3395" s="43"/>
      <c r="G3395" s="43"/>
      <c r="H3395" s="43"/>
      <c r="I3395" s="43"/>
      <c r="J3395" s="43"/>
      <c r="K3395" s="43"/>
      <c r="L3395" s="43"/>
      <c r="M3395" s="43"/>
      <c r="N3395" s="43"/>
      <c r="O3395" s="43"/>
      <c r="P3395" s="43"/>
      <c r="Q3395" s="43"/>
      <c r="R3395" s="43"/>
      <c r="S3395" s="43"/>
      <c r="T3395" s="43"/>
      <c r="U3395" s="43"/>
      <c r="V3395" s="41"/>
      <c r="W3395" s="41"/>
      <c r="X3395" s="41"/>
      <c r="Y3395" s="41"/>
      <c r="Z3395" s="41"/>
      <c r="AA3395" s="44"/>
      <c r="AB3395" s="44"/>
      <c r="AC3395" s="43"/>
      <c r="AD3395" s="43"/>
      <c r="AE3395" s="43"/>
    </row>
    <row r="3396" spans="1:31" x14ac:dyDescent="0.35">
      <c r="C3396" s="33"/>
      <c r="D3396" s="34"/>
      <c r="E3396" s="34"/>
      <c r="F3396" s="34"/>
      <c r="G3396" s="34"/>
      <c r="H3396" s="34"/>
      <c r="I3396" s="34"/>
      <c r="J3396" s="34"/>
      <c r="K3396" s="34"/>
      <c r="L3396" s="34"/>
      <c r="M3396" s="34"/>
      <c r="N3396" s="34"/>
      <c r="O3396" s="34"/>
      <c r="AA3396" s="35"/>
      <c r="AB3396" s="35"/>
      <c r="AC3396" s="34"/>
      <c r="AD3396" s="34"/>
      <c r="AE3396" s="34"/>
    </row>
    <row r="3397" spans="1:31" ht="15" thickBot="1" x14ac:dyDescent="0.4">
      <c r="A3397" s="45"/>
      <c r="B3397" s="45"/>
      <c r="C3397" s="46"/>
      <c r="D3397" s="47"/>
      <c r="E3397" s="47"/>
      <c r="F3397" s="47"/>
      <c r="G3397" s="47"/>
      <c r="H3397" s="47"/>
      <c r="I3397" s="47"/>
      <c r="J3397" s="47"/>
      <c r="K3397" s="47"/>
      <c r="L3397" s="47"/>
      <c r="M3397" s="47"/>
      <c r="N3397" s="47"/>
      <c r="O3397" s="47"/>
      <c r="P3397" s="47"/>
      <c r="Q3397" s="47"/>
      <c r="R3397" s="47"/>
      <c r="S3397" s="47"/>
      <c r="T3397" s="45"/>
      <c r="U3397" s="45"/>
      <c r="V3397" s="45"/>
      <c r="W3397" s="45"/>
      <c r="X3397" s="47"/>
      <c r="Y3397" s="45"/>
      <c r="Z3397" s="45"/>
      <c r="AA3397" s="48"/>
      <c r="AB3397" s="48"/>
      <c r="AC3397" s="47"/>
      <c r="AD3397" s="47"/>
      <c r="AE3397" s="47"/>
    </row>
    <row r="3398" spans="1:31" x14ac:dyDescent="0.35">
      <c r="A3398" s="41"/>
      <c r="B3398" s="41"/>
      <c r="C3398" s="42"/>
      <c r="D3398" s="43"/>
      <c r="E3398" s="43"/>
      <c r="F3398" s="43"/>
      <c r="G3398" s="43"/>
      <c r="H3398" s="43"/>
      <c r="I3398" s="43"/>
      <c r="J3398" s="43"/>
      <c r="K3398" s="43"/>
      <c r="L3398" s="43"/>
      <c r="M3398" s="43"/>
      <c r="N3398" s="43"/>
      <c r="O3398" s="43"/>
      <c r="P3398" s="43"/>
      <c r="Q3398" s="43"/>
      <c r="R3398" s="43"/>
      <c r="S3398" s="43"/>
      <c r="T3398" s="43"/>
      <c r="U3398" s="43"/>
      <c r="V3398" s="41"/>
      <c r="W3398" s="41"/>
      <c r="X3398" s="41"/>
      <c r="Y3398" s="41"/>
      <c r="Z3398" s="41"/>
      <c r="AA3398" s="44"/>
      <c r="AB3398" s="44"/>
      <c r="AC3398" s="43"/>
      <c r="AD3398" s="43"/>
      <c r="AE3398" s="43"/>
    </row>
    <row r="3399" spans="1:31" x14ac:dyDescent="0.35">
      <c r="C3399" s="33"/>
      <c r="D3399" s="34"/>
      <c r="E3399" s="34"/>
      <c r="F3399" s="34"/>
      <c r="G3399" s="34"/>
      <c r="H3399" s="34"/>
      <c r="I3399" s="34"/>
      <c r="J3399" s="34"/>
      <c r="K3399" s="34"/>
      <c r="L3399" s="34"/>
      <c r="M3399" s="34"/>
      <c r="N3399" s="34"/>
      <c r="O3399" s="34"/>
      <c r="AA3399" s="35"/>
      <c r="AB3399" s="35"/>
      <c r="AC3399" s="34"/>
      <c r="AD3399" s="34"/>
      <c r="AE3399" s="34"/>
    </row>
    <row r="3400" spans="1:31" ht="15" thickBot="1" x14ac:dyDescent="0.4">
      <c r="A3400" s="45"/>
      <c r="B3400" s="45"/>
      <c r="C3400" s="46"/>
      <c r="D3400" s="47"/>
      <c r="E3400" s="47"/>
      <c r="F3400" s="47"/>
      <c r="G3400" s="47"/>
      <c r="H3400" s="47"/>
      <c r="I3400" s="47"/>
      <c r="J3400" s="47"/>
      <c r="K3400" s="47"/>
      <c r="L3400" s="47"/>
      <c r="M3400" s="47"/>
      <c r="N3400" s="47"/>
      <c r="O3400" s="47"/>
      <c r="P3400" s="47"/>
      <c r="Q3400" s="47"/>
      <c r="R3400" s="47"/>
      <c r="S3400" s="47"/>
      <c r="T3400" s="45"/>
      <c r="U3400" s="45"/>
      <c r="V3400" s="45"/>
      <c r="W3400" s="45"/>
      <c r="X3400" s="47"/>
      <c r="Y3400" s="45"/>
      <c r="Z3400" s="45"/>
      <c r="AA3400" s="48"/>
      <c r="AB3400" s="48"/>
      <c r="AC3400" s="47"/>
      <c r="AD3400" s="47"/>
      <c r="AE3400" s="47"/>
    </row>
    <row r="3401" spans="1:31" x14ac:dyDescent="0.35">
      <c r="A3401" s="41"/>
      <c r="B3401" s="41"/>
      <c r="C3401" s="42"/>
      <c r="D3401" s="43"/>
      <c r="E3401" s="43"/>
      <c r="F3401" s="43"/>
      <c r="G3401" s="43"/>
      <c r="H3401" s="43"/>
      <c r="I3401" s="43"/>
      <c r="J3401" s="43"/>
      <c r="K3401" s="43"/>
      <c r="L3401" s="43"/>
      <c r="M3401" s="43"/>
      <c r="N3401" s="43"/>
      <c r="O3401" s="43"/>
      <c r="P3401" s="43"/>
      <c r="Q3401" s="43"/>
      <c r="R3401" s="43"/>
      <c r="S3401" s="43"/>
      <c r="T3401" s="43"/>
      <c r="U3401" s="43"/>
      <c r="V3401" s="41"/>
      <c r="W3401" s="41"/>
      <c r="X3401" s="41"/>
      <c r="Y3401" s="41"/>
      <c r="Z3401" s="41"/>
      <c r="AA3401" s="44"/>
      <c r="AB3401" s="44"/>
      <c r="AC3401" s="43"/>
      <c r="AD3401" s="43"/>
      <c r="AE3401" s="43"/>
    </row>
    <row r="3402" spans="1:31" x14ac:dyDescent="0.35">
      <c r="C3402" s="33"/>
      <c r="D3402" s="34"/>
      <c r="E3402" s="34"/>
      <c r="F3402" s="34"/>
      <c r="G3402" s="34"/>
      <c r="H3402" s="34"/>
      <c r="I3402" s="34"/>
      <c r="J3402" s="34"/>
      <c r="K3402" s="34"/>
      <c r="L3402" s="34"/>
      <c r="M3402" s="34"/>
      <c r="N3402" s="34"/>
      <c r="O3402" s="34"/>
      <c r="AA3402" s="35"/>
      <c r="AB3402" s="35"/>
      <c r="AC3402" s="34"/>
      <c r="AD3402" s="34"/>
      <c r="AE3402" s="34"/>
    </row>
    <row r="3403" spans="1:31" ht="15" thickBot="1" x14ac:dyDescent="0.4">
      <c r="A3403" s="45"/>
      <c r="B3403" s="45"/>
      <c r="C3403" s="46"/>
      <c r="D3403" s="47"/>
      <c r="E3403" s="47"/>
      <c r="F3403" s="47"/>
      <c r="G3403" s="47"/>
      <c r="H3403" s="47"/>
      <c r="I3403" s="47"/>
      <c r="J3403" s="47"/>
      <c r="K3403" s="47"/>
      <c r="L3403" s="47"/>
      <c r="M3403" s="47"/>
      <c r="N3403" s="47"/>
      <c r="O3403" s="47"/>
      <c r="P3403" s="47"/>
      <c r="Q3403" s="47"/>
      <c r="R3403" s="47"/>
      <c r="S3403" s="47"/>
      <c r="T3403" s="45"/>
      <c r="U3403" s="45"/>
      <c r="V3403" s="45"/>
      <c r="W3403" s="45"/>
      <c r="X3403" s="47"/>
      <c r="Y3403" s="45"/>
      <c r="Z3403" s="45"/>
      <c r="AA3403" s="48"/>
      <c r="AB3403" s="48"/>
      <c r="AC3403" s="47"/>
      <c r="AD3403" s="47"/>
      <c r="AE3403" s="47"/>
    </row>
    <row r="3404" spans="1:31" x14ac:dyDescent="0.35">
      <c r="A3404" s="41"/>
      <c r="B3404" s="41"/>
      <c r="C3404" s="42"/>
      <c r="D3404" s="43"/>
      <c r="E3404" s="43"/>
      <c r="F3404" s="43"/>
      <c r="G3404" s="43"/>
      <c r="H3404" s="43"/>
      <c r="I3404" s="43"/>
      <c r="J3404" s="43"/>
      <c r="K3404" s="43"/>
      <c r="L3404" s="43"/>
      <c r="M3404" s="43"/>
      <c r="N3404" s="43"/>
      <c r="O3404" s="43"/>
      <c r="P3404" s="43"/>
      <c r="Q3404" s="43"/>
      <c r="R3404" s="43"/>
      <c r="S3404" s="43"/>
      <c r="T3404" s="43"/>
      <c r="U3404" s="43"/>
      <c r="V3404" s="41"/>
      <c r="W3404" s="41"/>
      <c r="X3404" s="41"/>
      <c r="Y3404" s="41"/>
      <c r="Z3404" s="41"/>
      <c r="AA3404" s="44"/>
      <c r="AB3404" s="44"/>
      <c r="AC3404" s="43"/>
      <c r="AD3404" s="43"/>
      <c r="AE3404" s="43"/>
    </row>
    <row r="3405" spans="1:31" x14ac:dyDescent="0.35">
      <c r="C3405" s="33"/>
      <c r="D3405" s="34"/>
      <c r="E3405" s="34"/>
      <c r="F3405" s="34"/>
      <c r="G3405" s="34"/>
      <c r="H3405" s="34"/>
      <c r="I3405" s="34"/>
      <c r="J3405" s="34"/>
      <c r="K3405" s="34"/>
      <c r="L3405" s="34"/>
      <c r="M3405" s="34"/>
      <c r="N3405" s="34"/>
      <c r="O3405" s="34"/>
      <c r="AA3405" s="35"/>
      <c r="AB3405" s="35"/>
      <c r="AC3405" s="34"/>
      <c r="AD3405" s="34"/>
      <c r="AE3405" s="34"/>
    </row>
    <row r="3406" spans="1:31" ht="15" thickBot="1" x14ac:dyDescent="0.4">
      <c r="A3406" s="45"/>
      <c r="B3406" s="45"/>
      <c r="C3406" s="46"/>
      <c r="D3406" s="47"/>
      <c r="E3406" s="47"/>
      <c r="F3406" s="47"/>
      <c r="G3406" s="47"/>
      <c r="H3406" s="47"/>
      <c r="I3406" s="47"/>
      <c r="J3406" s="47"/>
      <c r="K3406" s="47"/>
      <c r="L3406" s="47"/>
      <c r="M3406" s="47"/>
      <c r="N3406" s="47"/>
      <c r="O3406" s="47"/>
      <c r="P3406" s="47"/>
      <c r="Q3406" s="47"/>
      <c r="R3406" s="47"/>
      <c r="S3406" s="47"/>
      <c r="T3406" s="45"/>
      <c r="U3406" s="45"/>
      <c r="V3406" s="45"/>
      <c r="W3406" s="45"/>
      <c r="X3406" s="47"/>
      <c r="Y3406" s="45"/>
      <c r="Z3406" s="45"/>
      <c r="AA3406" s="48"/>
      <c r="AB3406" s="48"/>
      <c r="AC3406" s="47"/>
      <c r="AD3406" s="47"/>
      <c r="AE3406" s="47"/>
    </row>
    <row r="3407" spans="1:31" x14ac:dyDescent="0.35">
      <c r="A3407" s="41"/>
      <c r="B3407" s="41"/>
      <c r="C3407" s="42"/>
      <c r="D3407" s="43"/>
      <c r="E3407" s="43"/>
      <c r="F3407" s="43"/>
      <c r="G3407" s="43"/>
      <c r="H3407" s="43"/>
      <c r="I3407" s="43"/>
      <c r="J3407" s="43"/>
      <c r="K3407" s="43"/>
      <c r="L3407" s="43"/>
      <c r="M3407" s="43"/>
      <c r="N3407" s="43"/>
      <c r="O3407" s="43"/>
      <c r="P3407" s="43"/>
      <c r="Q3407" s="43"/>
      <c r="R3407" s="43"/>
      <c r="S3407" s="43"/>
      <c r="T3407" s="43"/>
      <c r="U3407" s="43"/>
      <c r="V3407" s="41"/>
      <c r="W3407" s="41"/>
      <c r="X3407" s="41"/>
      <c r="Y3407" s="41"/>
      <c r="Z3407" s="41"/>
      <c r="AA3407" s="44"/>
      <c r="AB3407" s="44"/>
      <c r="AC3407" s="43"/>
      <c r="AD3407" s="43"/>
      <c r="AE3407" s="43"/>
    </row>
    <row r="3408" spans="1:31" x14ac:dyDescent="0.35">
      <c r="C3408" s="33"/>
      <c r="D3408" s="34"/>
      <c r="E3408" s="34"/>
      <c r="F3408" s="34"/>
      <c r="G3408" s="34"/>
      <c r="H3408" s="34"/>
      <c r="I3408" s="34"/>
      <c r="J3408" s="34"/>
      <c r="K3408" s="34"/>
      <c r="L3408" s="34"/>
      <c r="M3408" s="34"/>
      <c r="N3408" s="34"/>
      <c r="O3408" s="34"/>
      <c r="AA3408" s="35"/>
      <c r="AB3408" s="35"/>
      <c r="AC3408" s="34"/>
      <c r="AD3408" s="34"/>
      <c r="AE3408" s="34"/>
    </row>
    <row r="3409" spans="1:31" ht="15" thickBot="1" x14ac:dyDescent="0.4">
      <c r="A3409" s="45"/>
      <c r="B3409" s="45"/>
      <c r="C3409" s="46"/>
      <c r="D3409" s="47"/>
      <c r="E3409" s="47"/>
      <c r="F3409" s="47"/>
      <c r="G3409" s="47"/>
      <c r="H3409" s="47"/>
      <c r="I3409" s="47"/>
      <c r="J3409" s="47"/>
      <c r="K3409" s="47"/>
      <c r="L3409" s="47"/>
      <c r="M3409" s="47"/>
      <c r="N3409" s="47"/>
      <c r="O3409" s="47"/>
      <c r="P3409" s="47"/>
      <c r="Q3409" s="47"/>
      <c r="R3409" s="47"/>
      <c r="S3409" s="47"/>
      <c r="T3409" s="45"/>
      <c r="U3409" s="45"/>
      <c r="V3409" s="45"/>
      <c r="W3409" s="45"/>
      <c r="X3409" s="47"/>
      <c r="Y3409" s="45"/>
      <c r="Z3409" s="45"/>
      <c r="AA3409" s="48"/>
      <c r="AB3409" s="48"/>
      <c r="AC3409" s="47"/>
      <c r="AD3409" s="47"/>
      <c r="AE3409" s="47"/>
    </row>
    <row r="3410" spans="1:31" x14ac:dyDescent="0.35">
      <c r="A3410" s="41"/>
      <c r="B3410" s="41"/>
      <c r="C3410" s="42"/>
      <c r="D3410" s="43"/>
      <c r="E3410" s="43"/>
      <c r="F3410" s="43"/>
      <c r="G3410" s="43"/>
      <c r="H3410" s="43"/>
      <c r="I3410" s="43"/>
      <c r="J3410" s="43"/>
      <c r="K3410" s="43"/>
      <c r="L3410" s="43"/>
      <c r="M3410" s="43"/>
      <c r="N3410" s="43"/>
      <c r="O3410" s="43"/>
      <c r="P3410" s="43"/>
      <c r="Q3410" s="43"/>
      <c r="R3410" s="43"/>
      <c r="S3410" s="43"/>
      <c r="T3410" s="43"/>
      <c r="U3410" s="43"/>
      <c r="V3410" s="41"/>
      <c r="W3410" s="41"/>
      <c r="X3410" s="41"/>
      <c r="Y3410" s="41"/>
      <c r="Z3410" s="41"/>
      <c r="AA3410" s="44"/>
      <c r="AB3410" s="44"/>
      <c r="AC3410" s="43"/>
      <c r="AD3410" s="43"/>
      <c r="AE3410" s="43"/>
    </row>
    <row r="3411" spans="1:31" x14ac:dyDescent="0.35">
      <c r="C3411" s="33"/>
      <c r="D3411" s="34"/>
      <c r="E3411" s="34"/>
      <c r="F3411" s="34"/>
      <c r="G3411" s="34"/>
      <c r="H3411" s="34"/>
      <c r="I3411" s="34"/>
      <c r="J3411" s="34"/>
      <c r="K3411" s="34"/>
      <c r="L3411" s="34"/>
      <c r="M3411" s="34"/>
      <c r="N3411" s="34"/>
      <c r="O3411" s="34"/>
      <c r="AA3411" s="35"/>
      <c r="AB3411" s="35"/>
      <c r="AC3411" s="34"/>
      <c r="AD3411" s="34"/>
      <c r="AE3411" s="34"/>
    </row>
    <row r="3412" spans="1:31" ht="15" thickBot="1" x14ac:dyDescent="0.4">
      <c r="A3412" s="45"/>
      <c r="B3412" s="45"/>
      <c r="C3412" s="46"/>
      <c r="D3412" s="47"/>
      <c r="E3412" s="47"/>
      <c r="F3412" s="47"/>
      <c r="G3412" s="47"/>
      <c r="H3412" s="47"/>
      <c r="I3412" s="47"/>
      <c r="J3412" s="47"/>
      <c r="K3412" s="47"/>
      <c r="L3412" s="47"/>
      <c r="M3412" s="47"/>
      <c r="N3412" s="47"/>
      <c r="O3412" s="47"/>
      <c r="P3412" s="47"/>
      <c r="Q3412" s="47"/>
      <c r="R3412" s="47"/>
      <c r="S3412" s="47"/>
      <c r="T3412" s="45"/>
      <c r="U3412" s="45"/>
      <c r="V3412" s="45"/>
      <c r="W3412" s="45"/>
      <c r="X3412" s="47"/>
      <c r="Y3412" s="45"/>
      <c r="Z3412" s="45"/>
      <c r="AA3412" s="48"/>
      <c r="AB3412" s="48"/>
      <c r="AC3412" s="47"/>
      <c r="AD3412" s="47"/>
      <c r="AE3412" s="47"/>
    </row>
    <row r="3413" spans="1:31" x14ac:dyDescent="0.35">
      <c r="A3413" s="41"/>
      <c r="B3413" s="41"/>
      <c r="C3413" s="42"/>
      <c r="D3413" s="43"/>
      <c r="E3413" s="43"/>
      <c r="F3413" s="43"/>
      <c r="G3413" s="43"/>
      <c r="H3413" s="43"/>
      <c r="I3413" s="43"/>
      <c r="J3413" s="43"/>
      <c r="K3413" s="43"/>
      <c r="L3413" s="43"/>
      <c r="M3413" s="43"/>
      <c r="N3413" s="43"/>
      <c r="O3413" s="43"/>
      <c r="P3413" s="43"/>
      <c r="Q3413" s="43"/>
      <c r="R3413" s="43"/>
      <c r="S3413" s="43"/>
      <c r="T3413" s="43"/>
      <c r="U3413" s="43"/>
      <c r="V3413" s="41"/>
      <c r="W3413" s="41"/>
      <c r="X3413" s="41"/>
      <c r="Y3413" s="41"/>
      <c r="Z3413" s="41"/>
      <c r="AA3413" s="44"/>
      <c r="AB3413" s="44"/>
      <c r="AC3413" s="43"/>
      <c r="AD3413" s="43"/>
      <c r="AE3413" s="43"/>
    </row>
    <row r="3414" spans="1:31" x14ac:dyDescent="0.35">
      <c r="C3414" s="33"/>
      <c r="D3414" s="34"/>
      <c r="E3414" s="34"/>
      <c r="F3414" s="34"/>
      <c r="G3414" s="34"/>
      <c r="H3414" s="34"/>
      <c r="I3414" s="34"/>
      <c r="J3414" s="34"/>
      <c r="K3414" s="34"/>
      <c r="L3414" s="34"/>
      <c r="M3414" s="34"/>
      <c r="N3414" s="34"/>
      <c r="O3414" s="34"/>
      <c r="AA3414" s="35"/>
      <c r="AB3414" s="35"/>
      <c r="AC3414" s="34"/>
      <c r="AD3414" s="34"/>
      <c r="AE3414" s="34"/>
    </row>
    <row r="3415" spans="1:31" ht="15" thickBot="1" x14ac:dyDescent="0.4">
      <c r="A3415" s="45"/>
      <c r="B3415" s="45"/>
      <c r="C3415" s="46"/>
      <c r="D3415" s="47"/>
      <c r="E3415" s="47"/>
      <c r="F3415" s="47"/>
      <c r="G3415" s="47"/>
      <c r="H3415" s="47"/>
      <c r="I3415" s="47"/>
      <c r="J3415" s="47"/>
      <c r="K3415" s="47"/>
      <c r="L3415" s="47"/>
      <c r="M3415" s="47"/>
      <c r="N3415" s="47"/>
      <c r="O3415" s="47"/>
      <c r="P3415" s="47"/>
      <c r="Q3415" s="47"/>
      <c r="R3415" s="47"/>
      <c r="S3415" s="47"/>
      <c r="T3415" s="45"/>
      <c r="U3415" s="45"/>
      <c r="V3415" s="45"/>
      <c r="W3415" s="45"/>
      <c r="X3415" s="47"/>
      <c r="Y3415" s="45"/>
      <c r="Z3415" s="45"/>
      <c r="AA3415" s="48"/>
      <c r="AB3415" s="48"/>
      <c r="AC3415" s="47"/>
      <c r="AD3415" s="47"/>
      <c r="AE3415" s="47"/>
    </row>
    <row r="3416" spans="1:31" x14ac:dyDescent="0.35">
      <c r="A3416" s="41"/>
      <c r="B3416" s="41"/>
      <c r="C3416" s="42"/>
      <c r="D3416" s="43"/>
      <c r="E3416" s="43"/>
      <c r="F3416" s="43"/>
      <c r="G3416" s="43"/>
      <c r="H3416" s="43"/>
      <c r="I3416" s="43"/>
      <c r="J3416" s="43"/>
      <c r="K3416" s="43"/>
      <c r="L3416" s="43"/>
      <c r="M3416" s="43"/>
      <c r="N3416" s="43"/>
      <c r="O3416" s="43"/>
      <c r="P3416" s="43"/>
      <c r="Q3416" s="43"/>
      <c r="R3416" s="43"/>
      <c r="S3416" s="43"/>
      <c r="T3416" s="43"/>
      <c r="U3416" s="43"/>
      <c r="V3416" s="41"/>
      <c r="W3416" s="41"/>
      <c r="X3416" s="41"/>
      <c r="Y3416" s="41"/>
      <c r="Z3416" s="41"/>
      <c r="AA3416" s="44"/>
      <c r="AB3416" s="44"/>
      <c r="AC3416" s="43"/>
      <c r="AD3416" s="43"/>
      <c r="AE3416" s="43"/>
    </row>
    <row r="3417" spans="1:31" x14ac:dyDescent="0.35">
      <c r="C3417" s="33"/>
      <c r="D3417" s="34"/>
      <c r="E3417" s="34"/>
      <c r="F3417" s="34"/>
      <c r="G3417" s="34"/>
      <c r="H3417" s="34"/>
      <c r="I3417" s="34"/>
      <c r="J3417" s="34"/>
      <c r="K3417" s="34"/>
      <c r="L3417" s="34"/>
      <c r="M3417" s="34"/>
      <c r="N3417" s="34"/>
      <c r="O3417" s="34"/>
      <c r="AA3417" s="35"/>
      <c r="AB3417" s="35"/>
      <c r="AC3417" s="34"/>
      <c r="AD3417" s="34"/>
      <c r="AE3417" s="34"/>
    </row>
    <row r="3418" spans="1:31" ht="15" thickBot="1" x14ac:dyDescent="0.4">
      <c r="A3418" s="45"/>
      <c r="B3418" s="45"/>
      <c r="C3418" s="46"/>
      <c r="D3418" s="47"/>
      <c r="E3418" s="47"/>
      <c r="F3418" s="47"/>
      <c r="G3418" s="47"/>
      <c r="H3418" s="47"/>
      <c r="I3418" s="47"/>
      <c r="J3418" s="47"/>
      <c r="K3418" s="47"/>
      <c r="L3418" s="47"/>
      <c r="M3418" s="47"/>
      <c r="N3418" s="47"/>
      <c r="O3418" s="47"/>
      <c r="P3418" s="47"/>
      <c r="Q3418" s="47"/>
      <c r="R3418" s="47"/>
      <c r="S3418" s="47"/>
      <c r="T3418" s="45"/>
      <c r="U3418" s="45"/>
      <c r="V3418" s="45"/>
      <c r="W3418" s="45"/>
      <c r="X3418" s="47"/>
      <c r="Y3418" s="45"/>
      <c r="Z3418" s="45"/>
      <c r="AA3418" s="48"/>
      <c r="AB3418" s="48"/>
      <c r="AC3418" s="47"/>
      <c r="AD3418" s="47"/>
      <c r="AE3418" s="47"/>
    </row>
    <row r="3419" spans="1:31" x14ac:dyDescent="0.35">
      <c r="A3419" s="41"/>
      <c r="B3419" s="41"/>
      <c r="C3419" s="42"/>
      <c r="D3419" s="43"/>
      <c r="E3419" s="43"/>
      <c r="F3419" s="43"/>
      <c r="G3419" s="43"/>
      <c r="H3419" s="43"/>
      <c r="I3419" s="43"/>
      <c r="J3419" s="43"/>
      <c r="K3419" s="43"/>
      <c r="L3419" s="43"/>
      <c r="M3419" s="43"/>
      <c r="N3419" s="43"/>
      <c r="O3419" s="43"/>
      <c r="P3419" s="43"/>
      <c r="Q3419" s="43"/>
      <c r="R3419" s="43"/>
      <c r="S3419" s="43"/>
      <c r="T3419" s="43"/>
      <c r="U3419" s="43"/>
      <c r="V3419" s="41"/>
      <c r="W3419" s="41"/>
      <c r="X3419" s="41"/>
      <c r="Y3419" s="41"/>
      <c r="Z3419" s="41"/>
      <c r="AA3419" s="44"/>
      <c r="AB3419" s="44"/>
      <c r="AC3419" s="43"/>
      <c r="AD3419" s="43"/>
      <c r="AE3419" s="43"/>
    </row>
    <row r="3420" spans="1:31" x14ac:dyDescent="0.35">
      <c r="C3420" s="33"/>
      <c r="D3420" s="34"/>
      <c r="E3420" s="34"/>
      <c r="F3420" s="34"/>
      <c r="G3420" s="34"/>
      <c r="H3420" s="34"/>
      <c r="I3420" s="34"/>
      <c r="J3420" s="34"/>
      <c r="K3420" s="34"/>
      <c r="L3420" s="34"/>
      <c r="M3420" s="34"/>
      <c r="N3420" s="34"/>
      <c r="O3420" s="34"/>
      <c r="AA3420" s="35"/>
      <c r="AB3420" s="35"/>
      <c r="AC3420" s="34"/>
      <c r="AD3420" s="34"/>
      <c r="AE3420" s="34"/>
    </row>
    <row r="3421" spans="1:31" ht="15" thickBot="1" x14ac:dyDescent="0.4">
      <c r="A3421" s="45"/>
      <c r="B3421" s="45"/>
      <c r="C3421" s="46"/>
      <c r="D3421" s="47"/>
      <c r="E3421" s="47"/>
      <c r="F3421" s="47"/>
      <c r="G3421" s="47"/>
      <c r="H3421" s="47"/>
      <c r="I3421" s="47"/>
      <c r="J3421" s="47"/>
      <c r="K3421" s="47"/>
      <c r="L3421" s="47"/>
      <c r="M3421" s="47"/>
      <c r="N3421" s="47"/>
      <c r="O3421" s="47"/>
      <c r="P3421" s="47"/>
      <c r="Q3421" s="47"/>
      <c r="R3421" s="47"/>
      <c r="S3421" s="47"/>
      <c r="T3421" s="45"/>
      <c r="U3421" s="45"/>
      <c r="V3421" s="45"/>
      <c r="W3421" s="45"/>
      <c r="X3421" s="47"/>
      <c r="Y3421" s="45"/>
      <c r="Z3421" s="45"/>
      <c r="AA3421" s="48"/>
      <c r="AB3421" s="48"/>
      <c r="AC3421" s="47"/>
      <c r="AD3421" s="47"/>
      <c r="AE3421" s="47"/>
    </row>
    <row r="3422" spans="1:31" x14ac:dyDescent="0.35">
      <c r="A3422" s="41"/>
      <c r="B3422" s="41"/>
      <c r="C3422" s="42"/>
      <c r="D3422" s="43"/>
      <c r="E3422" s="43"/>
      <c r="F3422" s="43"/>
      <c r="G3422" s="43"/>
      <c r="H3422" s="43"/>
      <c r="I3422" s="43"/>
      <c r="J3422" s="43"/>
      <c r="K3422" s="43"/>
      <c r="L3422" s="43"/>
      <c r="M3422" s="43"/>
      <c r="N3422" s="43"/>
      <c r="O3422" s="43"/>
      <c r="P3422" s="43"/>
      <c r="Q3422" s="43"/>
      <c r="R3422" s="43"/>
      <c r="S3422" s="43"/>
      <c r="T3422" s="43"/>
      <c r="U3422" s="43"/>
      <c r="V3422" s="41"/>
      <c r="W3422" s="41"/>
      <c r="X3422" s="41"/>
      <c r="Y3422" s="41"/>
      <c r="Z3422" s="41"/>
      <c r="AA3422" s="44"/>
      <c r="AB3422" s="44"/>
      <c r="AC3422" s="43"/>
      <c r="AD3422" s="43"/>
      <c r="AE3422" s="43"/>
    </row>
    <row r="3423" spans="1:31" x14ac:dyDescent="0.35">
      <c r="C3423" s="33"/>
      <c r="D3423" s="34"/>
      <c r="E3423" s="34"/>
      <c r="F3423" s="34"/>
      <c r="G3423" s="34"/>
      <c r="H3423" s="34"/>
      <c r="I3423" s="34"/>
      <c r="J3423" s="34"/>
      <c r="K3423" s="34"/>
      <c r="L3423" s="34"/>
      <c r="M3423" s="34"/>
      <c r="N3423" s="34"/>
      <c r="O3423" s="34"/>
      <c r="AA3423" s="35"/>
      <c r="AB3423" s="35"/>
      <c r="AC3423" s="34"/>
      <c r="AD3423" s="34"/>
      <c r="AE3423" s="34"/>
    </row>
    <row r="3424" spans="1:31" ht="15" thickBot="1" x14ac:dyDescent="0.4">
      <c r="A3424" s="45"/>
      <c r="B3424" s="45"/>
      <c r="C3424" s="46"/>
      <c r="D3424" s="47"/>
      <c r="E3424" s="47"/>
      <c r="F3424" s="47"/>
      <c r="G3424" s="47"/>
      <c r="H3424" s="47"/>
      <c r="I3424" s="47"/>
      <c r="J3424" s="47"/>
      <c r="K3424" s="47"/>
      <c r="L3424" s="47"/>
      <c r="M3424" s="47"/>
      <c r="N3424" s="47"/>
      <c r="O3424" s="47"/>
      <c r="P3424" s="47"/>
      <c r="Q3424" s="47"/>
      <c r="R3424" s="47"/>
      <c r="S3424" s="47"/>
      <c r="T3424" s="45"/>
      <c r="U3424" s="45"/>
      <c r="V3424" s="45"/>
      <c r="W3424" s="45"/>
      <c r="X3424" s="47"/>
      <c r="Y3424" s="45"/>
      <c r="Z3424" s="45"/>
      <c r="AA3424" s="48"/>
      <c r="AB3424" s="48"/>
      <c r="AC3424" s="47"/>
      <c r="AD3424" s="47"/>
      <c r="AE3424" s="47"/>
    </row>
    <row r="3425" spans="1:31" x14ac:dyDescent="0.35">
      <c r="A3425" s="41"/>
      <c r="B3425" s="41"/>
      <c r="C3425" s="42"/>
      <c r="D3425" s="43"/>
      <c r="E3425" s="43"/>
      <c r="F3425" s="43"/>
      <c r="G3425" s="43"/>
      <c r="H3425" s="43"/>
      <c r="I3425" s="43"/>
      <c r="J3425" s="43"/>
      <c r="K3425" s="43"/>
      <c r="L3425" s="43"/>
      <c r="M3425" s="43"/>
      <c r="N3425" s="43"/>
      <c r="O3425" s="43"/>
      <c r="P3425" s="43"/>
      <c r="Q3425" s="43"/>
      <c r="R3425" s="43"/>
      <c r="S3425" s="43"/>
      <c r="T3425" s="43"/>
      <c r="U3425" s="43"/>
      <c r="V3425" s="41"/>
      <c r="W3425" s="41"/>
      <c r="X3425" s="41"/>
      <c r="Y3425" s="41"/>
      <c r="Z3425" s="41"/>
      <c r="AA3425" s="44"/>
      <c r="AB3425" s="44"/>
      <c r="AC3425" s="43"/>
      <c r="AD3425" s="43"/>
      <c r="AE3425" s="43"/>
    </row>
    <row r="3426" spans="1:31" x14ac:dyDescent="0.35">
      <c r="C3426" s="33"/>
      <c r="D3426" s="34"/>
      <c r="E3426" s="34"/>
      <c r="F3426" s="34"/>
      <c r="G3426" s="34"/>
      <c r="H3426" s="34"/>
      <c r="I3426" s="34"/>
      <c r="J3426" s="34"/>
      <c r="K3426" s="34"/>
      <c r="L3426" s="34"/>
      <c r="M3426" s="34"/>
      <c r="N3426" s="34"/>
      <c r="O3426" s="34"/>
      <c r="AA3426" s="35"/>
      <c r="AB3426" s="35"/>
      <c r="AC3426" s="34"/>
      <c r="AD3426" s="34"/>
      <c r="AE3426" s="34"/>
    </row>
    <row r="3427" spans="1:31" ht="15" thickBot="1" x14ac:dyDescent="0.4">
      <c r="A3427" s="45"/>
      <c r="B3427" s="45"/>
      <c r="C3427" s="46"/>
      <c r="D3427" s="47"/>
      <c r="E3427" s="47"/>
      <c r="F3427" s="47"/>
      <c r="G3427" s="47"/>
      <c r="H3427" s="47"/>
      <c r="I3427" s="47"/>
      <c r="J3427" s="47"/>
      <c r="K3427" s="47"/>
      <c r="L3427" s="47"/>
      <c r="M3427" s="47"/>
      <c r="N3427" s="47"/>
      <c r="O3427" s="47"/>
      <c r="P3427" s="47"/>
      <c r="Q3427" s="47"/>
      <c r="R3427" s="47"/>
      <c r="S3427" s="47"/>
      <c r="T3427" s="45"/>
      <c r="U3427" s="45"/>
      <c r="V3427" s="45"/>
      <c r="W3427" s="45"/>
      <c r="X3427" s="47"/>
      <c r="Y3427" s="45"/>
      <c r="Z3427" s="45"/>
      <c r="AA3427" s="48"/>
      <c r="AB3427" s="48"/>
      <c r="AC3427" s="47"/>
      <c r="AD3427" s="47"/>
      <c r="AE3427" s="47"/>
    </row>
    <row r="3428" spans="1:31" x14ac:dyDescent="0.35">
      <c r="A3428" s="41"/>
      <c r="B3428" s="41"/>
      <c r="C3428" s="42"/>
      <c r="D3428" s="43"/>
      <c r="E3428" s="43"/>
      <c r="F3428" s="43"/>
      <c r="G3428" s="43"/>
      <c r="H3428" s="43"/>
      <c r="I3428" s="43"/>
      <c r="J3428" s="43"/>
      <c r="K3428" s="43"/>
      <c r="L3428" s="43"/>
      <c r="M3428" s="43"/>
      <c r="N3428" s="43"/>
      <c r="O3428" s="43"/>
      <c r="P3428" s="43"/>
      <c r="Q3428" s="43"/>
      <c r="R3428" s="43"/>
      <c r="S3428" s="43"/>
      <c r="T3428" s="43"/>
      <c r="U3428" s="43"/>
      <c r="V3428" s="41"/>
      <c r="W3428" s="41"/>
      <c r="X3428" s="41"/>
      <c r="Y3428" s="41"/>
      <c r="Z3428" s="41"/>
      <c r="AA3428" s="44"/>
      <c r="AB3428" s="44"/>
      <c r="AC3428" s="43"/>
      <c r="AD3428" s="43"/>
      <c r="AE3428" s="43"/>
    </row>
    <row r="3429" spans="1:31" x14ac:dyDescent="0.35">
      <c r="C3429" s="33"/>
      <c r="D3429" s="34"/>
      <c r="E3429" s="34"/>
      <c r="F3429" s="34"/>
      <c r="G3429" s="34"/>
      <c r="H3429" s="34"/>
      <c r="I3429" s="34"/>
      <c r="J3429" s="34"/>
      <c r="K3429" s="34"/>
      <c r="L3429" s="34"/>
      <c r="M3429" s="34"/>
      <c r="N3429" s="34"/>
      <c r="O3429" s="34"/>
      <c r="AA3429" s="35"/>
      <c r="AB3429" s="35"/>
      <c r="AC3429" s="34"/>
      <c r="AD3429" s="34"/>
      <c r="AE3429" s="34"/>
    </row>
    <row r="3430" spans="1:31" ht="15" thickBot="1" x14ac:dyDescent="0.4">
      <c r="A3430" s="45"/>
      <c r="B3430" s="45"/>
      <c r="C3430" s="46"/>
      <c r="D3430" s="47"/>
      <c r="E3430" s="47"/>
      <c r="F3430" s="47"/>
      <c r="G3430" s="47"/>
      <c r="H3430" s="47"/>
      <c r="I3430" s="47"/>
      <c r="J3430" s="47"/>
      <c r="K3430" s="47"/>
      <c r="L3430" s="47"/>
      <c r="M3430" s="47"/>
      <c r="N3430" s="47"/>
      <c r="O3430" s="47"/>
      <c r="P3430" s="47"/>
      <c r="Q3430" s="47"/>
      <c r="R3430" s="47"/>
      <c r="S3430" s="47"/>
      <c r="T3430" s="45"/>
      <c r="U3430" s="45"/>
      <c r="V3430" s="45"/>
      <c r="W3430" s="45"/>
      <c r="X3430" s="47"/>
      <c r="Y3430" s="45"/>
      <c r="Z3430" s="45"/>
      <c r="AA3430" s="48"/>
      <c r="AB3430" s="48"/>
      <c r="AC3430" s="47"/>
      <c r="AD3430" s="47"/>
      <c r="AE3430" s="47"/>
    </row>
    <row r="3431" spans="1:31" x14ac:dyDescent="0.35">
      <c r="A3431" s="41"/>
      <c r="B3431" s="41"/>
      <c r="C3431" s="42"/>
      <c r="D3431" s="43"/>
      <c r="E3431" s="43"/>
      <c r="F3431" s="43"/>
      <c r="G3431" s="43"/>
      <c r="H3431" s="43"/>
      <c r="I3431" s="43"/>
      <c r="J3431" s="43"/>
      <c r="K3431" s="43"/>
      <c r="L3431" s="43"/>
      <c r="M3431" s="43"/>
      <c r="N3431" s="43"/>
      <c r="O3431" s="43"/>
      <c r="P3431" s="43"/>
      <c r="Q3431" s="43"/>
      <c r="R3431" s="43"/>
      <c r="S3431" s="43"/>
      <c r="T3431" s="43"/>
      <c r="U3431" s="43"/>
      <c r="V3431" s="41"/>
      <c r="W3431" s="41"/>
      <c r="X3431" s="41"/>
      <c r="Y3431" s="41"/>
      <c r="Z3431" s="41"/>
      <c r="AA3431" s="44"/>
      <c r="AB3431" s="44"/>
      <c r="AC3431" s="43"/>
      <c r="AD3431" s="43"/>
      <c r="AE3431" s="43"/>
    </row>
    <row r="3432" spans="1:31" x14ac:dyDescent="0.35">
      <c r="C3432" s="33"/>
      <c r="D3432" s="34"/>
      <c r="E3432" s="34"/>
      <c r="F3432" s="34"/>
      <c r="G3432" s="34"/>
      <c r="H3432" s="34"/>
      <c r="I3432" s="34"/>
      <c r="J3432" s="34"/>
      <c r="K3432" s="34"/>
      <c r="L3432" s="34"/>
      <c r="M3432" s="34"/>
      <c r="N3432" s="34"/>
      <c r="O3432" s="34"/>
      <c r="AA3432" s="35"/>
      <c r="AB3432" s="35"/>
      <c r="AC3432" s="34"/>
      <c r="AD3432" s="34"/>
      <c r="AE3432" s="34"/>
    </row>
    <row r="3433" spans="1:31" ht="15" thickBot="1" x14ac:dyDescent="0.4">
      <c r="A3433" s="45"/>
      <c r="B3433" s="45"/>
      <c r="C3433" s="46"/>
      <c r="D3433" s="47"/>
      <c r="E3433" s="47"/>
      <c r="F3433" s="47"/>
      <c r="G3433" s="47"/>
      <c r="H3433" s="47"/>
      <c r="I3433" s="47"/>
      <c r="J3433" s="47"/>
      <c r="K3433" s="47"/>
      <c r="L3433" s="47"/>
      <c r="M3433" s="47"/>
      <c r="N3433" s="47"/>
      <c r="O3433" s="47"/>
      <c r="P3433" s="47"/>
      <c r="Q3433" s="47"/>
      <c r="R3433" s="47"/>
      <c r="S3433" s="47"/>
      <c r="T3433" s="45"/>
      <c r="U3433" s="45"/>
      <c r="V3433" s="45"/>
      <c r="W3433" s="45"/>
      <c r="X3433" s="47"/>
      <c r="Y3433" s="45"/>
      <c r="Z3433" s="45"/>
      <c r="AA3433" s="48"/>
      <c r="AB3433" s="48"/>
      <c r="AC3433" s="47"/>
      <c r="AD3433" s="47"/>
      <c r="AE3433" s="47"/>
    </row>
    <row r="3434" spans="1:31" x14ac:dyDescent="0.35">
      <c r="A3434" s="41"/>
      <c r="B3434" s="41"/>
      <c r="C3434" s="42"/>
      <c r="D3434" s="43"/>
      <c r="E3434" s="43"/>
      <c r="F3434" s="43"/>
      <c r="G3434" s="43"/>
      <c r="H3434" s="43"/>
      <c r="I3434" s="43"/>
      <c r="J3434" s="43"/>
      <c r="K3434" s="43"/>
      <c r="L3434" s="43"/>
      <c r="M3434" s="43"/>
      <c r="N3434" s="43"/>
      <c r="O3434" s="43"/>
      <c r="P3434" s="43"/>
      <c r="Q3434" s="43"/>
      <c r="R3434" s="43"/>
      <c r="S3434" s="43"/>
      <c r="T3434" s="43"/>
      <c r="U3434" s="43"/>
      <c r="V3434" s="41"/>
      <c r="W3434" s="41"/>
      <c r="X3434" s="41"/>
      <c r="Y3434" s="41"/>
      <c r="Z3434" s="41"/>
      <c r="AA3434" s="44"/>
      <c r="AB3434" s="44"/>
      <c r="AC3434" s="43"/>
      <c r="AD3434" s="43"/>
      <c r="AE3434" s="43"/>
    </row>
    <row r="3435" spans="1:31" x14ac:dyDescent="0.35">
      <c r="C3435" s="33"/>
      <c r="D3435" s="34"/>
      <c r="E3435" s="34"/>
      <c r="F3435" s="34"/>
      <c r="G3435" s="34"/>
      <c r="H3435" s="34"/>
      <c r="I3435" s="34"/>
      <c r="J3435" s="34"/>
      <c r="K3435" s="34"/>
      <c r="L3435" s="34"/>
      <c r="M3435" s="34"/>
      <c r="N3435" s="34"/>
      <c r="O3435" s="34"/>
      <c r="AA3435" s="35"/>
      <c r="AB3435" s="35"/>
      <c r="AC3435" s="34"/>
      <c r="AD3435" s="34"/>
      <c r="AE3435" s="34"/>
    </row>
    <row r="3436" spans="1:31" ht="15" thickBot="1" x14ac:dyDescent="0.4">
      <c r="A3436" s="45"/>
      <c r="B3436" s="45"/>
      <c r="C3436" s="46"/>
      <c r="D3436" s="47"/>
      <c r="E3436" s="47"/>
      <c r="F3436" s="47"/>
      <c r="G3436" s="47"/>
      <c r="H3436" s="47"/>
      <c r="I3436" s="47"/>
      <c r="J3436" s="47"/>
      <c r="K3436" s="47"/>
      <c r="L3436" s="47"/>
      <c r="M3436" s="47"/>
      <c r="N3436" s="47"/>
      <c r="O3436" s="47"/>
      <c r="P3436" s="47"/>
      <c r="Q3436" s="47"/>
      <c r="R3436" s="47"/>
      <c r="S3436" s="47"/>
      <c r="T3436" s="45"/>
      <c r="U3436" s="45"/>
      <c r="V3436" s="45"/>
      <c r="W3436" s="45"/>
      <c r="X3436" s="47"/>
      <c r="Y3436" s="45"/>
      <c r="Z3436" s="45"/>
      <c r="AA3436" s="48"/>
      <c r="AB3436" s="48"/>
      <c r="AC3436" s="47"/>
      <c r="AD3436" s="47"/>
      <c r="AE3436" s="47"/>
    </row>
    <row r="3437" spans="1:31" x14ac:dyDescent="0.35">
      <c r="A3437" s="41"/>
      <c r="B3437" s="41"/>
      <c r="C3437" s="42"/>
      <c r="D3437" s="43"/>
      <c r="E3437" s="43"/>
      <c r="F3437" s="43"/>
      <c r="G3437" s="43"/>
      <c r="H3437" s="43"/>
      <c r="I3437" s="43"/>
      <c r="J3437" s="43"/>
      <c r="K3437" s="43"/>
      <c r="L3437" s="43"/>
      <c r="M3437" s="43"/>
      <c r="N3437" s="43"/>
      <c r="O3437" s="43"/>
      <c r="P3437" s="43"/>
      <c r="Q3437" s="43"/>
      <c r="R3437" s="43"/>
      <c r="S3437" s="43"/>
      <c r="T3437" s="43"/>
      <c r="U3437" s="43"/>
      <c r="V3437" s="41"/>
      <c r="W3437" s="41"/>
      <c r="X3437" s="41"/>
      <c r="Y3437" s="41"/>
      <c r="Z3437" s="41"/>
      <c r="AA3437" s="44"/>
      <c r="AB3437" s="44"/>
      <c r="AC3437" s="43"/>
      <c r="AD3437" s="43"/>
      <c r="AE3437" s="43"/>
    </row>
    <row r="3438" spans="1:31" x14ac:dyDescent="0.35">
      <c r="C3438" s="33"/>
      <c r="D3438" s="34"/>
      <c r="E3438" s="34"/>
      <c r="F3438" s="34"/>
      <c r="G3438" s="34"/>
      <c r="H3438" s="34"/>
      <c r="I3438" s="34"/>
      <c r="J3438" s="34"/>
      <c r="K3438" s="34"/>
      <c r="L3438" s="34"/>
      <c r="M3438" s="34"/>
      <c r="N3438" s="34"/>
      <c r="O3438" s="34"/>
      <c r="AA3438" s="35"/>
      <c r="AB3438" s="35"/>
      <c r="AC3438" s="34"/>
      <c r="AD3438" s="34"/>
      <c r="AE3438" s="34"/>
    </row>
    <row r="3439" spans="1:31" ht="15" thickBot="1" x14ac:dyDescent="0.4">
      <c r="A3439" s="45"/>
      <c r="B3439" s="45"/>
      <c r="C3439" s="46"/>
      <c r="D3439" s="47"/>
      <c r="E3439" s="47"/>
      <c r="F3439" s="47"/>
      <c r="G3439" s="47"/>
      <c r="H3439" s="47"/>
      <c r="I3439" s="47"/>
      <c r="J3439" s="47"/>
      <c r="K3439" s="47"/>
      <c r="L3439" s="47"/>
      <c r="M3439" s="47"/>
      <c r="N3439" s="47"/>
      <c r="O3439" s="47"/>
      <c r="P3439" s="47"/>
      <c r="Q3439" s="47"/>
      <c r="R3439" s="47"/>
      <c r="S3439" s="47"/>
      <c r="T3439" s="45"/>
      <c r="U3439" s="45"/>
      <c r="V3439" s="45"/>
      <c r="W3439" s="45"/>
      <c r="X3439" s="47"/>
      <c r="Y3439" s="45"/>
      <c r="Z3439" s="45"/>
      <c r="AA3439" s="48"/>
      <c r="AB3439" s="48"/>
      <c r="AC3439" s="47"/>
      <c r="AD3439" s="47"/>
      <c r="AE3439" s="47"/>
    </row>
    <row r="3440" spans="1:31" x14ac:dyDescent="0.35">
      <c r="A3440" s="41"/>
      <c r="B3440" s="41"/>
      <c r="C3440" s="42"/>
      <c r="D3440" s="43"/>
      <c r="E3440" s="43"/>
      <c r="F3440" s="43"/>
      <c r="G3440" s="43"/>
      <c r="H3440" s="43"/>
      <c r="I3440" s="43"/>
      <c r="J3440" s="43"/>
      <c r="K3440" s="43"/>
      <c r="L3440" s="43"/>
      <c r="M3440" s="43"/>
      <c r="N3440" s="43"/>
      <c r="O3440" s="43"/>
      <c r="P3440" s="43"/>
      <c r="Q3440" s="43"/>
      <c r="R3440" s="43"/>
      <c r="S3440" s="43"/>
      <c r="T3440" s="43"/>
      <c r="U3440" s="43"/>
      <c r="V3440" s="41"/>
      <c r="W3440" s="41"/>
      <c r="X3440" s="41"/>
      <c r="Y3440" s="41"/>
      <c r="Z3440" s="41"/>
      <c r="AA3440" s="44"/>
      <c r="AB3440" s="44"/>
      <c r="AC3440" s="43"/>
      <c r="AD3440" s="43"/>
      <c r="AE3440" s="43"/>
    </row>
    <row r="3441" spans="1:31" x14ac:dyDescent="0.35">
      <c r="C3441" s="33"/>
      <c r="D3441" s="34"/>
      <c r="E3441" s="34"/>
      <c r="F3441" s="34"/>
      <c r="G3441" s="34"/>
      <c r="H3441" s="34"/>
      <c r="I3441" s="34"/>
      <c r="J3441" s="34"/>
      <c r="K3441" s="34"/>
      <c r="L3441" s="34"/>
      <c r="M3441" s="34"/>
      <c r="N3441" s="34"/>
      <c r="O3441" s="34"/>
      <c r="AA3441" s="35"/>
      <c r="AB3441" s="35"/>
      <c r="AC3441" s="34"/>
      <c r="AD3441" s="34"/>
      <c r="AE3441" s="34"/>
    </row>
    <row r="3442" spans="1:31" ht="15" thickBot="1" x14ac:dyDescent="0.4">
      <c r="A3442" s="45"/>
      <c r="B3442" s="45"/>
      <c r="C3442" s="46"/>
      <c r="D3442" s="47"/>
      <c r="E3442" s="47"/>
      <c r="F3442" s="47"/>
      <c r="G3442" s="47"/>
      <c r="H3442" s="47"/>
      <c r="I3442" s="47"/>
      <c r="J3442" s="47"/>
      <c r="K3442" s="47"/>
      <c r="L3442" s="47"/>
      <c r="M3442" s="47"/>
      <c r="N3442" s="47"/>
      <c r="O3442" s="47"/>
      <c r="P3442" s="47"/>
      <c r="Q3442" s="47"/>
      <c r="R3442" s="47"/>
      <c r="S3442" s="47"/>
      <c r="T3442" s="45"/>
      <c r="U3442" s="45"/>
      <c r="V3442" s="45"/>
      <c r="W3442" s="45"/>
      <c r="X3442" s="47"/>
      <c r="Y3442" s="45"/>
      <c r="Z3442" s="45"/>
      <c r="AA3442" s="48"/>
      <c r="AB3442" s="48"/>
      <c r="AC3442" s="47"/>
      <c r="AD3442" s="47"/>
      <c r="AE3442" s="47"/>
    </row>
    <row r="3443" spans="1:31" x14ac:dyDescent="0.35">
      <c r="A3443" s="41"/>
      <c r="B3443" s="41"/>
      <c r="C3443" s="42"/>
      <c r="D3443" s="43"/>
      <c r="E3443" s="43"/>
      <c r="F3443" s="43"/>
      <c r="G3443" s="43"/>
      <c r="H3443" s="43"/>
      <c r="I3443" s="43"/>
      <c r="J3443" s="43"/>
      <c r="K3443" s="43"/>
      <c r="L3443" s="43"/>
      <c r="M3443" s="43"/>
      <c r="N3443" s="43"/>
      <c r="O3443" s="43"/>
      <c r="P3443" s="43"/>
      <c r="Q3443" s="43"/>
      <c r="R3443" s="43"/>
      <c r="S3443" s="43"/>
      <c r="T3443" s="43"/>
      <c r="U3443" s="43"/>
      <c r="V3443" s="41"/>
      <c r="W3443" s="41"/>
      <c r="X3443" s="41"/>
      <c r="Y3443" s="41"/>
      <c r="Z3443" s="41"/>
      <c r="AA3443" s="44"/>
      <c r="AB3443" s="44"/>
      <c r="AC3443" s="43"/>
      <c r="AD3443" s="43"/>
      <c r="AE3443" s="43"/>
    </row>
    <row r="3444" spans="1:31" x14ac:dyDescent="0.35">
      <c r="C3444" s="33"/>
      <c r="D3444" s="34"/>
      <c r="E3444" s="34"/>
      <c r="F3444" s="34"/>
      <c r="G3444" s="34"/>
      <c r="H3444" s="34"/>
      <c r="I3444" s="34"/>
      <c r="J3444" s="34"/>
      <c r="K3444" s="34"/>
      <c r="L3444" s="34"/>
      <c r="M3444" s="34"/>
      <c r="N3444" s="34"/>
      <c r="O3444" s="34"/>
      <c r="AA3444" s="35"/>
      <c r="AB3444" s="35"/>
      <c r="AC3444" s="34"/>
      <c r="AD3444" s="34"/>
      <c r="AE3444" s="34"/>
    </row>
    <row r="3445" spans="1:31" ht="15" thickBot="1" x14ac:dyDescent="0.4">
      <c r="A3445" s="45"/>
      <c r="B3445" s="45"/>
      <c r="C3445" s="46"/>
      <c r="D3445" s="47"/>
      <c r="E3445" s="47"/>
      <c r="F3445" s="47"/>
      <c r="G3445" s="47"/>
      <c r="H3445" s="47"/>
      <c r="I3445" s="47"/>
      <c r="J3445" s="47"/>
      <c r="K3445" s="47"/>
      <c r="L3445" s="47"/>
      <c r="M3445" s="47"/>
      <c r="N3445" s="47"/>
      <c r="O3445" s="47"/>
      <c r="P3445" s="47"/>
      <c r="Q3445" s="47"/>
      <c r="R3445" s="47"/>
      <c r="S3445" s="47"/>
      <c r="T3445" s="45"/>
      <c r="U3445" s="45"/>
      <c r="V3445" s="45"/>
      <c r="W3445" s="45"/>
      <c r="X3445" s="47"/>
      <c r="Y3445" s="45"/>
      <c r="Z3445" s="45"/>
      <c r="AA3445" s="48"/>
      <c r="AB3445" s="48"/>
      <c r="AC3445" s="47"/>
      <c r="AD3445" s="47"/>
      <c r="AE3445" s="47"/>
    </row>
    <row r="3446" spans="1:31" x14ac:dyDescent="0.35">
      <c r="A3446" s="41"/>
      <c r="B3446" s="41"/>
      <c r="C3446" s="42"/>
      <c r="D3446" s="43"/>
      <c r="E3446" s="43"/>
      <c r="F3446" s="43"/>
      <c r="G3446" s="43"/>
      <c r="H3446" s="43"/>
      <c r="I3446" s="43"/>
      <c r="J3446" s="43"/>
      <c r="K3446" s="43"/>
      <c r="L3446" s="43"/>
      <c r="M3446" s="43"/>
      <c r="N3446" s="43"/>
      <c r="O3446" s="43"/>
      <c r="P3446" s="43"/>
      <c r="Q3446" s="43"/>
      <c r="R3446" s="43"/>
      <c r="S3446" s="43"/>
      <c r="T3446" s="43"/>
      <c r="U3446" s="43"/>
      <c r="V3446" s="41"/>
      <c r="W3446" s="41"/>
      <c r="X3446" s="41"/>
      <c r="Y3446" s="41"/>
      <c r="Z3446" s="41"/>
      <c r="AA3446" s="44"/>
      <c r="AB3446" s="44"/>
      <c r="AC3446" s="43"/>
      <c r="AD3446" s="43"/>
      <c r="AE3446" s="43"/>
    </row>
    <row r="3447" spans="1:31" x14ac:dyDescent="0.35">
      <c r="C3447" s="33"/>
      <c r="D3447" s="34"/>
      <c r="E3447" s="34"/>
      <c r="F3447" s="34"/>
      <c r="G3447" s="34"/>
      <c r="H3447" s="34"/>
      <c r="I3447" s="34"/>
      <c r="J3447" s="34"/>
      <c r="K3447" s="34"/>
      <c r="L3447" s="34"/>
      <c r="M3447" s="34"/>
      <c r="N3447" s="34"/>
      <c r="O3447" s="34"/>
      <c r="AA3447" s="35"/>
      <c r="AB3447" s="35"/>
      <c r="AC3447" s="34"/>
      <c r="AD3447" s="34"/>
      <c r="AE3447" s="34"/>
    </row>
    <row r="3448" spans="1:31" ht="15" thickBot="1" x14ac:dyDescent="0.4">
      <c r="A3448" s="45"/>
      <c r="B3448" s="45"/>
      <c r="C3448" s="46"/>
      <c r="D3448" s="47"/>
      <c r="E3448" s="47"/>
      <c r="F3448" s="47"/>
      <c r="G3448" s="47"/>
      <c r="H3448" s="47"/>
      <c r="I3448" s="47"/>
      <c r="J3448" s="47"/>
      <c r="K3448" s="47"/>
      <c r="L3448" s="47"/>
      <c r="M3448" s="47"/>
      <c r="N3448" s="47"/>
      <c r="O3448" s="47"/>
      <c r="P3448" s="47"/>
      <c r="Q3448" s="47"/>
      <c r="R3448" s="47"/>
      <c r="S3448" s="47"/>
      <c r="T3448" s="45"/>
      <c r="U3448" s="45"/>
      <c r="V3448" s="45"/>
      <c r="W3448" s="45"/>
      <c r="X3448" s="47"/>
      <c r="Y3448" s="45"/>
      <c r="Z3448" s="45"/>
      <c r="AA3448" s="48"/>
      <c r="AB3448" s="48"/>
      <c r="AC3448" s="47"/>
      <c r="AD3448" s="47"/>
      <c r="AE3448" s="47"/>
    </row>
    <row r="3449" spans="1:31" x14ac:dyDescent="0.35">
      <c r="A3449" s="41"/>
      <c r="B3449" s="41"/>
      <c r="C3449" s="42"/>
      <c r="D3449" s="43"/>
      <c r="E3449" s="43"/>
      <c r="F3449" s="43"/>
      <c r="G3449" s="43"/>
      <c r="H3449" s="43"/>
      <c r="I3449" s="43"/>
      <c r="J3449" s="43"/>
      <c r="K3449" s="43"/>
      <c r="L3449" s="43"/>
      <c r="M3449" s="43"/>
      <c r="N3449" s="43"/>
      <c r="O3449" s="43"/>
      <c r="P3449" s="43"/>
      <c r="Q3449" s="43"/>
      <c r="R3449" s="43"/>
      <c r="S3449" s="43"/>
      <c r="T3449" s="43"/>
      <c r="U3449" s="43"/>
      <c r="V3449" s="41"/>
      <c r="W3449" s="41"/>
      <c r="X3449" s="41"/>
      <c r="Y3449" s="41"/>
      <c r="Z3449" s="41"/>
      <c r="AA3449" s="44"/>
      <c r="AB3449" s="44"/>
      <c r="AC3449" s="43"/>
      <c r="AD3449" s="43"/>
      <c r="AE3449" s="43"/>
    </row>
    <row r="3450" spans="1:31" x14ac:dyDescent="0.35">
      <c r="C3450" s="33"/>
      <c r="D3450" s="34"/>
      <c r="E3450" s="34"/>
      <c r="F3450" s="34"/>
      <c r="G3450" s="34"/>
      <c r="H3450" s="34"/>
      <c r="I3450" s="34"/>
      <c r="J3450" s="34"/>
      <c r="K3450" s="34"/>
      <c r="L3450" s="34"/>
      <c r="M3450" s="34"/>
      <c r="N3450" s="34"/>
      <c r="O3450" s="34"/>
      <c r="AA3450" s="35"/>
      <c r="AB3450" s="35"/>
      <c r="AC3450" s="34"/>
      <c r="AD3450" s="34"/>
      <c r="AE3450" s="34"/>
    </row>
    <row r="3451" spans="1:31" ht="15" thickBot="1" x14ac:dyDescent="0.4">
      <c r="A3451" s="45"/>
      <c r="B3451" s="45"/>
      <c r="C3451" s="46"/>
      <c r="D3451" s="47"/>
      <c r="E3451" s="47"/>
      <c r="F3451" s="47"/>
      <c r="G3451" s="47"/>
      <c r="H3451" s="47"/>
      <c r="I3451" s="47"/>
      <c r="J3451" s="47"/>
      <c r="K3451" s="47"/>
      <c r="L3451" s="47"/>
      <c r="M3451" s="47"/>
      <c r="N3451" s="47"/>
      <c r="O3451" s="47"/>
      <c r="P3451" s="47"/>
      <c r="Q3451" s="47"/>
      <c r="R3451" s="47"/>
      <c r="S3451" s="47"/>
      <c r="T3451" s="45"/>
      <c r="U3451" s="45"/>
      <c r="V3451" s="45"/>
      <c r="W3451" s="45"/>
      <c r="X3451" s="47"/>
      <c r="Y3451" s="45"/>
      <c r="Z3451" s="45"/>
      <c r="AA3451" s="48"/>
      <c r="AB3451" s="48"/>
      <c r="AC3451" s="47"/>
      <c r="AD3451" s="47"/>
      <c r="AE3451" s="47"/>
    </row>
    <row r="3452" spans="1:31" x14ac:dyDescent="0.35">
      <c r="A3452" s="41"/>
      <c r="B3452" s="41"/>
      <c r="C3452" s="42"/>
      <c r="D3452" s="43"/>
      <c r="E3452" s="43"/>
      <c r="F3452" s="43"/>
      <c r="G3452" s="43"/>
      <c r="H3452" s="43"/>
      <c r="I3452" s="43"/>
      <c r="J3452" s="43"/>
      <c r="K3452" s="43"/>
      <c r="L3452" s="43"/>
      <c r="M3452" s="43"/>
      <c r="N3452" s="43"/>
      <c r="O3452" s="43"/>
      <c r="P3452" s="43"/>
      <c r="Q3452" s="43"/>
      <c r="R3452" s="43"/>
      <c r="S3452" s="43"/>
      <c r="T3452" s="43"/>
      <c r="U3452" s="43"/>
      <c r="V3452" s="41"/>
      <c r="W3452" s="41"/>
      <c r="X3452" s="41"/>
      <c r="Y3452" s="41"/>
      <c r="Z3452" s="41"/>
      <c r="AA3452" s="44"/>
      <c r="AB3452" s="44"/>
      <c r="AC3452" s="43"/>
      <c r="AD3452" s="43"/>
      <c r="AE3452" s="43"/>
    </row>
    <row r="3453" spans="1:31" x14ac:dyDescent="0.35">
      <c r="C3453" s="33"/>
      <c r="D3453" s="34"/>
      <c r="E3453" s="34"/>
      <c r="F3453" s="34"/>
      <c r="G3453" s="34"/>
      <c r="H3453" s="34"/>
      <c r="I3453" s="34"/>
      <c r="J3453" s="34"/>
      <c r="K3453" s="34"/>
      <c r="L3453" s="34"/>
      <c r="M3453" s="34"/>
      <c r="N3453" s="34"/>
      <c r="O3453" s="34"/>
      <c r="AA3453" s="35"/>
      <c r="AB3453" s="35"/>
      <c r="AC3453" s="34"/>
      <c r="AD3453" s="34"/>
      <c r="AE3453" s="34"/>
    </row>
    <row r="3454" spans="1:31" ht="15" thickBot="1" x14ac:dyDescent="0.4">
      <c r="A3454" s="45"/>
      <c r="B3454" s="45"/>
      <c r="C3454" s="46"/>
      <c r="D3454" s="47"/>
      <c r="E3454" s="47"/>
      <c r="F3454" s="47"/>
      <c r="G3454" s="47"/>
      <c r="H3454" s="47"/>
      <c r="I3454" s="47"/>
      <c r="J3454" s="47"/>
      <c r="K3454" s="47"/>
      <c r="L3454" s="47"/>
      <c r="M3454" s="47"/>
      <c r="N3454" s="47"/>
      <c r="O3454" s="47"/>
      <c r="P3454" s="47"/>
      <c r="Q3454" s="47"/>
      <c r="R3454" s="47"/>
      <c r="S3454" s="47"/>
      <c r="T3454" s="45"/>
      <c r="U3454" s="45"/>
      <c r="V3454" s="45"/>
      <c r="W3454" s="45"/>
      <c r="X3454" s="47"/>
      <c r="Y3454" s="45"/>
      <c r="Z3454" s="45"/>
      <c r="AA3454" s="48"/>
      <c r="AB3454" s="48"/>
      <c r="AC3454" s="47"/>
      <c r="AD3454" s="47"/>
      <c r="AE3454" s="47"/>
    </row>
    <row r="3455" spans="1:31" x14ac:dyDescent="0.35">
      <c r="A3455" s="41"/>
      <c r="B3455" s="41"/>
      <c r="C3455" s="42"/>
      <c r="D3455" s="43"/>
      <c r="E3455" s="43"/>
      <c r="F3455" s="43"/>
      <c r="G3455" s="43"/>
      <c r="H3455" s="43"/>
      <c r="I3455" s="43"/>
      <c r="J3455" s="43"/>
      <c r="K3455" s="43"/>
      <c r="L3455" s="43"/>
      <c r="M3455" s="43"/>
      <c r="N3455" s="43"/>
      <c r="O3455" s="43"/>
      <c r="P3455" s="43"/>
      <c r="Q3455" s="43"/>
      <c r="R3455" s="43"/>
      <c r="S3455" s="43"/>
      <c r="T3455" s="43"/>
      <c r="U3455" s="43"/>
      <c r="V3455" s="41"/>
      <c r="W3455" s="41"/>
      <c r="X3455" s="41"/>
      <c r="Y3455" s="41"/>
      <c r="Z3455" s="41"/>
      <c r="AA3455" s="44"/>
      <c r="AB3455" s="44"/>
      <c r="AC3455" s="43"/>
      <c r="AD3455" s="43"/>
      <c r="AE3455" s="43"/>
    </row>
    <row r="3456" spans="1:31" x14ac:dyDescent="0.35">
      <c r="C3456" s="33"/>
      <c r="D3456" s="34"/>
      <c r="E3456" s="34"/>
      <c r="F3456" s="34"/>
      <c r="G3456" s="34"/>
      <c r="H3456" s="34"/>
      <c r="I3456" s="34"/>
      <c r="J3456" s="34"/>
      <c r="K3456" s="34"/>
      <c r="L3456" s="34"/>
      <c r="M3456" s="34"/>
      <c r="N3456" s="34"/>
      <c r="O3456" s="34"/>
      <c r="AA3456" s="35"/>
      <c r="AB3456" s="35"/>
      <c r="AC3456" s="34"/>
      <c r="AD3456" s="34"/>
      <c r="AE3456" s="34"/>
    </row>
    <row r="3457" spans="1:31" ht="15" thickBot="1" x14ac:dyDescent="0.4">
      <c r="A3457" s="45"/>
      <c r="B3457" s="45"/>
      <c r="C3457" s="46"/>
      <c r="D3457" s="47"/>
      <c r="E3457" s="47"/>
      <c r="F3457" s="47"/>
      <c r="G3457" s="47"/>
      <c r="H3457" s="47"/>
      <c r="I3457" s="47"/>
      <c r="J3457" s="47"/>
      <c r="K3457" s="47"/>
      <c r="L3457" s="47"/>
      <c r="M3457" s="47"/>
      <c r="N3457" s="47"/>
      <c r="O3457" s="47"/>
      <c r="P3457" s="47"/>
      <c r="Q3457" s="47"/>
      <c r="R3457" s="47"/>
      <c r="S3457" s="47"/>
      <c r="T3457" s="45"/>
      <c r="U3457" s="45"/>
      <c r="V3457" s="45"/>
      <c r="W3457" s="45"/>
      <c r="X3457" s="47"/>
      <c r="Y3457" s="45"/>
      <c r="Z3457" s="45"/>
      <c r="AA3457" s="48"/>
      <c r="AB3457" s="48"/>
      <c r="AC3457" s="47"/>
      <c r="AD3457" s="47"/>
      <c r="AE3457" s="47"/>
    </row>
    <row r="3458" spans="1:31" x14ac:dyDescent="0.35">
      <c r="A3458" s="41"/>
      <c r="B3458" s="41"/>
      <c r="C3458" s="42"/>
      <c r="D3458" s="43"/>
      <c r="E3458" s="43"/>
      <c r="F3458" s="43"/>
      <c r="G3458" s="43"/>
      <c r="H3458" s="43"/>
      <c r="I3458" s="43"/>
      <c r="J3458" s="43"/>
      <c r="K3458" s="43"/>
      <c r="L3458" s="43"/>
      <c r="M3458" s="43"/>
      <c r="N3458" s="43"/>
      <c r="O3458" s="43"/>
      <c r="P3458" s="43"/>
      <c r="Q3458" s="43"/>
      <c r="R3458" s="43"/>
      <c r="S3458" s="43"/>
      <c r="T3458" s="43"/>
      <c r="U3458" s="43"/>
      <c r="V3458" s="41"/>
      <c r="W3458" s="41"/>
      <c r="X3458" s="41"/>
      <c r="Y3458" s="41"/>
      <c r="Z3458" s="41"/>
      <c r="AA3458" s="44"/>
      <c r="AB3458" s="44"/>
      <c r="AC3458" s="43"/>
      <c r="AD3458" s="43"/>
      <c r="AE3458" s="43"/>
    </row>
    <row r="3459" spans="1:31" x14ac:dyDescent="0.35">
      <c r="C3459" s="33"/>
      <c r="D3459" s="34"/>
      <c r="E3459" s="34"/>
      <c r="F3459" s="34"/>
      <c r="G3459" s="34"/>
      <c r="H3459" s="34"/>
      <c r="I3459" s="34"/>
      <c r="J3459" s="34"/>
      <c r="K3459" s="34"/>
      <c r="L3459" s="34"/>
      <c r="M3459" s="34"/>
      <c r="N3459" s="34"/>
      <c r="O3459" s="34"/>
      <c r="AA3459" s="35"/>
      <c r="AB3459" s="35"/>
      <c r="AC3459" s="34"/>
      <c r="AD3459" s="34"/>
      <c r="AE3459" s="34"/>
    </row>
    <row r="3460" spans="1:31" ht="15" thickBot="1" x14ac:dyDescent="0.4">
      <c r="A3460" s="45"/>
      <c r="B3460" s="45"/>
      <c r="C3460" s="46"/>
      <c r="D3460" s="47"/>
      <c r="E3460" s="47"/>
      <c r="F3460" s="47"/>
      <c r="G3460" s="47"/>
      <c r="H3460" s="47"/>
      <c r="I3460" s="47"/>
      <c r="J3460" s="47"/>
      <c r="K3460" s="47"/>
      <c r="L3460" s="47"/>
      <c r="M3460" s="47"/>
      <c r="N3460" s="47"/>
      <c r="O3460" s="47"/>
      <c r="P3460" s="47"/>
      <c r="Q3460" s="47"/>
      <c r="R3460" s="47"/>
      <c r="S3460" s="47"/>
      <c r="T3460" s="45"/>
      <c r="U3460" s="45"/>
      <c r="V3460" s="45"/>
      <c r="W3460" s="45"/>
      <c r="X3460" s="47"/>
      <c r="Y3460" s="45"/>
      <c r="Z3460" s="45"/>
      <c r="AA3460" s="48"/>
      <c r="AB3460" s="48"/>
      <c r="AC3460" s="47"/>
      <c r="AD3460" s="47"/>
      <c r="AE3460" s="47"/>
    </row>
    <row r="3461" spans="1:31" x14ac:dyDescent="0.35">
      <c r="A3461" s="41"/>
      <c r="B3461" s="41"/>
      <c r="C3461" s="42"/>
      <c r="D3461" s="43"/>
      <c r="E3461" s="43"/>
      <c r="F3461" s="43"/>
      <c r="G3461" s="43"/>
      <c r="H3461" s="43"/>
      <c r="I3461" s="43"/>
      <c r="J3461" s="43"/>
      <c r="K3461" s="43"/>
      <c r="L3461" s="43"/>
      <c r="M3461" s="43"/>
      <c r="N3461" s="43"/>
      <c r="O3461" s="43"/>
      <c r="P3461" s="43"/>
      <c r="Q3461" s="43"/>
      <c r="R3461" s="43"/>
      <c r="S3461" s="43"/>
      <c r="T3461" s="43"/>
      <c r="U3461" s="43"/>
      <c r="V3461" s="41"/>
      <c r="W3461" s="41"/>
      <c r="X3461" s="41"/>
      <c r="Y3461" s="41"/>
      <c r="Z3461" s="41"/>
      <c r="AA3461" s="44"/>
      <c r="AB3461" s="44"/>
      <c r="AC3461" s="43"/>
      <c r="AD3461" s="43"/>
      <c r="AE3461" s="43"/>
    </row>
    <row r="3462" spans="1:31" x14ac:dyDescent="0.35">
      <c r="C3462" s="33"/>
      <c r="D3462" s="34"/>
      <c r="E3462" s="34"/>
      <c r="F3462" s="34"/>
      <c r="G3462" s="34"/>
      <c r="H3462" s="34"/>
      <c r="I3462" s="34"/>
      <c r="J3462" s="34"/>
      <c r="K3462" s="34"/>
      <c r="L3462" s="34"/>
      <c r="M3462" s="34"/>
      <c r="N3462" s="34"/>
      <c r="O3462" s="34"/>
      <c r="AA3462" s="35"/>
      <c r="AB3462" s="35"/>
      <c r="AC3462" s="34"/>
      <c r="AD3462" s="34"/>
      <c r="AE3462" s="34"/>
    </row>
    <row r="3463" spans="1:31" ht="15" thickBot="1" x14ac:dyDescent="0.4">
      <c r="A3463" s="45"/>
      <c r="B3463" s="45"/>
      <c r="C3463" s="46"/>
      <c r="D3463" s="47"/>
      <c r="E3463" s="47"/>
      <c r="F3463" s="47"/>
      <c r="G3463" s="47"/>
      <c r="H3463" s="47"/>
      <c r="I3463" s="47"/>
      <c r="J3463" s="47"/>
      <c r="K3463" s="47"/>
      <c r="L3463" s="47"/>
      <c r="M3463" s="47"/>
      <c r="N3463" s="47"/>
      <c r="O3463" s="47"/>
      <c r="P3463" s="47"/>
      <c r="Q3463" s="47"/>
      <c r="R3463" s="47"/>
      <c r="S3463" s="47"/>
      <c r="T3463" s="45"/>
      <c r="U3463" s="45"/>
      <c r="V3463" s="45"/>
      <c r="W3463" s="45"/>
      <c r="X3463" s="47"/>
      <c r="Y3463" s="45"/>
      <c r="Z3463" s="45"/>
      <c r="AA3463" s="48"/>
      <c r="AB3463" s="48"/>
      <c r="AC3463" s="47"/>
      <c r="AD3463" s="47"/>
      <c r="AE3463" s="47"/>
    </row>
    <row r="3464" spans="1:31" x14ac:dyDescent="0.35">
      <c r="A3464" s="41"/>
      <c r="B3464" s="41"/>
      <c r="C3464" s="42"/>
      <c r="D3464" s="43"/>
      <c r="E3464" s="43"/>
      <c r="F3464" s="43"/>
      <c r="G3464" s="43"/>
      <c r="H3464" s="43"/>
      <c r="I3464" s="43"/>
      <c r="J3464" s="43"/>
      <c r="K3464" s="43"/>
      <c r="L3464" s="43"/>
      <c r="M3464" s="43"/>
      <c r="N3464" s="43"/>
      <c r="O3464" s="43"/>
      <c r="P3464" s="43"/>
      <c r="Q3464" s="43"/>
      <c r="R3464" s="43"/>
      <c r="S3464" s="43"/>
      <c r="T3464" s="43"/>
      <c r="U3464" s="43"/>
      <c r="V3464" s="41"/>
      <c r="W3464" s="41"/>
      <c r="X3464" s="41"/>
      <c r="Y3464" s="41"/>
      <c r="Z3464" s="41"/>
      <c r="AA3464" s="44"/>
      <c r="AB3464" s="44"/>
      <c r="AC3464" s="43"/>
      <c r="AD3464" s="43"/>
      <c r="AE3464" s="43"/>
    </row>
    <row r="3465" spans="1:31" x14ac:dyDescent="0.35">
      <c r="C3465" s="33"/>
      <c r="D3465" s="34"/>
      <c r="E3465" s="34"/>
      <c r="F3465" s="34"/>
      <c r="G3465" s="34"/>
      <c r="H3465" s="34"/>
      <c r="I3465" s="34"/>
      <c r="J3465" s="34"/>
      <c r="K3465" s="34"/>
      <c r="L3465" s="34"/>
      <c r="M3465" s="34"/>
      <c r="N3465" s="34"/>
      <c r="O3465" s="34"/>
      <c r="AA3465" s="35"/>
      <c r="AB3465" s="35"/>
      <c r="AC3465" s="34"/>
      <c r="AD3465" s="34"/>
      <c r="AE3465" s="34"/>
    </row>
    <row r="3466" spans="1:31" ht="15" thickBot="1" x14ac:dyDescent="0.4">
      <c r="A3466" s="45"/>
      <c r="B3466" s="45"/>
      <c r="C3466" s="46"/>
      <c r="D3466" s="47"/>
      <c r="E3466" s="47"/>
      <c r="F3466" s="47"/>
      <c r="G3466" s="47"/>
      <c r="H3466" s="47"/>
      <c r="I3466" s="47"/>
      <c r="J3466" s="47"/>
      <c r="K3466" s="47"/>
      <c r="L3466" s="47"/>
      <c r="M3466" s="47"/>
      <c r="N3466" s="47"/>
      <c r="O3466" s="47"/>
      <c r="P3466" s="47"/>
      <c r="Q3466" s="47"/>
      <c r="R3466" s="47"/>
      <c r="S3466" s="47"/>
      <c r="T3466" s="45"/>
      <c r="U3466" s="45"/>
      <c r="V3466" s="45"/>
      <c r="W3466" s="45"/>
      <c r="X3466" s="47"/>
      <c r="Y3466" s="45"/>
      <c r="Z3466" s="45"/>
      <c r="AA3466" s="48"/>
      <c r="AB3466" s="48"/>
      <c r="AC3466" s="47"/>
      <c r="AD3466" s="47"/>
      <c r="AE3466" s="47"/>
    </row>
    <row r="3467" spans="1:31" x14ac:dyDescent="0.35">
      <c r="A3467" s="41"/>
      <c r="B3467" s="41"/>
      <c r="C3467" s="42"/>
      <c r="D3467" s="43"/>
      <c r="E3467" s="43"/>
      <c r="F3467" s="43"/>
      <c r="G3467" s="43"/>
      <c r="H3467" s="43"/>
      <c r="I3467" s="43"/>
      <c r="J3467" s="43"/>
      <c r="K3467" s="43"/>
      <c r="L3467" s="43"/>
      <c r="M3467" s="43"/>
      <c r="N3467" s="43"/>
      <c r="O3467" s="43"/>
      <c r="P3467" s="43"/>
      <c r="Q3467" s="43"/>
      <c r="R3467" s="43"/>
      <c r="S3467" s="43"/>
      <c r="T3467" s="43"/>
      <c r="U3467" s="43"/>
      <c r="V3467" s="41"/>
      <c r="W3467" s="41"/>
      <c r="X3467" s="41"/>
      <c r="Y3467" s="41"/>
      <c r="Z3467" s="41"/>
      <c r="AA3467" s="44"/>
      <c r="AB3467" s="44"/>
      <c r="AC3467" s="43"/>
      <c r="AD3467" s="43"/>
      <c r="AE3467" s="43"/>
    </row>
    <row r="3468" spans="1:31" x14ac:dyDescent="0.35">
      <c r="C3468" s="33"/>
      <c r="D3468" s="34"/>
      <c r="E3468" s="34"/>
      <c r="F3468" s="34"/>
      <c r="G3468" s="34"/>
      <c r="H3468" s="34"/>
      <c r="I3468" s="34"/>
      <c r="J3468" s="34"/>
      <c r="K3468" s="34"/>
      <c r="L3468" s="34"/>
      <c r="M3468" s="34"/>
      <c r="N3468" s="34"/>
      <c r="O3468" s="34"/>
      <c r="AA3468" s="35"/>
      <c r="AB3468" s="35"/>
      <c r="AC3468" s="34"/>
      <c r="AD3468" s="34"/>
      <c r="AE3468" s="34"/>
    </row>
    <row r="3469" spans="1:31" ht="15" thickBot="1" x14ac:dyDescent="0.4">
      <c r="A3469" s="45"/>
      <c r="B3469" s="45"/>
      <c r="C3469" s="46"/>
      <c r="D3469" s="47"/>
      <c r="E3469" s="47"/>
      <c r="F3469" s="47"/>
      <c r="G3469" s="47"/>
      <c r="H3469" s="47"/>
      <c r="I3469" s="47"/>
      <c r="J3469" s="47"/>
      <c r="K3469" s="47"/>
      <c r="L3469" s="47"/>
      <c r="M3469" s="47"/>
      <c r="N3469" s="47"/>
      <c r="O3469" s="47"/>
      <c r="P3469" s="47"/>
      <c r="Q3469" s="47"/>
      <c r="R3469" s="47"/>
      <c r="S3469" s="47"/>
      <c r="T3469" s="45"/>
      <c r="U3469" s="45"/>
      <c r="V3469" s="45"/>
      <c r="W3469" s="45"/>
      <c r="X3469" s="47"/>
      <c r="Y3469" s="45"/>
      <c r="Z3469" s="45"/>
      <c r="AA3469" s="48"/>
      <c r="AB3469" s="48"/>
      <c r="AC3469" s="47"/>
      <c r="AD3469" s="47"/>
      <c r="AE3469" s="47"/>
    </row>
    <row r="3470" spans="1:31" x14ac:dyDescent="0.35">
      <c r="A3470" s="41"/>
      <c r="B3470" s="41"/>
      <c r="C3470" s="42"/>
      <c r="D3470" s="43"/>
      <c r="E3470" s="43"/>
      <c r="F3470" s="43"/>
      <c r="G3470" s="43"/>
      <c r="H3470" s="43"/>
      <c r="I3470" s="43"/>
      <c r="J3470" s="43"/>
      <c r="K3470" s="43"/>
      <c r="L3470" s="43"/>
      <c r="M3470" s="43"/>
      <c r="N3470" s="43"/>
      <c r="O3470" s="43"/>
      <c r="P3470" s="43"/>
      <c r="Q3470" s="43"/>
      <c r="R3470" s="43"/>
      <c r="S3470" s="43"/>
      <c r="T3470" s="43"/>
      <c r="U3470" s="43"/>
      <c r="V3470" s="41"/>
      <c r="W3470" s="41"/>
      <c r="X3470" s="41"/>
      <c r="Y3470" s="41"/>
      <c r="Z3470" s="41"/>
      <c r="AA3470" s="44"/>
      <c r="AB3470" s="44"/>
      <c r="AC3470" s="43"/>
      <c r="AD3470" s="43"/>
      <c r="AE3470" s="43"/>
    </row>
    <row r="3471" spans="1:31" x14ac:dyDescent="0.35">
      <c r="C3471" s="33"/>
      <c r="D3471" s="34"/>
      <c r="E3471" s="34"/>
      <c r="F3471" s="34"/>
      <c r="G3471" s="34"/>
      <c r="H3471" s="34"/>
      <c r="I3471" s="34"/>
      <c r="J3471" s="34"/>
      <c r="K3471" s="34"/>
      <c r="L3471" s="34"/>
      <c r="M3471" s="34"/>
      <c r="N3471" s="34"/>
      <c r="O3471" s="34"/>
      <c r="AA3471" s="35"/>
      <c r="AB3471" s="35"/>
      <c r="AC3471" s="34"/>
      <c r="AD3471" s="34"/>
      <c r="AE3471" s="34"/>
    </row>
    <row r="3472" spans="1:31" ht="15" thickBot="1" x14ac:dyDescent="0.4">
      <c r="A3472" s="45"/>
      <c r="B3472" s="45"/>
      <c r="C3472" s="46"/>
      <c r="D3472" s="47"/>
      <c r="E3472" s="47"/>
      <c r="F3472" s="47"/>
      <c r="G3472" s="47"/>
      <c r="H3472" s="47"/>
      <c r="I3472" s="47"/>
      <c r="J3472" s="47"/>
      <c r="K3472" s="47"/>
      <c r="L3472" s="47"/>
      <c r="M3472" s="47"/>
      <c r="N3472" s="47"/>
      <c r="O3472" s="47"/>
      <c r="P3472" s="47"/>
      <c r="Q3472" s="47"/>
      <c r="R3472" s="47"/>
      <c r="S3472" s="47"/>
      <c r="T3472" s="45"/>
      <c r="U3472" s="45"/>
      <c r="V3472" s="45"/>
      <c r="W3472" s="45"/>
      <c r="X3472" s="47"/>
      <c r="Y3472" s="45"/>
      <c r="Z3472" s="45"/>
      <c r="AA3472" s="48"/>
      <c r="AB3472" s="48"/>
      <c r="AC3472" s="47"/>
      <c r="AD3472" s="47"/>
      <c r="AE3472" s="47"/>
    </row>
    <row r="3473" spans="1:31" x14ac:dyDescent="0.35">
      <c r="A3473" s="41"/>
      <c r="B3473" s="41"/>
      <c r="C3473" s="42"/>
      <c r="D3473" s="43"/>
      <c r="E3473" s="43"/>
      <c r="F3473" s="43"/>
      <c r="G3473" s="43"/>
      <c r="H3473" s="43"/>
      <c r="I3473" s="43"/>
      <c r="J3473" s="43"/>
      <c r="K3473" s="43"/>
      <c r="L3473" s="43"/>
      <c r="M3473" s="43"/>
      <c r="N3473" s="43"/>
      <c r="O3473" s="43"/>
      <c r="P3473" s="43"/>
      <c r="Q3473" s="43"/>
      <c r="R3473" s="43"/>
      <c r="S3473" s="43"/>
      <c r="T3473" s="43"/>
      <c r="U3473" s="43"/>
      <c r="V3473" s="41"/>
      <c r="W3473" s="41"/>
      <c r="X3473" s="41"/>
      <c r="Y3473" s="41"/>
      <c r="Z3473" s="41"/>
      <c r="AA3473" s="44"/>
      <c r="AB3473" s="44"/>
      <c r="AC3473" s="43"/>
      <c r="AD3473" s="43"/>
      <c r="AE3473" s="43"/>
    </row>
    <row r="3474" spans="1:31" x14ac:dyDescent="0.35">
      <c r="C3474" s="33"/>
      <c r="D3474" s="34"/>
      <c r="E3474" s="34"/>
      <c r="F3474" s="34"/>
      <c r="G3474" s="34"/>
      <c r="H3474" s="34"/>
      <c r="I3474" s="34"/>
      <c r="J3474" s="34"/>
      <c r="K3474" s="34"/>
      <c r="L3474" s="34"/>
      <c r="M3474" s="34"/>
      <c r="N3474" s="34"/>
      <c r="O3474" s="34"/>
      <c r="AA3474" s="35"/>
      <c r="AB3474" s="35"/>
      <c r="AC3474" s="34"/>
      <c r="AD3474" s="34"/>
      <c r="AE3474" s="34"/>
    </row>
    <row r="3475" spans="1:31" ht="15" thickBot="1" x14ac:dyDescent="0.4">
      <c r="A3475" s="45"/>
      <c r="B3475" s="45"/>
      <c r="C3475" s="46"/>
      <c r="D3475" s="47"/>
      <c r="E3475" s="47"/>
      <c r="F3475" s="47"/>
      <c r="G3475" s="47"/>
      <c r="H3475" s="47"/>
      <c r="I3475" s="47"/>
      <c r="J3475" s="47"/>
      <c r="K3475" s="47"/>
      <c r="L3475" s="47"/>
      <c r="M3475" s="47"/>
      <c r="N3475" s="47"/>
      <c r="O3475" s="47"/>
      <c r="P3475" s="47"/>
      <c r="Q3475" s="47"/>
      <c r="R3475" s="47"/>
      <c r="S3475" s="47"/>
      <c r="T3475" s="45"/>
      <c r="U3475" s="45"/>
      <c r="V3475" s="45"/>
      <c r="W3475" s="45"/>
      <c r="X3475" s="47"/>
      <c r="Y3475" s="45"/>
      <c r="Z3475" s="45"/>
      <c r="AA3475" s="48"/>
      <c r="AB3475" s="48"/>
      <c r="AC3475" s="47"/>
      <c r="AD3475" s="47"/>
      <c r="AE3475" s="47"/>
    </row>
    <row r="3476" spans="1:31" x14ac:dyDescent="0.35">
      <c r="A3476" s="41"/>
      <c r="B3476" s="41"/>
      <c r="C3476" s="42"/>
      <c r="D3476" s="43"/>
      <c r="E3476" s="43"/>
      <c r="F3476" s="43"/>
      <c r="G3476" s="43"/>
      <c r="H3476" s="43"/>
      <c r="I3476" s="43"/>
      <c r="J3476" s="43"/>
      <c r="K3476" s="43"/>
      <c r="L3476" s="43"/>
      <c r="M3476" s="43"/>
      <c r="N3476" s="43"/>
      <c r="O3476" s="43"/>
      <c r="P3476" s="43"/>
      <c r="Q3476" s="43"/>
      <c r="R3476" s="43"/>
      <c r="S3476" s="43"/>
      <c r="T3476" s="43"/>
      <c r="U3476" s="43"/>
      <c r="V3476" s="41"/>
      <c r="W3476" s="41"/>
      <c r="X3476" s="41"/>
      <c r="Y3476" s="41"/>
      <c r="Z3476" s="41"/>
      <c r="AA3476" s="44"/>
      <c r="AB3476" s="44"/>
      <c r="AC3476" s="43"/>
      <c r="AD3476" s="43"/>
      <c r="AE3476" s="43"/>
    </row>
    <row r="3477" spans="1:31" x14ac:dyDescent="0.35">
      <c r="C3477" s="33"/>
      <c r="D3477" s="34"/>
      <c r="E3477" s="34"/>
      <c r="F3477" s="34"/>
      <c r="G3477" s="34"/>
      <c r="H3477" s="34"/>
      <c r="I3477" s="34"/>
      <c r="J3477" s="34"/>
      <c r="K3477" s="34"/>
      <c r="L3477" s="34"/>
      <c r="M3477" s="34"/>
      <c r="N3477" s="34"/>
      <c r="O3477" s="34"/>
      <c r="AA3477" s="35"/>
      <c r="AB3477" s="35"/>
      <c r="AC3477" s="34"/>
      <c r="AD3477" s="34"/>
      <c r="AE3477" s="34"/>
    </row>
    <row r="3478" spans="1:31" ht="15" thickBot="1" x14ac:dyDescent="0.4">
      <c r="A3478" s="45"/>
      <c r="B3478" s="45"/>
      <c r="C3478" s="46"/>
      <c r="D3478" s="47"/>
      <c r="E3478" s="47"/>
      <c r="F3478" s="47"/>
      <c r="G3478" s="47"/>
      <c r="H3478" s="47"/>
      <c r="I3478" s="47"/>
      <c r="J3478" s="47"/>
      <c r="K3478" s="47"/>
      <c r="L3478" s="47"/>
      <c r="M3478" s="47"/>
      <c r="N3478" s="47"/>
      <c r="O3478" s="47"/>
      <c r="P3478" s="47"/>
      <c r="Q3478" s="47"/>
      <c r="R3478" s="47"/>
      <c r="S3478" s="47"/>
      <c r="T3478" s="45"/>
      <c r="U3478" s="45"/>
      <c r="V3478" s="45"/>
      <c r="W3478" s="45"/>
      <c r="X3478" s="47"/>
      <c r="Y3478" s="45"/>
      <c r="Z3478" s="45"/>
      <c r="AA3478" s="48"/>
      <c r="AB3478" s="48"/>
      <c r="AC3478" s="47"/>
      <c r="AD3478" s="47"/>
      <c r="AE3478" s="47"/>
    </row>
    <row r="3479" spans="1:31" x14ac:dyDescent="0.35">
      <c r="A3479" s="41"/>
      <c r="B3479" s="41"/>
      <c r="C3479" s="42"/>
      <c r="D3479" s="43"/>
      <c r="E3479" s="43"/>
      <c r="F3479" s="43"/>
      <c r="G3479" s="43"/>
      <c r="H3479" s="43"/>
      <c r="I3479" s="43"/>
      <c r="J3479" s="43"/>
      <c r="K3479" s="43"/>
      <c r="L3479" s="43"/>
      <c r="M3479" s="43"/>
      <c r="N3479" s="43"/>
      <c r="O3479" s="43"/>
      <c r="P3479" s="43"/>
      <c r="Q3479" s="43"/>
      <c r="R3479" s="43"/>
      <c r="S3479" s="43"/>
      <c r="T3479" s="43"/>
      <c r="U3479" s="43"/>
      <c r="V3479" s="41"/>
      <c r="W3479" s="41"/>
      <c r="X3479" s="41"/>
      <c r="Y3479" s="41"/>
      <c r="Z3479" s="41"/>
      <c r="AA3479" s="44"/>
      <c r="AB3479" s="44"/>
      <c r="AC3479" s="43"/>
      <c r="AD3479" s="43"/>
      <c r="AE3479" s="43"/>
    </row>
    <row r="3480" spans="1:31" x14ac:dyDescent="0.35">
      <c r="C3480" s="33"/>
      <c r="D3480" s="34"/>
      <c r="E3480" s="34"/>
      <c r="F3480" s="34"/>
      <c r="G3480" s="34"/>
      <c r="H3480" s="34"/>
      <c r="I3480" s="34"/>
      <c r="J3480" s="34"/>
      <c r="K3480" s="34"/>
      <c r="L3480" s="34"/>
      <c r="M3480" s="34"/>
      <c r="N3480" s="34"/>
      <c r="O3480" s="34"/>
      <c r="AA3480" s="35"/>
      <c r="AB3480" s="35"/>
      <c r="AC3480" s="34"/>
      <c r="AD3480" s="34"/>
      <c r="AE3480" s="34"/>
    </row>
    <row r="3481" spans="1:31" ht="15" thickBot="1" x14ac:dyDescent="0.4">
      <c r="A3481" s="45"/>
      <c r="B3481" s="45"/>
      <c r="C3481" s="46"/>
      <c r="D3481" s="47"/>
      <c r="E3481" s="47"/>
      <c r="F3481" s="47"/>
      <c r="G3481" s="47"/>
      <c r="H3481" s="47"/>
      <c r="I3481" s="47"/>
      <c r="J3481" s="47"/>
      <c r="K3481" s="47"/>
      <c r="L3481" s="47"/>
      <c r="M3481" s="47"/>
      <c r="N3481" s="47"/>
      <c r="O3481" s="47"/>
      <c r="P3481" s="47"/>
      <c r="Q3481" s="47"/>
      <c r="R3481" s="47"/>
      <c r="S3481" s="47"/>
      <c r="T3481" s="45"/>
      <c r="U3481" s="45"/>
      <c r="V3481" s="45"/>
      <c r="W3481" s="45"/>
      <c r="X3481" s="47"/>
      <c r="Y3481" s="45"/>
      <c r="Z3481" s="45"/>
      <c r="AA3481" s="48"/>
      <c r="AB3481" s="48"/>
      <c r="AC3481" s="47"/>
      <c r="AD3481" s="47"/>
      <c r="AE3481" s="47"/>
    </row>
    <row r="3482" spans="1:31" x14ac:dyDescent="0.35">
      <c r="A3482" s="41"/>
      <c r="B3482" s="41"/>
      <c r="C3482" s="42"/>
      <c r="D3482" s="43"/>
      <c r="E3482" s="43"/>
      <c r="F3482" s="43"/>
      <c r="G3482" s="43"/>
      <c r="H3482" s="43"/>
      <c r="I3482" s="43"/>
      <c r="J3482" s="43"/>
      <c r="K3482" s="43"/>
      <c r="L3482" s="43"/>
      <c r="M3482" s="43"/>
      <c r="N3482" s="43"/>
      <c r="O3482" s="43"/>
      <c r="P3482" s="43"/>
      <c r="Q3482" s="43"/>
      <c r="R3482" s="43"/>
      <c r="S3482" s="43"/>
      <c r="T3482" s="43"/>
      <c r="U3482" s="43"/>
      <c r="V3482" s="41"/>
      <c r="W3482" s="41"/>
      <c r="X3482" s="41"/>
      <c r="Y3482" s="41"/>
      <c r="Z3482" s="41"/>
      <c r="AA3482" s="44"/>
      <c r="AB3482" s="44"/>
      <c r="AC3482" s="43"/>
      <c r="AD3482" s="43"/>
      <c r="AE3482" s="43"/>
    </row>
    <row r="3483" spans="1:31" x14ac:dyDescent="0.35">
      <c r="C3483" s="33"/>
      <c r="D3483" s="34"/>
      <c r="E3483" s="34"/>
      <c r="F3483" s="34"/>
      <c r="G3483" s="34"/>
      <c r="H3483" s="34"/>
      <c r="I3483" s="34"/>
      <c r="J3483" s="34"/>
      <c r="K3483" s="34"/>
      <c r="L3483" s="34"/>
      <c r="M3483" s="34"/>
      <c r="N3483" s="34"/>
      <c r="O3483" s="34"/>
      <c r="AA3483" s="35"/>
      <c r="AB3483" s="35"/>
      <c r="AC3483" s="34"/>
      <c r="AD3483" s="34"/>
      <c r="AE3483" s="34"/>
    </row>
    <row r="3484" spans="1:31" ht="15" thickBot="1" x14ac:dyDescent="0.4">
      <c r="A3484" s="45"/>
      <c r="B3484" s="45"/>
      <c r="C3484" s="46"/>
      <c r="D3484" s="47"/>
      <c r="E3484" s="47"/>
      <c r="F3484" s="47"/>
      <c r="G3484" s="47"/>
      <c r="H3484" s="47"/>
      <c r="I3484" s="47"/>
      <c r="J3484" s="47"/>
      <c r="K3484" s="47"/>
      <c r="L3484" s="47"/>
      <c r="M3484" s="47"/>
      <c r="N3484" s="47"/>
      <c r="O3484" s="47"/>
      <c r="P3484" s="47"/>
      <c r="Q3484" s="47"/>
      <c r="R3484" s="47"/>
      <c r="S3484" s="47"/>
      <c r="T3484" s="45"/>
      <c r="U3484" s="45"/>
      <c r="V3484" s="45"/>
      <c r="W3484" s="45"/>
      <c r="X3484" s="47"/>
      <c r="Y3484" s="45"/>
      <c r="Z3484" s="45"/>
      <c r="AA3484" s="48"/>
      <c r="AB3484" s="48"/>
      <c r="AC3484" s="47"/>
      <c r="AD3484" s="47"/>
      <c r="AE3484" s="47"/>
    </row>
    <row r="3485" spans="1:31" x14ac:dyDescent="0.35">
      <c r="A3485" s="41"/>
      <c r="B3485" s="41"/>
      <c r="C3485" s="42"/>
      <c r="D3485" s="43"/>
      <c r="E3485" s="43"/>
      <c r="F3485" s="43"/>
      <c r="G3485" s="43"/>
      <c r="H3485" s="43"/>
      <c r="I3485" s="43"/>
      <c r="J3485" s="43"/>
      <c r="K3485" s="43"/>
      <c r="L3485" s="43"/>
      <c r="M3485" s="43"/>
      <c r="N3485" s="43"/>
      <c r="O3485" s="43"/>
      <c r="P3485" s="43"/>
      <c r="Q3485" s="43"/>
      <c r="R3485" s="43"/>
      <c r="S3485" s="43"/>
      <c r="T3485" s="43"/>
      <c r="U3485" s="43"/>
      <c r="V3485" s="41"/>
      <c r="W3485" s="41"/>
      <c r="X3485" s="41"/>
      <c r="Y3485" s="41"/>
      <c r="Z3485" s="41"/>
      <c r="AA3485" s="44"/>
      <c r="AB3485" s="44"/>
      <c r="AC3485" s="43"/>
      <c r="AD3485" s="43"/>
      <c r="AE3485" s="43"/>
    </row>
    <row r="3486" spans="1:31" x14ac:dyDescent="0.35">
      <c r="C3486" s="33"/>
      <c r="D3486" s="34"/>
      <c r="E3486" s="34"/>
      <c r="F3486" s="34"/>
      <c r="G3486" s="34"/>
      <c r="H3486" s="34"/>
      <c r="I3486" s="34"/>
      <c r="J3486" s="34"/>
      <c r="K3486" s="34"/>
      <c r="L3486" s="34"/>
      <c r="M3486" s="34"/>
      <c r="N3486" s="34"/>
      <c r="O3486" s="34"/>
      <c r="AA3486" s="35"/>
      <c r="AB3486" s="35"/>
      <c r="AC3486" s="34"/>
      <c r="AD3486" s="34"/>
      <c r="AE3486" s="34"/>
    </row>
    <row r="3487" spans="1:31" ht="15" thickBot="1" x14ac:dyDescent="0.4">
      <c r="A3487" s="45"/>
      <c r="B3487" s="45"/>
      <c r="C3487" s="46"/>
      <c r="D3487" s="47"/>
      <c r="E3487" s="47"/>
      <c r="F3487" s="47"/>
      <c r="G3487" s="47"/>
      <c r="H3487" s="47"/>
      <c r="I3487" s="47"/>
      <c r="J3487" s="47"/>
      <c r="K3487" s="47"/>
      <c r="L3487" s="47"/>
      <c r="M3487" s="47"/>
      <c r="N3487" s="47"/>
      <c r="O3487" s="47"/>
      <c r="P3487" s="47"/>
      <c r="Q3487" s="47"/>
      <c r="R3487" s="47"/>
      <c r="S3487" s="47"/>
      <c r="T3487" s="45"/>
      <c r="U3487" s="45"/>
      <c r="V3487" s="45"/>
      <c r="W3487" s="45"/>
      <c r="X3487" s="47"/>
      <c r="Y3487" s="45"/>
      <c r="Z3487" s="45"/>
      <c r="AA3487" s="48"/>
      <c r="AB3487" s="48"/>
      <c r="AC3487" s="47"/>
      <c r="AD3487" s="47"/>
      <c r="AE3487" s="47"/>
    </row>
    <row r="3488" spans="1:31" x14ac:dyDescent="0.35">
      <c r="A3488" s="41"/>
      <c r="B3488" s="41"/>
      <c r="C3488" s="42"/>
      <c r="D3488" s="43"/>
      <c r="E3488" s="43"/>
      <c r="F3488" s="43"/>
      <c r="G3488" s="43"/>
      <c r="H3488" s="43"/>
      <c r="I3488" s="43"/>
      <c r="J3488" s="43"/>
      <c r="K3488" s="43"/>
      <c r="L3488" s="43"/>
      <c r="M3488" s="43"/>
      <c r="N3488" s="43"/>
      <c r="O3488" s="43"/>
      <c r="P3488" s="43"/>
      <c r="Q3488" s="43"/>
      <c r="R3488" s="43"/>
      <c r="S3488" s="43"/>
      <c r="T3488" s="43"/>
      <c r="U3488" s="43"/>
      <c r="V3488" s="41"/>
      <c r="W3488" s="41"/>
      <c r="X3488" s="41"/>
      <c r="Y3488" s="41"/>
      <c r="Z3488" s="41"/>
      <c r="AA3488" s="44"/>
      <c r="AB3488" s="44"/>
      <c r="AC3488" s="43"/>
      <c r="AD3488" s="43"/>
      <c r="AE3488" s="43"/>
    </row>
    <row r="3489" spans="1:31" x14ac:dyDescent="0.35">
      <c r="C3489" s="33"/>
      <c r="D3489" s="34"/>
      <c r="E3489" s="34"/>
      <c r="F3489" s="34"/>
      <c r="G3489" s="34"/>
      <c r="H3489" s="34"/>
      <c r="I3489" s="34"/>
      <c r="J3489" s="34"/>
      <c r="K3489" s="34"/>
      <c r="L3489" s="34"/>
      <c r="M3489" s="34"/>
      <c r="N3489" s="34"/>
      <c r="O3489" s="34"/>
      <c r="AA3489" s="35"/>
      <c r="AB3489" s="35"/>
      <c r="AC3489" s="34"/>
      <c r="AD3489" s="34"/>
      <c r="AE3489" s="34"/>
    </row>
    <row r="3490" spans="1:31" ht="15" thickBot="1" x14ac:dyDescent="0.4">
      <c r="A3490" s="45"/>
      <c r="B3490" s="45"/>
      <c r="C3490" s="46"/>
      <c r="D3490" s="47"/>
      <c r="E3490" s="47"/>
      <c r="F3490" s="47"/>
      <c r="G3490" s="47"/>
      <c r="H3490" s="47"/>
      <c r="I3490" s="47"/>
      <c r="J3490" s="47"/>
      <c r="K3490" s="47"/>
      <c r="L3490" s="47"/>
      <c r="M3490" s="47"/>
      <c r="N3490" s="47"/>
      <c r="O3490" s="47"/>
      <c r="P3490" s="47"/>
      <c r="Q3490" s="47"/>
      <c r="R3490" s="47"/>
      <c r="S3490" s="47"/>
      <c r="T3490" s="45"/>
      <c r="U3490" s="45"/>
      <c r="V3490" s="45"/>
      <c r="W3490" s="45"/>
      <c r="X3490" s="47"/>
      <c r="Y3490" s="45"/>
      <c r="Z3490" s="45"/>
      <c r="AA3490" s="48"/>
      <c r="AB3490" s="48"/>
      <c r="AC3490" s="47"/>
      <c r="AD3490" s="47"/>
      <c r="AE3490" s="47"/>
    </row>
    <row r="3491" spans="1:31" x14ac:dyDescent="0.35">
      <c r="A3491" s="41"/>
      <c r="B3491" s="41"/>
      <c r="C3491" s="42"/>
      <c r="D3491" s="43"/>
      <c r="E3491" s="43"/>
      <c r="F3491" s="43"/>
      <c r="G3491" s="43"/>
      <c r="H3491" s="43"/>
      <c r="I3491" s="43"/>
      <c r="J3491" s="43"/>
      <c r="K3491" s="43"/>
      <c r="L3491" s="43"/>
      <c r="M3491" s="43"/>
      <c r="N3491" s="43"/>
      <c r="O3491" s="43"/>
      <c r="P3491" s="43"/>
      <c r="Q3491" s="43"/>
      <c r="R3491" s="43"/>
      <c r="S3491" s="43"/>
      <c r="T3491" s="43"/>
      <c r="U3491" s="43"/>
      <c r="V3491" s="41"/>
      <c r="W3491" s="41"/>
      <c r="X3491" s="41"/>
      <c r="Y3491" s="41"/>
      <c r="Z3491" s="41"/>
      <c r="AA3491" s="44"/>
      <c r="AB3491" s="44"/>
      <c r="AC3491" s="43"/>
      <c r="AD3491" s="43"/>
      <c r="AE3491" s="43"/>
    </row>
    <row r="3492" spans="1:31" x14ac:dyDescent="0.35">
      <c r="C3492" s="33"/>
      <c r="D3492" s="34"/>
      <c r="E3492" s="34"/>
      <c r="F3492" s="34"/>
      <c r="G3492" s="34"/>
      <c r="H3492" s="34"/>
      <c r="I3492" s="34"/>
      <c r="J3492" s="34"/>
      <c r="K3492" s="34"/>
      <c r="L3492" s="34"/>
      <c r="M3492" s="34"/>
      <c r="N3492" s="34"/>
      <c r="O3492" s="34"/>
      <c r="AA3492" s="35"/>
      <c r="AB3492" s="35"/>
      <c r="AC3492" s="34"/>
      <c r="AD3492" s="34"/>
      <c r="AE3492" s="34"/>
    </row>
    <row r="3493" spans="1:31" ht="15" thickBot="1" x14ac:dyDescent="0.4">
      <c r="A3493" s="45"/>
      <c r="B3493" s="45"/>
      <c r="C3493" s="46"/>
      <c r="D3493" s="47"/>
      <c r="E3493" s="47"/>
      <c r="F3493" s="47"/>
      <c r="G3493" s="47"/>
      <c r="H3493" s="47"/>
      <c r="I3493" s="47"/>
      <c r="J3493" s="47"/>
      <c r="K3493" s="47"/>
      <c r="L3493" s="47"/>
      <c r="M3493" s="47"/>
      <c r="N3493" s="47"/>
      <c r="O3493" s="47"/>
      <c r="P3493" s="47"/>
      <c r="Q3493" s="47"/>
      <c r="R3493" s="47"/>
      <c r="S3493" s="47"/>
      <c r="T3493" s="45"/>
      <c r="U3493" s="45"/>
      <c r="V3493" s="45"/>
      <c r="W3493" s="45"/>
      <c r="X3493" s="47"/>
      <c r="Y3493" s="45"/>
      <c r="Z3493" s="45"/>
      <c r="AA3493" s="48"/>
      <c r="AB3493" s="48"/>
      <c r="AC3493" s="47"/>
      <c r="AD3493" s="47"/>
      <c r="AE3493" s="47"/>
    </row>
    <row r="3494" spans="1:31" x14ac:dyDescent="0.35">
      <c r="A3494" s="41"/>
      <c r="B3494" s="41"/>
      <c r="C3494" s="42"/>
      <c r="D3494" s="43"/>
      <c r="E3494" s="43"/>
      <c r="F3494" s="43"/>
      <c r="G3494" s="43"/>
      <c r="H3494" s="43"/>
      <c r="I3494" s="43"/>
      <c r="J3494" s="43"/>
      <c r="K3494" s="43"/>
      <c r="L3494" s="43"/>
      <c r="M3494" s="43"/>
      <c r="N3494" s="43"/>
      <c r="O3494" s="43"/>
      <c r="P3494" s="43"/>
      <c r="Q3494" s="43"/>
      <c r="R3494" s="43"/>
      <c r="S3494" s="43"/>
      <c r="T3494" s="43"/>
      <c r="U3494" s="43"/>
      <c r="V3494" s="41"/>
      <c r="W3494" s="41"/>
      <c r="X3494" s="41"/>
      <c r="Y3494" s="41"/>
      <c r="Z3494" s="41"/>
      <c r="AA3494" s="44"/>
      <c r="AB3494" s="44"/>
      <c r="AC3494" s="43"/>
      <c r="AD3494" s="43"/>
      <c r="AE3494" s="43"/>
    </row>
    <row r="3495" spans="1:31" x14ac:dyDescent="0.35">
      <c r="C3495" s="33"/>
      <c r="D3495" s="34"/>
      <c r="E3495" s="34"/>
      <c r="F3495" s="34"/>
      <c r="G3495" s="34"/>
      <c r="H3495" s="34"/>
      <c r="I3495" s="34"/>
      <c r="J3495" s="34"/>
      <c r="K3495" s="34"/>
      <c r="L3495" s="34"/>
      <c r="M3495" s="34"/>
      <c r="N3495" s="34"/>
      <c r="O3495" s="34"/>
      <c r="AA3495" s="35"/>
      <c r="AB3495" s="35"/>
      <c r="AC3495" s="34"/>
      <c r="AD3495" s="34"/>
      <c r="AE3495" s="34"/>
    </row>
    <row r="3496" spans="1:31" ht="15" thickBot="1" x14ac:dyDescent="0.4">
      <c r="A3496" s="45"/>
      <c r="B3496" s="45"/>
      <c r="C3496" s="46"/>
      <c r="D3496" s="47"/>
      <c r="E3496" s="47"/>
      <c r="F3496" s="47"/>
      <c r="G3496" s="47"/>
      <c r="H3496" s="47"/>
      <c r="I3496" s="47"/>
      <c r="J3496" s="47"/>
      <c r="K3496" s="47"/>
      <c r="L3496" s="47"/>
      <c r="M3496" s="47"/>
      <c r="N3496" s="47"/>
      <c r="O3496" s="47"/>
      <c r="P3496" s="47"/>
      <c r="Q3496" s="47"/>
      <c r="R3496" s="47"/>
      <c r="S3496" s="47"/>
      <c r="T3496" s="45"/>
      <c r="U3496" s="45"/>
      <c r="V3496" s="45"/>
      <c r="W3496" s="45"/>
      <c r="X3496" s="47"/>
      <c r="Y3496" s="45"/>
      <c r="Z3496" s="45"/>
      <c r="AA3496" s="48"/>
      <c r="AB3496" s="48"/>
      <c r="AC3496" s="47"/>
      <c r="AD3496" s="47"/>
      <c r="AE3496" s="47"/>
    </row>
    <row r="3497" spans="1:31" x14ac:dyDescent="0.35">
      <c r="A3497" s="41"/>
      <c r="B3497" s="41"/>
      <c r="C3497" s="42"/>
      <c r="D3497" s="43"/>
      <c r="E3497" s="43"/>
      <c r="F3497" s="43"/>
      <c r="G3497" s="43"/>
      <c r="H3497" s="43"/>
      <c r="I3497" s="43"/>
      <c r="J3497" s="43"/>
      <c r="K3497" s="43"/>
      <c r="L3497" s="43"/>
      <c r="M3497" s="43"/>
      <c r="N3497" s="43"/>
      <c r="O3497" s="43"/>
      <c r="P3497" s="43"/>
      <c r="Q3497" s="43"/>
      <c r="R3497" s="43"/>
      <c r="S3497" s="43"/>
      <c r="T3497" s="43"/>
      <c r="U3497" s="43"/>
      <c r="V3497" s="41"/>
      <c r="W3497" s="41"/>
      <c r="X3497" s="41"/>
      <c r="Y3497" s="41"/>
      <c r="Z3497" s="41"/>
      <c r="AA3497" s="44"/>
      <c r="AB3497" s="44"/>
      <c r="AC3497" s="43"/>
      <c r="AD3497" s="43"/>
      <c r="AE3497" s="43"/>
    </row>
    <row r="3498" spans="1:31" x14ac:dyDescent="0.35">
      <c r="C3498" s="33"/>
      <c r="D3498" s="34"/>
      <c r="E3498" s="34"/>
      <c r="F3498" s="34"/>
      <c r="G3498" s="34"/>
      <c r="H3498" s="34"/>
      <c r="I3498" s="34"/>
      <c r="J3498" s="34"/>
      <c r="K3498" s="34"/>
      <c r="L3498" s="34"/>
      <c r="M3498" s="34"/>
      <c r="N3498" s="34"/>
      <c r="O3498" s="34"/>
      <c r="AA3498" s="35"/>
      <c r="AB3498" s="35"/>
      <c r="AC3498" s="34"/>
      <c r="AD3498" s="34"/>
      <c r="AE3498" s="34"/>
    </row>
    <row r="3499" spans="1:31" ht="15" thickBot="1" x14ac:dyDescent="0.4">
      <c r="A3499" s="45"/>
      <c r="B3499" s="45"/>
      <c r="C3499" s="46"/>
      <c r="D3499" s="47"/>
      <c r="E3499" s="47"/>
      <c r="F3499" s="47"/>
      <c r="G3499" s="47"/>
      <c r="H3499" s="47"/>
      <c r="I3499" s="47"/>
      <c r="J3499" s="47"/>
      <c r="K3499" s="47"/>
      <c r="L3499" s="47"/>
      <c r="M3499" s="47"/>
      <c r="N3499" s="47"/>
      <c r="O3499" s="47"/>
      <c r="P3499" s="47"/>
      <c r="Q3499" s="47"/>
      <c r="R3499" s="47"/>
      <c r="S3499" s="47"/>
      <c r="T3499" s="45"/>
      <c r="U3499" s="45"/>
      <c r="V3499" s="45"/>
      <c r="W3499" s="45"/>
      <c r="X3499" s="47"/>
      <c r="Y3499" s="45"/>
      <c r="Z3499" s="45"/>
      <c r="AA3499" s="48"/>
      <c r="AB3499" s="48"/>
      <c r="AC3499" s="47"/>
      <c r="AD3499" s="47"/>
      <c r="AE3499" s="47"/>
    </row>
    <row r="3500" spans="1:31" x14ac:dyDescent="0.35">
      <c r="A3500" s="41"/>
      <c r="B3500" s="41"/>
      <c r="C3500" s="42"/>
      <c r="D3500" s="43"/>
      <c r="E3500" s="43"/>
      <c r="F3500" s="43"/>
      <c r="G3500" s="43"/>
      <c r="H3500" s="43"/>
      <c r="I3500" s="43"/>
      <c r="J3500" s="43"/>
      <c r="K3500" s="43"/>
      <c r="L3500" s="43"/>
      <c r="M3500" s="43"/>
      <c r="N3500" s="43"/>
      <c r="O3500" s="43"/>
      <c r="P3500" s="43"/>
      <c r="Q3500" s="43"/>
      <c r="R3500" s="43"/>
      <c r="S3500" s="43"/>
      <c r="T3500" s="43"/>
      <c r="U3500" s="43"/>
      <c r="V3500" s="41"/>
      <c r="W3500" s="41"/>
      <c r="X3500" s="41"/>
      <c r="Y3500" s="41"/>
      <c r="Z3500" s="41"/>
      <c r="AA3500" s="44"/>
      <c r="AB3500" s="44"/>
      <c r="AC3500" s="43"/>
      <c r="AD3500" s="43"/>
      <c r="AE3500" s="43"/>
    </row>
    <row r="3501" spans="1:31" x14ac:dyDescent="0.35">
      <c r="C3501" s="33"/>
      <c r="D3501" s="34"/>
      <c r="E3501" s="34"/>
      <c r="F3501" s="34"/>
      <c r="G3501" s="34"/>
      <c r="H3501" s="34"/>
      <c r="I3501" s="34"/>
      <c r="J3501" s="34"/>
      <c r="K3501" s="34"/>
      <c r="L3501" s="34"/>
      <c r="M3501" s="34"/>
      <c r="N3501" s="34"/>
      <c r="O3501" s="34"/>
      <c r="AA3501" s="35"/>
      <c r="AB3501" s="35"/>
      <c r="AC3501" s="34"/>
      <c r="AD3501" s="34"/>
      <c r="AE3501" s="34"/>
    </row>
    <row r="3502" spans="1:31" ht="15" thickBot="1" x14ac:dyDescent="0.4">
      <c r="A3502" s="45"/>
      <c r="B3502" s="45"/>
      <c r="C3502" s="46"/>
      <c r="D3502" s="47"/>
      <c r="E3502" s="47"/>
      <c r="F3502" s="47"/>
      <c r="G3502" s="47"/>
      <c r="H3502" s="47"/>
      <c r="I3502" s="47"/>
      <c r="J3502" s="47"/>
      <c r="K3502" s="47"/>
      <c r="L3502" s="47"/>
      <c r="M3502" s="47"/>
      <c r="N3502" s="47"/>
      <c r="O3502" s="47"/>
      <c r="P3502" s="47"/>
      <c r="Q3502" s="47"/>
      <c r="R3502" s="47"/>
      <c r="S3502" s="47"/>
      <c r="T3502" s="45"/>
      <c r="U3502" s="45"/>
      <c r="V3502" s="45"/>
      <c r="W3502" s="45"/>
      <c r="X3502" s="47"/>
      <c r="Y3502" s="45"/>
      <c r="Z3502" s="45"/>
      <c r="AA3502" s="48"/>
      <c r="AB3502" s="48"/>
      <c r="AC3502" s="47"/>
      <c r="AD3502" s="47"/>
      <c r="AE3502" s="47"/>
    </row>
    <row r="3503" spans="1:31" x14ac:dyDescent="0.35">
      <c r="A3503" s="41"/>
      <c r="B3503" s="41"/>
      <c r="C3503" s="42"/>
      <c r="D3503" s="43"/>
      <c r="E3503" s="43"/>
      <c r="F3503" s="43"/>
      <c r="G3503" s="43"/>
      <c r="H3503" s="43"/>
      <c r="I3503" s="43"/>
      <c r="J3503" s="43"/>
      <c r="K3503" s="43"/>
      <c r="L3503" s="43"/>
      <c r="M3503" s="43"/>
      <c r="N3503" s="43"/>
      <c r="O3503" s="43"/>
      <c r="P3503" s="43"/>
      <c r="Q3503" s="43"/>
      <c r="R3503" s="43"/>
      <c r="S3503" s="43"/>
      <c r="T3503" s="43"/>
      <c r="U3503" s="43"/>
      <c r="V3503" s="41"/>
      <c r="W3503" s="41"/>
      <c r="X3503" s="41"/>
      <c r="Y3503" s="41"/>
      <c r="Z3503" s="41"/>
      <c r="AA3503" s="44"/>
      <c r="AB3503" s="44"/>
      <c r="AC3503" s="43"/>
      <c r="AD3503" s="43"/>
      <c r="AE3503" s="43"/>
    </row>
    <row r="3504" spans="1:31" x14ac:dyDescent="0.35">
      <c r="C3504" s="33"/>
      <c r="D3504" s="34"/>
      <c r="E3504" s="34"/>
      <c r="F3504" s="34"/>
      <c r="G3504" s="34"/>
      <c r="H3504" s="34"/>
      <c r="I3504" s="34"/>
      <c r="J3504" s="34"/>
      <c r="K3504" s="34"/>
      <c r="L3504" s="34"/>
      <c r="M3504" s="34"/>
      <c r="N3504" s="34"/>
      <c r="O3504" s="34"/>
      <c r="AA3504" s="35"/>
      <c r="AB3504" s="35"/>
      <c r="AC3504" s="34"/>
      <c r="AD3504" s="34"/>
      <c r="AE3504" s="34"/>
    </row>
    <row r="3505" spans="1:31" ht="15" thickBot="1" x14ac:dyDescent="0.4">
      <c r="A3505" s="45"/>
      <c r="B3505" s="45"/>
      <c r="C3505" s="46"/>
      <c r="D3505" s="47"/>
      <c r="E3505" s="47"/>
      <c r="F3505" s="47"/>
      <c r="G3505" s="47"/>
      <c r="H3505" s="47"/>
      <c r="I3505" s="47"/>
      <c r="J3505" s="47"/>
      <c r="K3505" s="47"/>
      <c r="L3505" s="47"/>
      <c r="M3505" s="47"/>
      <c r="N3505" s="47"/>
      <c r="O3505" s="47"/>
      <c r="P3505" s="47"/>
      <c r="Q3505" s="47"/>
      <c r="R3505" s="47"/>
      <c r="S3505" s="47"/>
      <c r="T3505" s="45"/>
      <c r="U3505" s="45"/>
      <c r="V3505" s="45"/>
      <c r="W3505" s="45"/>
      <c r="X3505" s="47"/>
      <c r="Y3505" s="45"/>
      <c r="Z3505" s="45"/>
      <c r="AA3505" s="48"/>
      <c r="AB3505" s="48"/>
      <c r="AC3505" s="47"/>
      <c r="AD3505" s="47"/>
      <c r="AE3505" s="47"/>
    </row>
    <row r="3506" spans="1:31" x14ac:dyDescent="0.35">
      <c r="A3506" s="41"/>
      <c r="B3506" s="41"/>
      <c r="C3506" s="42"/>
      <c r="D3506" s="43"/>
      <c r="E3506" s="43"/>
      <c r="F3506" s="43"/>
      <c r="G3506" s="43"/>
      <c r="H3506" s="43"/>
      <c r="I3506" s="43"/>
      <c r="J3506" s="43"/>
      <c r="K3506" s="43"/>
      <c r="L3506" s="43"/>
      <c r="M3506" s="43"/>
      <c r="N3506" s="43"/>
      <c r="O3506" s="43"/>
      <c r="P3506" s="43"/>
      <c r="Q3506" s="43"/>
      <c r="R3506" s="43"/>
      <c r="S3506" s="43"/>
      <c r="T3506" s="43"/>
      <c r="U3506" s="43"/>
      <c r="V3506" s="41"/>
      <c r="W3506" s="41"/>
      <c r="X3506" s="41"/>
      <c r="Y3506" s="41"/>
      <c r="Z3506" s="41"/>
      <c r="AA3506" s="44"/>
      <c r="AB3506" s="44"/>
      <c r="AC3506" s="43"/>
      <c r="AD3506" s="43"/>
      <c r="AE3506" s="43"/>
    </row>
    <row r="3507" spans="1:31" x14ac:dyDescent="0.35">
      <c r="C3507" s="33"/>
      <c r="D3507" s="34"/>
      <c r="E3507" s="34"/>
      <c r="F3507" s="34"/>
      <c r="G3507" s="34"/>
      <c r="H3507" s="34"/>
      <c r="I3507" s="34"/>
      <c r="J3507" s="34"/>
      <c r="K3507" s="34"/>
      <c r="L3507" s="34"/>
      <c r="M3507" s="34"/>
      <c r="N3507" s="34"/>
      <c r="O3507" s="34"/>
      <c r="AA3507" s="35"/>
      <c r="AB3507" s="35"/>
      <c r="AC3507" s="34"/>
      <c r="AD3507" s="34"/>
      <c r="AE3507" s="34"/>
    </row>
    <row r="3508" spans="1:31" ht="15" thickBot="1" x14ac:dyDescent="0.4">
      <c r="A3508" s="45"/>
      <c r="B3508" s="45"/>
      <c r="C3508" s="46"/>
      <c r="D3508" s="47"/>
      <c r="E3508" s="47"/>
      <c r="F3508" s="47"/>
      <c r="G3508" s="47"/>
      <c r="H3508" s="47"/>
      <c r="I3508" s="47"/>
      <c r="J3508" s="47"/>
      <c r="K3508" s="47"/>
      <c r="L3508" s="47"/>
      <c r="M3508" s="47"/>
      <c r="N3508" s="47"/>
      <c r="O3508" s="47"/>
      <c r="P3508" s="47"/>
      <c r="Q3508" s="47"/>
      <c r="R3508" s="47"/>
      <c r="S3508" s="47"/>
      <c r="T3508" s="45"/>
      <c r="U3508" s="45"/>
      <c r="V3508" s="45"/>
      <c r="W3508" s="45"/>
      <c r="X3508" s="47"/>
      <c r="Y3508" s="45"/>
      <c r="Z3508" s="45"/>
      <c r="AA3508" s="48"/>
      <c r="AB3508" s="48"/>
      <c r="AC3508" s="47"/>
      <c r="AD3508" s="47"/>
      <c r="AE3508" s="47"/>
    </row>
    <row r="3509" spans="1:31" x14ac:dyDescent="0.35">
      <c r="A3509" s="41"/>
      <c r="B3509" s="41"/>
      <c r="C3509" s="42"/>
      <c r="D3509" s="43"/>
      <c r="E3509" s="43"/>
      <c r="F3509" s="43"/>
      <c r="G3509" s="43"/>
      <c r="H3509" s="43"/>
      <c r="I3509" s="43"/>
      <c r="J3509" s="43"/>
      <c r="K3509" s="43"/>
      <c r="L3509" s="43"/>
      <c r="M3509" s="43"/>
      <c r="N3509" s="43"/>
      <c r="O3509" s="43"/>
      <c r="P3509" s="43"/>
      <c r="Q3509" s="43"/>
      <c r="R3509" s="43"/>
      <c r="S3509" s="43"/>
      <c r="T3509" s="43"/>
      <c r="U3509" s="43"/>
      <c r="V3509" s="41"/>
      <c r="W3509" s="41"/>
      <c r="X3509" s="41"/>
      <c r="Y3509" s="41"/>
      <c r="Z3509" s="41"/>
      <c r="AA3509" s="44"/>
      <c r="AB3509" s="44"/>
      <c r="AC3509" s="43"/>
      <c r="AD3509" s="43"/>
      <c r="AE3509" s="43"/>
    </row>
    <row r="3510" spans="1:31" x14ac:dyDescent="0.35">
      <c r="C3510" s="33"/>
      <c r="D3510" s="34"/>
      <c r="E3510" s="34"/>
      <c r="F3510" s="34"/>
      <c r="G3510" s="34"/>
      <c r="H3510" s="34"/>
      <c r="I3510" s="34"/>
      <c r="J3510" s="34"/>
      <c r="K3510" s="34"/>
      <c r="L3510" s="34"/>
      <c r="M3510" s="34"/>
      <c r="N3510" s="34"/>
      <c r="O3510" s="34"/>
      <c r="AA3510" s="35"/>
      <c r="AB3510" s="35"/>
      <c r="AC3510" s="34"/>
      <c r="AD3510" s="34"/>
      <c r="AE3510" s="34"/>
    </row>
    <row r="3511" spans="1:31" ht="15" thickBot="1" x14ac:dyDescent="0.4">
      <c r="A3511" s="45"/>
      <c r="B3511" s="45"/>
      <c r="C3511" s="46"/>
      <c r="D3511" s="47"/>
      <c r="E3511" s="47"/>
      <c r="F3511" s="47"/>
      <c r="G3511" s="47"/>
      <c r="H3511" s="47"/>
      <c r="I3511" s="47"/>
      <c r="J3511" s="47"/>
      <c r="K3511" s="47"/>
      <c r="L3511" s="47"/>
      <c r="M3511" s="47"/>
      <c r="N3511" s="47"/>
      <c r="O3511" s="47"/>
      <c r="P3511" s="47"/>
      <c r="Q3511" s="47"/>
      <c r="R3511" s="47"/>
      <c r="S3511" s="47"/>
      <c r="T3511" s="45"/>
      <c r="U3511" s="45"/>
      <c r="V3511" s="45"/>
      <c r="W3511" s="45"/>
      <c r="X3511" s="47"/>
      <c r="Y3511" s="45"/>
      <c r="Z3511" s="45"/>
      <c r="AA3511" s="48"/>
      <c r="AB3511" s="48"/>
      <c r="AC3511" s="47"/>
      <c r="AD3511" s="47"/>
      <c r="AE3511" s="47"/>
    </row>
    <row r="3512" spans="1:31" x14ac:dyDescent="0.35">
      <c r="A3512" s="41"/>
      <c r="B3512" s="41"/>
      <c r="C3512" s="42"/>
      <c r="D3512" s="43"/>
      <c r="E3512" s="43"/>
      <c r="F3512" s="43"/>
      <c r="G3512" s="43"/>
      <c r="H3512" s="43"/>
      <c r="I3512" s="43"/>
      <c r="J3512" s="43"/>
      <c r="K3512" s="43"/>
      <c r="L3512" s="43"/>
      <c r="M3512" s="43"/>
      <c r="N3512" s="43"/>
      <c r="O3512" s="43"/>
      <c r="P3512" s="43"/>
      <c r="Q3512" s="43"/>
      <c r="R3512" s="43"/>
      <c r="S3512" s="43"/>
      <c r="T3512" s="43"/>
      <c r="U3512" s="43"/>
      <c r="V3512" s="41"/>
      <c r="W3512" s="41"/>
      <c r="X3512" s="41"/>
      <c r="Y3512" s="41"/>
      <c r="Z3512" s="41"/>
      <c r="AA3512" s="44"/>
      <c r="AB3512" s="44"/>
      <c r="AC3512" s="43"/>
      <c r="AD3512" s="43"/>
      <c r="AE3512" s="43"/>
    </row>
    <row r="3513" spans="1:31" x14ac:dyDescent="0.35">
      <c r="C3513" s="33"/>
      <c r="D3513" s="34"/>
      <c r="E3513" s="34"/>
      <c r="F3513" s="34"/>
      <c r="G3513" s="34"/>
      <c r="H3513" s="34"/>
      <c r="I3513" s="34"/>
      <c r="J3513" s="34"/>
      <c r="K3513" s="34"/>
      <c r="L3513" s="34"/>
      <c r="M3513" s="34"/>
      <c r="N3513" s="34"/>
      <c r="O3513" s="34"/>
      <c r="AA3513" s="35"/>
      <c r="AB3513" s="35"/>
      <c r="AC3513" s="34"/>
      <c r="AD3513" s="34"/>
      <c r="AE3513" s="34"/>
    </row>
    <row r="3514" spans="1:31" ht="15" thickBot="1" x14ac:dyDescent="0.4">
      <c r="A3514" s="45"/>
      <c r="B3514" s="45"/>
      <c r="C3514" s="46"/>
      <c r="D3514" s="47"/>
      <c r="E3514" s="47"/>
      <c r="F3514" s="47"/>
      <c r="G3514" s="47"/>
      <c r="H3514" s="47"/>
      <c r="I3514" s="47"/>
      <c r="J3514" s="47"/>
      <c r="K3514" s="47"/>
      <c r="L3514" s="47"/>
      <c r="M3514" s="47"/>
      <c r="N3514" s="47"/>
      <c r="O3514" s="47"/>
      <c r="P3514" s="47"/>
      <c r="Q3514" s="47"/>
      <c r="R3514" s="47"/>
      <c r="S3514" s="47"/>
      <c r="T3514" s="45"/>
      <c r="U3514" s="45"/>
      <c r="V3514" s="45"/>
      <c r="W3514" s="45"/>
      <c r="X3514" s="47"/>
      <c r="Y3514" s="45"/>
      <c r="Z3514" s="45"/>
      <c r="AA3514" s="48"/>
      <c r="AB3514" s="48"/>
      <c r="AC3514" s="47"/>
      <c r="AD3514" s="47"/>
      <c r="AE3514" s="47"/>
    </row>
    <row r="3515" spans="1:31" x14ac:dyDescent="0.35">
      <c r="A3515" s="41"/>
      <c r="B3515" s="41"/>
      <c r="C3515" s="42"/>
      <c r="D3515" s="43"/>
      <c r="E3515" s="43"/>
      <c r="F3515" s="43"/>
      <c r="G3515" s="43"/>
      <c r="H3515" s="43"/>
      <c r="I3515" s="43"/>
      <c r="J3515" s="43"/>
      <c r="K3515" s="43"/>
      <c r="L3515" s="43"/>
      <c r="M3515" s="43"/>
      <c r="N3515" s="43"/>
      <c r="O3515" s="43"/>
      <c r="P3515" s="43"/>
      <c r="Q3515" s="43"/>
      <c r="R3515" s="43"/>
      <c r="S3515" s="43"/>
      <c r="T3515" s="43"/>
      <c r="U3515" s="43"/>
      <c r="V3515" s="41"/>
      <c r="W3515" s="41"/>
      <c r="X3515" s="41"/>
      <c r="Y3515" s="41"/>
      <c r="Z3515" s="41"/>
      <c r="AA3515" s="44"/>
      <c r="AB3515" s="44"/>
      <c r="AC3515" s="43"/>
      <c r="AD3515" s="43"/>
      <c r="AE3515" s="43"/>
    </row>
    <row r="3516" spans="1:31" x14ac:dyDescent="0.35">
      <c r="C3516" s="33"/>
      <c r="D3516" s="34"/>
      <c r="E3516" s="34"/>
      <c r="F3516" s="34"/>
      <c r="G3516" s="34"/>
      <c r="H3516" s="34"/>
      <c r="I3516" s="34"/>
      <c r="J3516" s="34"/>
      <c r="K3516" s="34"/>
      <c r="L3516" s="34"/>
      <c r="M3516" s="34"/>
      <c r="N3516" s="34"/>
      <c r="O3516" s="34"/>
      <c r="AA3516" s="35"/>
      <c r="AB3516" s="35"/>
      <c r="AC3516" s="34"/>
      <c r="AD3516" s="34"/>
      <c r="AE3516" s="34"/>
    </row>
    <row r="3517" spans="1:31" ht="15" thickBot="1" x14ac:dyDescent="0.4">
      <c r="A3517" s="45"/>
      <c r="B3517" s="45"/>
      <c r="C3517" s="46"/>
      <c r="D3517" s="47"/>
      <c r="E3517" s="47"/>
      <c r="F3517" s="47"/>
      <c r="G3517" s="47"/>
      <c r="H3517" s="47"/>
      <c r="I3517" s="47"/>
      <c r="J3517" s="47"/>
      <c r="K3517" s="47"/>
      <c r="L3517" s="47"/>
      <c r="M3517" s="47"/>
      <c r="N3517" s="47"/>
      <c r="O3517" s="47"/>
      <c r="P3517" s="47"/>
      <c r="Q3517" s="47"/>
      <c r="R3517" s="47"/>
      <c r="S3517" s="47"/>
      <c r="T3517" s="45"/>
      <c r="U3517" s="45"/>
      <c r="V3517" s="45"/>
      <c r="W3517" s="45"/>
      <c r="X3517" s="47"/>
      <c r="Y3517" s="45"/>
      <c r="Z3517" s="45"/>
      <c r="AA3517" s="48"/>
      <c r="AB3517" s="48"/>
      <c r="AC3517" s="47"/>
      <c r="AD3517" s="47"/>
      <c r="AE3517" s="47"/>
    </row>
    <row r="3518" spans="1:31" x14ac:dyDescent="0.35">
      <c r="A3518" s="41"/>
      <c r="B3518" s="41"/>
      <c r="C3518" s="42"/>
      <c r="D3518" s="43"/>
      <c r="E3518" s="43"/>
      <c r="F3518" s="43"/>
      <c r="G3518" s="43"/>
      <c r="H3518" s="43"/>
      <c r="I3518" s="43"/>
      <c r="J3518" s="43"/>
      <c r="K3518" s="43"/>
      <c r="L3518" s="43"/>
      <c r="M3518" s="43"/>
      <c r="N3518" s="43"/>
      <c r="O3518" s="43"/>
      <c r="P3518" s="43"/>
      <c r="Q3518" s="43"/>
      <c r="R3518" s="43"/>
      <c r="S3518" s="43"/>
      <c r="T3518" s="43"/>
      <c r="U3518" s="43"/>
      <c r="V3518" s="41"/>
      <c r="W3518" s="41"/>
      <c r="X3518" s="41"/>
      <c r="Y3518" s="41"/>
      <c r="Z3518" s="41"/>
      <c r="AA3518" s="44"/>
      <c r="AB3518" s="44"/>
      <c r="AC3518" s="43"/>
      <c r="AD3518" s="43"/>
      <c r="AE3518" s="43"/>
    </row>
    <row r="3519" spans="1:31" x14ac:dyDescent="0.35">
      <c r="C3519" s="33"/>
      <c r="D3519" s="34"/>
      <c r="E3519" s="34"/>
      <c r="F3519" s="34"/>
      <c r="G3519" s="34"/>
      <c r="H3519" s="34"/>
      <c r="I3519" s="34"/>
      <c r="J3519" s="34"/>
      <c r="K3519" s="34"/>
      <c r="L3519" s="34"/>
      <c r="M3519" s="34"/>
      <c r="N3519" s="34"/>
      <c r="O3519" s="34"/>
      <c r="AA3519" s="35"/>
      <c r="AB3519" s="35"/>
      <c r="AC3519" s="34"/>
      <c r="AD3519" s="34"/>
      <c r="AE3519" s="34"/>
    </row>
    <row r="3520" spans="1:31" ht="15" thickBot="1" x14ac:dyDescent="0.4">
      <c r="A3520" s="45"/>
      <c r="B3520" s="45"/>
      <c r="C3520" s="46"/>
      <c r="D3520" s="47"/>
      <c r="E3520" s="47"/>
      <c r="F3520" s="47"/>
      <c r="G3520" s="47"/>
      <c r="H3520" s="47"/>
      <c r="I3520" s="47"/>
      <c r="J3520" s="47"/>
      <c r="K3520" s="47"/>
      <c r="L3520" s="47"/>
      <c r="M3520" s="47"/>
      <c r="N3520" s="47"/>
      <c r="O3520" s="47"/>
      <c r="P3520" s="47"/>
      <c r="Q3520" s="47"/>
      <c r="R3520" s="47"/>
      <c r="S3520" s="47"/>
      <c r="T3520" s="45"/>
      <c r="U3520" s="45"/>
      <c r="V3520" s="45"/>
      <c r="W3520" s="45"/>
      <c r="X3520" s="47"/>
      <c r="Y3520" s="45"/>
      <c r="Z3520" s="45"/>
      <c r="AA3520" s="48"/>
      <c r="AB3520" s="48"/>
      <c r="AC3520" s="47"/>
      <c r="AD3520" s="47"/>
      <c r="AE3520" s="47"/>
    </row>
    <row r="3521" spans="1:31" x14ac:dyDescent="0.35">
      <c r="A3521" s="41"/>
      <c r="B3521" s="41"/>
      <c r="C3521" s="42"/>
      <c r="D3521" s="43"/>
      <c r="E3521" s="43"/>
      <c r="F3521" s="43"/>
      <c r="G3521" s="43"/>
      <c r="H3521" s="43"/>
      <c r="I3521" s="43"/>
      <c r="J3521" s="43"/>
      <c r="K3521" s="43"/>
      <c r="L3521" s="43"/>
      <c r="M3521" s="43"/>
      <c r="N3521" s="43"/>
      <c r="O3521" s="43"/>
      <c r="P3521" s="43"/>
      <c r="Q3521" s="43"/>
      <c r="R3521" s="43"/>
      <c r="S3521" s="43"/>
      <c r="T3521" s="43"/>
      <c r="U3521" s="43"/>
      <c r="V3521" s="41"/>
      <c r="W3521" s="41"/>
      <c r="X3521" s="41"/>
      <c r="Y3521" s="41"/>
      <c r="Z3521" s="41"/>
      <c r="AA3521" s="44"/>
      <c r="AB3521" s="44"/>
      <c r="AC3521" s="43"/>
      <c r="AD3521" s="43"/>
      <c r="AE3521" s="43"/>
    </row>
    <row r="3522" spans="1:31" x14ac:dyDescent="0.35">
      <c r="C3522" s="33"/>
      <c r="D3522" s="34"/>
      <c r="E3522" s="34"/>
      <c r="F3522" s="34"/>
      <c r="G3522" s="34"/>
      <c r="H3522" s="34"/>
      <c r="I3522" s="34"/>
      <c r="J3522" s="34"/>
      <c r="K3522" s="34"/>
      <c r="L3522" s="34"/>
      <c r="M3522" s="34"/>
      <c r="N3522" s="34"/>
      <c r="O3522" s="34"/>
      <c r="AA3522" s="35"/>
      <c r="AB3522" s="35"/>
      <c r="AC3522" s="34"/>
      <c r="AD3522" s="34"/>
      <c r="AE3522" s="34"/>
    </row>
    <row r="3523" spans="1:31" ht="15" thickBot="1" x14ac:dyDescent="0.4">
      <c r="A3523" s="45"/>
      <c r="B3523" s="45"/>
      <c r="C3523" s="46"/>
      <c r="D3523" s="47"/>
      <c r="E3523" s="47"/>
      <c r="F3523" s="47"/>
      <c r="G3523" s="47"/>
      <c r="H3523" s="47"/>
      <c r="I3523" s="47"/>
      <c r="J3523" s="47"/>
      <c r="K3523" s="47"/>
      <c r="L3523" s="47"/>
      <c r="M3523" s="47"/>
      <c r="N3523" s="47"/>
      <c r="O3523" s="47"/>
      <c r="P3523" s="47"/>
      <c r="Q3523" s="47"/>
      <c r="R3523" s="47"/>
      <c r="S3523" s="47"/>
      <c r="T3523" s="45"/>
      <c r="U3523" s="45"/>
      <c r="V3523" s="45"/>
      <c r="W3523" s="45"/>
      <c r="X3523" s="47"/>
      <c r="Y3523" s="45"/>
      <c r="Z3523" s="45"/>
      <c r="AA3523" s="48"/>
      <c r="AB3523" s="48"/>
      <c r="AC3523" s="47"/>
      <c r="AD3523" s="47"/>
      <c r="AE3523" s="47"/>
    </row>
    <row r="3524" spans="1:31" x14ac:dyDescent="0.35">
      <c r="A3524" s="41"/>
      <c r="B3524" s="41"/>
      <c r="C3524" s="42"/>
      <c r="D3524" s="43"/>
      <c r="E3524" s="43"/>
      <c r="F3524" s="43"/>
      <c r="G3524" s="43"/>
      <c r="H3524" s="43"/>
      <c r="I3524" s="43"/>
      <c r="J3524" s="43"/>
      <c r="K3524" s="43"/>
      <c r="L3524" s="43"/>
      <c r="M3524" s="43"/>
      <c r="N3524" s="43"/>
      <c r="O3524" s="43"/>
      <c r="P3524" s="43"/>
      <c r="Q3524" s="43"/>
      <c r="R3524" s="43"/>
      <c r="S3524" s="43"/>
      <c r="T3524" s="43"/>
      <c r="U3524" s="43"/>
      <c r="V3524" s="41"/>
      <c r="W3524" s="41"/>
      <c r="X3524" s="41"/>
      <c r="Y3524" s="41"/>
      <c r="Z3524" s="41"/>
      <c r="AA3524" s="44"/>
      <c r="AB3524" s="44"/>
      <c r="AC3524" s="43"/>
      <c r="AD3524" s="43"/>
      <c r="AE3524" s="43"/>
    </row>
    <row r="3525" spans="1:31" x14ac:dyDescent="0.35">
      <c r="C3525" s="33"/>
      <c r="D3525" s="34"/>
      <c r="E3525" s="34"/>
      <c r="F3525" s="34"/>
      <c r="G3525" s="34"/>
      <c r="H3525" s="34"/>
      <c r="I3525" s="34"/>
      <c r="J3525" s="34"/>
      <c r="K3525" s="34"/>
      <c r="L3525" s="34"/>
      <c r="M3525" s="34"/>
      <c r="N3525" s="34"/>
      <c r="O3525" s="34"/>
      <c r="AA3525" s="35"/>
      <c r="AB3525" s="35"/>
      <c r="AC3525" s="34"/>
      <c r="AD3525" s="34"/>
      <c r="AE3525" s="34"/>
    </row>
    <row r="3526" spans="1:31" ht="15" thickBot="1" x14ac:dyDescent="0.4">
      <c r="A3526" s="45"/>
      <c r="B3526" s="45"/>
      <c r="C3526" s="46"/>
      <c r="D3526" s="47"/>
      <c r="E3526" s="47"/>
      <c r="F3526" s="47"/>
      <c r="G3526" s="47"/>
      <c r="H3526" s="47"/>
      <c r="I3526" s="47"/>
      <c r="J3526" s="47"/>
      <c r="K3526" s="47"/>
      <c r="L3526" s="47"/>
      <c r="M3526" s="47"/>
      <c r="N3526" s="47"/>
      <c r="O3526" s="47"/>
      <c r="P3526" s="47"/>
      <c r="Q3526" s="47"/>
      <c r="R3526" s="47"/>
      <c r="S3526" s="47"/>
      <c r="T3526" s="45"/>
      <c r="U3526" s="45"/>
      <c r="V3526" s="45"/>
      <c r="W3526" s="45"/>
      <c r="X3526" s="47"/>
      <c r="Y3526" s="45"/>
      <c r="Z3526" s="45"/>
      <c r="AA3526" s="48"/>
      <c r="AB3526" s="48"/>
      <c r="AC3526" s="47"/>
      <c r="AD3526" s="47"/>
      <c r="AE3526" s="47"/>
    </row>
    <row r="3527" spans="1:31" x14ac:dyDescent="0.35">
      <c r="A3527" s="41"/>
      <c r="B3527" s="41"/>
      <c r="C3527" s="42"/>
      <c r="D3527" s="43"/>
      <c r="E3527" s="43"/>
      <c r="F3527" s="43"/>
      <c r="G3527" s="43"/>
      <c r="H3527" s="43"/>
      <c r="I3527" s="43"/>
      <c r="J3527" s="43"/>
      <c r="K3527" s="43"/>
      <c r="L3527" s="43"/>
      <c r="M3527" s="43"/>
      <c r="N3527" s="43"/>
      <c r="O3527" s="43"/>
      <c r="P3527" s="43"/>
      <c r="Q3527" s="43"/>
      <c r="R3527" s="43"/>
      <c r="S3527" s="43"/>
      <c r="T3527" s="43"/>
      <c r="U3527" s="43"/>
      <c r="V3527" s="41"/>
      <c r="W3527" s="41"/>
      <c r="X3527" s="41"/>
      <c r="Y3527" s="41"/>
      <c r="Z3527" s="41"/>
      <c r="AA3527" s="44"/>
      <c r="AB3527" s="44"/>
      <c r="AC3527" s="43"/>
      <c r="AD3527" s="43"/>
      <c r="AE3527" s="43"/>
    </row>
    <row r="3528" spans="1:31" x14ac:dyDescent="0.35">
      <c r="C3528" s="33"/>
      <c r="D3528" s="34"/>
      <c r="E3528" s="34"/>
      <c r="F3528" s="34"/>
      <c r="G3528" s="34"/>
      <c r="H3528" s="34"/>
      <c r="I3528" s="34"/>
      <c r="J3528" s="34"/>
      <c r="K3528" s="34"/>
      <c r="L3528" s="34"/>
      <c r="M3528" s="34"/>
      <c r="N3528" s="34"/>
      <c r="O3528" s="34"/>
      <c r="AA3528" s="35"/>
      <c r="AB3528" s="35"/>
      <c r="AC3528" s="34"/>
      <c r="AD3528" s="34"/>
      <c r="AE3528" s="34"/>
    </row>
    <row r="3529" spans="1:31" ht="15" thickBot="1" x14ac:dyDescent="0.4">
      <c r="A3529" s="45"/>
      <c r="B3529" s="45"/>
      <c r="C3529" s="46"/>
      <c r="D3529" s="47"/>
      <c r="E3529" s="47"/>
      <c r="F3529" s="47"/>
      <c r="G3529" s="47"/>
      <c r="H3529" s="47"/>
      <c r="I3529" s="47"/>
      <c r="J3529" s="47"/>
      <c r="K3529" s="47"/>
      <c r="L3529" s="47"/>
      <c r="M3529" s="47"/>
      <c r="N3529" s="47"/>
      <c r="O3529" s="47"/>
      <c r="P3529" s="47"/>
      <c r="Q3529" s="47"/>
      <c r="R3529" s="47"/>
      <c r="S3529" s="47"/>
      <c r="T3529" s="45"/>
      <c r="U3529" s="45"/>
      <c r="V3529" s="45"/>
      <c r="W3529" s="45"/>
      <c r="X3529" s="47"/>
      <c r="Y3529" s="45"/>
      <c r="Z3529" s="45"/>
      <c r="AA3529" s="48"/>
      <c r="AB3529" s="48"/>
      <c r="AC3529" s="47"/>
      <c r="AD3529" s="47"/>
      <c r="AE3529" s="47"/>
    </row>
    <row r="3530" spans="1:31" x14ac:dyDescent="0.35">
      <c r="A3530" s="41"/>
      <c r="B3530" s="41"/>
      <c r="C3530" s="42"/>
      <c r="D3530" s="43"/>
      <c r="E3530" s="43"/>
      <c r="F3530" s="43"/>
      <c r="G3530" s="43"/>
      <c r="H3530" s="43"/>
      <c r="I3530" s="43"/>
      <c r="J3530" s="43"/>
      <c r="K3530" s="43"/>
      <c r="L3530" s="43"/>
      <c r="M3530" s="43"/>
      <c r="N3530" s="43"/>
      <c r="O3530" s="43"/>
      <c r="P3530" s="43"/>
      <c r="Q3530" s="43"/>
      <c r="R3530" s="43"/>
      <c r="S3530" s="43"/>
      <c r="T3530" s="43"/>
      <c r="U3530" s="43"/>
      <c r="V3530" s="41"/>
      <c r="W3530" s="41"/>
      <c r="X3530" s="41"/>
      <c r="Y3530" s="41"/>
      <c r="Z3530" s="41"/>
      <c r="AA3530" s="44"/>
      <c r="AB3530" s="44"/>
      <c r="AC3530" s="43"/>
      <c r="AD3530" s="43"/>
      <c r="AE3530" s="43"/>
    </row>
    <row r="3531" spans="1:31" x14ac:dyDescent="0.35">
      <c r="C3531" s="33"/>
      <c r="D3531" s="34"/>
      <c r="E3531" s="34"/>
      <c r="F3531" s="34"/>
      <c r="G3531" s="34"/>
      <c r="H3531" s="34"/>
      <c r="I3531" s="34"/>
      <c r="J3531" s="34"/>
      <c r="K3531" s="34"/>
      <c r="L3531" s="34"/>
      <c r="M3531" s="34"/>
      <c r="N3531" s="34"/>
      <c r="O3531" s="34"/>
      <c r="AA3531" s="35"/>
      <c r="AB3531" s="35"/>
      <c r="AC3531" s="34"/>
      <c r="AD3531" s="34"/>
      <c r="AE3531" s="34"/>
    </row>
    <row r="3532" spans="1:31" ht="15" thickBot="1" x14ac:dyDescent="0.4">
      <c r="A3532" s="45"/>
      <c r="B3532" s="45"/>
      <c r="C3532" s="46"/>
      <c r="D3532" s="47"/>
      <c r="E3532" s="47"/>
      <c r="F3532" s="47"/>
      <c r="G3532" s="47"/>
      <c r="H3532" s="47"/>
      <c r="I3532" s="47"/>
      <c r="J3532" s="47"/>
      <c r="K3532" s="47"/>
      <c r="L3532" s="47"/>
      <c r="M3532" s="47"/>
      <c r="N3532" s="47"/>
      <c r="O3532" s="47"/>
      <c r="P3532" s="47"/>
      <c r="Q3532" s="47"/>
      <c r="R3532" s="47"/>
      <c r="S3532" s="47"/>
      <c r="T3532" s="45"/>
      <c r="U3532" s="45"/>
      <c r="V3532" s="45"/>
      <c r="W3532" s="45"/>
      <c r="X3532" s="47"/>
      <c r="Y3532" s="45"/>
      <c r="Z3532" s="45"/>
      <c r="AA3532" s="48"/>
      <c r="AB3532" s="48"/>
      <c r="AC3532" s="47"/>
      <c r="AD3532" s="47"/>
      <c r="AE3532" s="47"/>
    </row>
    <row r="3533" spans="1:31" x14ac:dyDescent="0.35">
      <c r="A3533" s="41"/>
      <c r="B3533" s="41"/>
      <c r="C3533" s="42"/>
      <c r="D3533" s="43"/>
      <c r="E3533" s="43"/>
      <c r="F3533" s="43"/>
      <c r="G3533" s="43"/>
      <c r="H3533" s="43"/>
      <c r="I3533" s="43"/>
      <c r="J3533" s="43"/>
      <c r="K3533" s="43"/>
      <c r="L3533" s="43"/>
      <c r="M3533" s="43"/>
      <c r="N3533" s="43"/>
      <c r="O3533" s="43"/>
      <c r="P3533" s="43"/>
      <c r="Q3533" s="43"/>
      <c r="R3533" s="43"/>
      <c r="S3533" s="43"/>
      <c r="T3533" s="43"/>
      <c r="U3533" s="43"/>
      <c r="V3533" s="41"/>
      <c r="W3533" s="41"/>
      <c r="X3533" s="41"/>
      <c r="Y3533" s="41"/>
      <c r="Z3533" s="41"/>
      <c r="AA3533" s="44"/>
      <c r="AB3533" s="44"/>
      <c r="AC3533" s="43"/>
      <c r="AD3533" s="43"/>
      <c r="AE3533" s="43"/>
    </row>
    <row r="3534" spans="1:31" x14ac:dyDescent="0.35">
      <c r="C3534" s="33"/>
      <c r="D3534" s="34"/>
      <c r="E3534" s="34"/>
      <c r="F3534" s="34"/>
      <c r="G3534" s="34"/>
      <c r="H3534" s="34"/>
      <c r="I3534" s="34"/>
      <c r="J3534" s="34"/>
      <c r="K3534" s="34"/>
      <c r="L3534" s="34"/>
      <c r="M3534" s="34"/>
      <c r="N3534" s="34"/>
      <c r="O3534" s="34"/>
      <c r="AA3534" s="35"/>
      <c r="AB3534" s="35"/>
      <c r="AC3534" s="34"/>
      <c r="AD3534" s="34"/>
      <c r="AE3534" s="34"/>
    </row>
    <row r="3535" spans="1:31" ht="15" thickBot="1" x14ac:dyDescent="0.4">
      <c r="A3535" s="45"/>
      <c r="B3535" s="45"/>
      <c r="C3535" s="46"/>
      <c r="D3535" s="47"/>
      <c r="E3535" s="47"/>
      <c r="F3535" s="47"/>
      <c r="G3535" s="47"/>
      <c r="H3535" s="47"/>
      <c r="I3535" s="47"/>
      <c r="J3535" s="47"/>
      <c r="K3535" s="47"/>
      <c r="L3535" s="47"/>
      <c r="M3535" s="47"/>
      <c r="N3535" s="47"/>
      <c r="O3535" s="47"/>
      <c r="P3535" s="47"/>
      <c r="Q3535" s="47"/>
      <c r="R3535" s="47"/>
      <c r="S3535" s="47"/>
      <c r="T3535" s="45"/>
      <c r="U3535" s="45"/>
      <c r="V3535" s="45"/>
      <c r="W3535" s="45"/>
      <c r="X3535" s="47"/>
      <c r="Y3535" s="45"/>
      <c r="Z3535" s="45"/>
      <c r="AA3535" s="48"/>
      <c r="AB3535" s="48"/>
      <c r="AC3535" s="47"/>
      <c r="AD3535" s="47"/>
      <c r="AE3535" s="47"/>
    </row>
    <row r="3536" spans="1:31" x14ac:dyDescent="0.35">
      <c r="A3536" s="41"/>
      <c r="B3536" s="41"/>
      <c r="C3536" s="42"/>
      <c r="D3536" s="43"/>
      <c r="E3536" s="43"/>
      <c r="F3536" s="43"/>
      <c r="G3536" s="43"/>
      <c r="H3536" s="43"/>
      <c r="I3536" s="43"/>
      <c r="J3536" s="43"/>
      <c r="K3536" s="43"/>
      <c r="L3536" s="43"/>
      <c r="M3536" s="43"/>
      <c r="N3536" s="43"/>
      <c r="O3536" s="43"/>
      <c r="P3536" s="43"/>
      <c r="Q3536" s="43"/>
      <c r="R3536" s="43"/>
      <c r="S3536" s="43"/>
      <c r="T3536" s="43"/>
      <c r="U3536" s="43"/>
      <c r="V3536" s="41"/>
      <c r="W3536" s="41"/>
      <c r="X3536" s="41"/>
      <c r="Y3536" s="41"/>
      <c r="Z3536" s="41"/>
      <c r="AA3536" s="44"/>
      <c r="AB3536" s="44"/>
      <c r="AC3536" s="43"/>
      <c r="AD3536" s="43"/>
      <c r="AE3536" s="43"/>
    </row>
    <row r="3537" spans="1:31" x14ac:dyDescent="0.35">
      <c r="C3537" s="33"/>
      <c r="D3537" s="34"/>
      <c r="E3537" s="34"/>
      <c r="F3537" s="34"/>
      <c r="G3537" s="34"/>
      <c r="H3537" s="34"/>
      <c r="I3537" s="34"/>
      <c r="J3537" s="34"/>
      <c r="K3537" s="34"/>
      <c r="L3537" s="34"/>
      <c r="M3537" s="34"/>
      <c r="N3537" s="34"/>
      <c r="O3537" s="34"/>
      <c r="AA3537" s="35"/>
      <c r="AB3537" s="35"/>
      <c r="AC3537" s="34"/>
      <c r="AD3537" s="34"/>
      <c r="AE3537" s="34"/>
    </row>
    <row r="3538" spans="1:31" ht="15" thickBot="1" x14ac:dyDescent="0.4">
      <c r="A3538" s="45"/>
      <c r="B3538" s="45"/>
      <c r="C3538" s="46"/>
      <c r="D3538" s="47"/>
      <c r="E3538" s="47"/>
      <c r="F3538" s="47"/>
      <c r="G3538" s="47"/>
      <c r="H3538" s="47"/>
      <c r="I3538" s="47"/>
      <c r="J3538" s="47"/>
      <c r="K3538" s="47"/>
      <c r="L3538" s="47"/>
      <c r="M3538" s="47"/>
      <c r="N3538" s="47"/>
      <c r="O3538" s="47"/>
      <c r="P3538" s="47"/>
      <c r="Q3538" s="47"/>
      <c r="R3538" s="47"/>
      <c r="S3538" s="47"/>
      <c r="T3538" s="45"/>
      <c r="U3538" s="45"/>
      <c r="V3538" s="45"/>
      <c r="W3538" s="45"/>
      <c r="X3538" s="47"/>
      <c r="Y3538" s="45"/>
      <c r="Z3538" s="45"/>
      <c r="AA3538" s="48"/>
      <c r="AB3538" s="48"/>
      <c r="AC3538" s="47"/>
      <c r="AD3538" s="47"/>
      <c r="AE3538" s="47"/>
    </row>
    <row r="3539" spans="1:31" x14ac:dyDescent="0.35">
      <c r="A3539" s="41"/>
      <c r="B3539" s="41"/>
      <c r="C3539" s="42"/>
      <c r="D3539" s="43"/>
      <c r="E3539" s="43"/>
      <c r="F3539" s="43"/>
      <c r="G3539" s="43"/>
      <c r="H3539" s="43"/>
      <c r="I3539" s="43"/>
      <c r="J3539" s="43"/>
      <c r="K3539" s="43"/>
      <c r="L3539" s="43"/>
      <c r="M3539" s="43"/>
      <c r="N3539" s="43"/>
      <c r="O3539" s="43"/>
      <c r="P3539" s="43"/>
      <c r="Q3539" s="43"/>
      <c r="R3539" s="43"/>
      <c r="S3539" s="43"/>
      <c r="T3539" s="43"/>
      <c r="U3539" s="43"/>
      <c r="V3539" s="41"/>
      <c r="W3539" s="41"/>
      <c r="X3539" s="41"/>
      <c r="Y3539" s="41"/>
      <c r="Z3539" s="41"/>
      <c r="AA3539" s="44"/>
      <c r="AB3539" s="44"/>
      <c r="AC3539" s="43"/>
      <c r="AD3539" s="43"/>
      <c r="AE3539" s="43"/>
    </row>
    <row r="3540" spans="1:31" x14ac:dyDescent="0.35">
      <c r="C3540" s="33"/>
      <c r="D3540" s="34"/>
      <c r="E3540" s="34"/>
      <c r="F3540" s="34"/>
      <c r="G3540" s="34"/>
      <c r="H3540" s="34"/>
      <c r="I3540" s="34"/>
      <c r="J3540" s="34"/>
      <c r="K3540" s="34"/>
      <c r="L3540" s="34"/>
      <c r="M3540" s="34"/>
      <c r="N3540" s="34"/>
      <c r="O3540" s="34"/>
      <c r="AA3540" s="35"/>
      <c r="AB3540" s="35"/>
      <c r="AC3540" s="34"/>
      <c r="AD3540" s="34"/>
      <c r="AE3540" s="34"/>
    </row>
    <row r="3541" spans="1:31" ht="15" thickBot="1" x14ac:dyDescent="0.4">
      <c r="A3541" s="45"/>
      <c r="B3541" s="45"/>
      <c r="C3541" s="46"/>
      <c r="D3541" s="47"/>
      <c r="E3541" s="47"/>
      <c r="F3541" s="47"/>
      <c r="G3541" s="47"/>
      <c r="H3541" s="47"/>
      <c r="I3541" s="47"/>
      <c r="J3541" s="47"/>
      <c r="K3541" s="47"/>
      <c r="L3541" s="47"/>
      <c r="M3541" s="47"/>
      <c r="N3541" s="47"/>
      <c r="O3541" s="47"/>
      <c r="P3541" s="47"/>
      <c r="Q3541" s="47"/>
      <c r="R3541" s="47"/>
      <c r="S3541" s="47"/>
      <c r="T3541" s="45"/>
      <c r="U3541" s="45"/>
      <c r="V3541" s="45"/>
      <c r="W3541" s="45"/>
      <c r="X3541" s="47"/>
      <c r="Y3541" s="45"/>
      <c r="Z3541" s="45"/>
      <c r="AA3541" s="48"/>
      <c r="AB3541" s="48"/>
      <c r="AC3541" s="47"/>
      <c r="AD3541" s="47"/>
      <c r="AE3541" s="47"/>
    </row>
    <row r="3542" spans="1:31" x14ac:dyDescent="0.35">
      <c r="A3542" s="41"/>
      <c r="B3542" s="41"/>
      <c r="C3542" s="42"/>
      <c r="D3542" s="43"/>
      <c r="E3542" s="43"/>
      <c r="F3542" s="43"/>
      <c r="G3542" s="43"/>
      <c r="H3542" s="43"/>
      <c r="I3542" s="43"/>
      <c r="J3542" s="43"/>
      <c r="K3542" s="43"/>
      <c r="L3542" s="43"/>
      <c r="M3542" s="43"/>
      <c r="N3542" s="43"/>
      <c r="O3542" s="43"/>
      <c r="P3542" s="43"/>
      <c r="Q3542" s="43"/>
      <c r="R3542" s="43"/>
      <c r="S3542" s="43"/>
      <c r="T3542" s="43"/>
      <c r="U3542" s="43"/>
      <c r="V3542" s="41"/>
      <c r="W3542" s="41"/>
      <c r="X3542" s="41"/>
      <c r="Y3542" s="41"/>
      <c r="Z3542" s="41"/>
      <c r="AA3542" s="44"/>
      <c r="AB3542" s="44"/>
      <c r="AC3542" s="43"/>
      <c r="AD3542" s="43"/>
      <c r="AE3542" s="43"/>
    </row>
    <row r="3543" spans="1:31" x14ac:dyDescent="0.35">
      <c r="C3543" s="33"/>
      <c r="D3543" s="34"/>
      <c r="E3543" s="34"/>
      <c r="F3543" s="34"/>
      <c r="G3543" s="34"/>
      <c r="H3543" s="34"/>
      <c r="I3543" s="34"/>
      <c r="J3543" s="34"/>
      <c r="K3543" s="34"/>
      <c r="L3543" s="34"/>
      <c r="M3543" s="34"/>
      <c r="N3543" s="34"/>
      <c r="O3543" s="34"/>
      <c r="AA3543" s="35"/>
      <c r="AB3543" s="35"/>
      <c r="AC3543" s="34"/>
      <c r="AD3543" s="34"/>
      <c r="AE3543" s="34"/>
    </row>
    <row r="3544" spans="1:31" ht="15" thickBot="1" x14ac:dyDescent="0.4">
      <c r="A3544" s="45"/>
      <c r="B3544" s="45"/>
      <c r="C3544" s="46"/>
      <c r="D3544" s="47"/>
      <c r="E3544" s="47"/>
      <c r="F3544" s="47"/>
      <c r="G3544" s="47"/>
      <c r="H3544" s="47"/>
      <c r="I3544" s="47"/>
      <c r="J3544" s="47"/>
      <c r="K3544" s="47"/>
      <c r="L3544" s="47"/>
      <c r="M3544" s="47"/>
      <c r="N3544" s="47"/>
      <c r="O3544" s="47"/>
      <c r="P3544" s="47"/>
      <c r="Q3544" s="47"/>
      <c r="R3544" s="47"/>
      <c r="S3544" s="47"/>
      <c r="T3544" s="45"/>
      <c r="U3544" s="45"/>
      <c r="V3544" s="45"/>
      <c r="W3544" s="45"/>
      <c r="X3544" s="47"/>
      <c r="Y3544" s="45"/>
      <c r="Z3544" s="45"/>
      <c r="AA3544" s="48"/>
      <c r="AB3544" s="48"/>
      <c r="AC3544" s="47"/>
      <c r="AD3544" s="47"/>
      <c r="AE3544" s="47"/>
    </row>
    <row r="3545" spans="1:31" x14ac:dyDescent="0.35">
      <c r="A3545" s="41"/>
      <c r="B3545" s="41"/>
      <c r="C3545" s="42"/>
      <c r="D3545" s="43"/>
      <c r="E3545" s="43"/>
      <c r="F3545" s="43"/>
      <c r="G3545" s="43"/>
      <c r="H3545" s="43"/>
      <c r="I3545" s="43"/>
      <c r="J3545" s="43"/>
      <c r="K3545" s="43"/>
      <c r="L3545" s="43"/>
      <c r="M3545" s="43"/>
      <c r="N3545" s="43"/>
      <c r="O3545" s="43"/>
      <c r="P3545" s="43"/>
      <c r="Q3545" s="43"/>
      <c r="R3545" s="43"/>
      <c r="S3545" s="43"/>
      <c r="T3545" s="43"/>
      <c r="U3545" s="43"/>
      <c r="V3545" s="41"/>
      <c r="W3545" s="41"/>
      <c r="X3545" s="41"/>
      <c r="Y3545" s="41"/>
      <c r="Z3545" s="41"/>
      <c r="AA3545" s="44"/>
      <c r="AB3545" s="44"/>
      <c r="AC3545" s="43"/>
      <c r="AD3545" s="43"/>
      <c r="AE3545" s="43"/>
    </row>
    <row r="3546" spans="1:31" x14ac:dyDescent="0.35">
      <c r="C3546" s="33"/>
      <c r="D3546" s="34"/>
      <c r="E3546" s="34"/>
      <c r="F3546" s="34"/>
      <c r="G3546" s="34"/>
      <c r="H3546" s="34"/>
      <c r="I3546" s="34"/>
      <c r="J3546" s="34"/>
      <c r="K3546" s="34"/>
      <c r="L3546" s="34"/>
      <c r="M3546" s="34"/>
      <c r="N3546" s="34"/>
      <c r="O3546" s="34"/>
      <c r="AA3546" s="35"/>
      <c r="AB3546" s="35"/>
      <c r="AC3546" s="34"/>
      <c r="AD3546" s="34"/>
      <c r="AE3546" s="34"/>
    </row>
    <row r="3547" spans="1:31" ht="15" thickBot="1" x14ac:dyDescent="0.4">
      <c r="A3547" s="45"/>
      <c r="B3547" s="45"/>
      <c r="C3547" s="46"/>
      <c r="D3547" s="47"/>
      <c r="E3547" s="47"/>
      <c r="F3547" s="47"/>
      <c r="G3547" s="47"/>
      <c r="H3547" s="47"/>
      <c r="I3547" s="47"/>
      <c r="J3547" s="47"/>
      <c r="K3547" s="47"/>
      <c r="L3547" s="47"/>
      <c r="M3547" s="47"/>
      <c r="N3547" s="47"/>
      <c r="O3547" s="47"/>
      <c r="P3547" s="47"/>
      <c r="Q3547" s="47"/>
      <c r="R3547" s="47"/>
      <c r="S3547" s="47"/>
      <c r="T3547" s="45"/>
      <c r="U3547" s="45"/>
      <c r="V3547" s="45"/>
      <c r="W3547" s="45"/>
      <c r="X3547" s="47"/>
      <c r="Y3547" s="45"/>
      <c r="Z3547" s="45"/>
      <c r="AA3547" s="48"/>
      <c r="AB3547" s="48"/>
      <c r="AC3547" s="47"/>
      <c r="AD3547" s="47"/>
      <c r="AE3547" s="47"/>
    </row>
    <row r="3548" spans="1:31" x14ac:dyDescent="0.35">
      <c r="A3548" s="41"/>
      <c r="B3548" s="41"/>
      <c r="C3548" s="42"/>
      <c r="D3548" s="43"/>
      <c r="E3548" s="43"/>
      <c r="F3548" s="43"/>
      <c r="G3548" s="43"/>
      <c r="H3548" s="43"/>
      <c r="I3548" s="43"/>
      <c r="J3548" s="43"/>
      <c r="K3548" s="43"/>
      <c r="L3548" s="43"/>
      <c r="M3548" s="43"/>
      <c r="N3548" s="43"/>
      <c r="O3548" s="43"/>
      <c r="P3548" s="43"/>
      <c r="Q3548" s="43"/>
      <c r="R3548" s="43"/>
      <c r="S3548" s="43"/>
      <c r="T3548" s="43"/>
      <c r="U3548" s="43"/>
      <c r="V3548" s="41"/>
      <c r="W3548" s="41"/>
      <c r="X3548" s="41"/>
      <c r="Y3548" s="41"/>
      <c r="Z3548" s="41"/>
      <c r="AA3548" s="44"/>
      <c r="AB3548" s="44"/>
      <c r="AC3548" s="43"/>
      <c r="AD3548" s="43"/>
      <c r="AE3548" s="43"/>
    </row>
    <row r="3549" spans="1:31" x14ac:dyDescent="0.35">
      <c r="C3549" s="33"/>
      <c r="D3549" s="34"/>
      <c r="E3549" s="34"/>
      <c r="F3549" s="34"/>
      <c r="G3549" s="34"/>
      <c r="H3549" s="34"/>
      <c r="I3549" s="34"/>
      <c r="J3549" s="34"/>
      <c r="K3549" s="34"/>
      <c r="L3549" s="34"/>
      <c r="M3549" s="34"/>
      <c r="N3549" s="34"/>
      <c r="O3549" s="34"/>
      <c r="AA3549" s="35"/>
      <c r="AB3549" s="35"/>
      <c r="AC3549" s="34"/>
      <c r="AD3549" s="34"/>
      <c r="AE3549" s="34"/>
    </row>
    <row r="3550" spans="1:31" ht="15" thickBot="1" x14ac:dyDescent="0.4">
      <c r="A3550" s="45"/>
      <c r="B3550" s="45"/>
      <c r="C3550" s="46"/>
      <c r="D3550" s="47"/>
      <c r="E3550" s="47"/>
      <c r="F3550" s="47"/>
      <c r="G3550" s="47"/>
      <c r="H3550" s="47"/>
      <c r="I3550" s="47"/>
      <c r="J3550" s="47"/>
      <c r="K3550" s="47"/>
      <c r="L3550" s="47"/>
      <c r="M3550" s="47"/>
      <c r="N3550" s="47"/>
      <c r="O3550" s="47"/>
      <c r="P3550" s="47"/>
      <c r="Q3550" s="47"/>
      <c r="R3550" s="47"/>
      <c r="S3550" s="47"/>
      <c r="T3550" s="45"/>
      <c r="U3550" s="45"/>
      <c r="V3550" s="45"/>
      <c r="W3550" s="45"/>
      <c r="X3550" s="47"/>
      <c r="Y3550" s="45"/>
      <c r="Z3550" s="45"/>
      <c r="AA3550" s="48"/>
      <c r="AB3550" s="48"/>
      <c r="AC3550" s="47"/>
      <c r="AD3550" s="47"/>
      <c r="AE3550" s="47"/>
    </row>
    <row r="3551" spans="1:31" x14ac:dyDescent="0.35">
      <c r="A3551" s="41"/>
      <c r="B3551" s="41"/>
      <c r="C3551" s="42"/>
      <c r="D3551" s="43"/>
      <c r="E3551" s="43"/>
      <c r="F3551" s="43"/>
      <c r="G3551" s="43"/>
      <c r="H3551" s="43"/>
      <c r="I3551" s="43"/>
      <c r="J3551" s="43"/>
      <c r="K3551" s="43"/>
      <c r="L3551" s="43"/>
      <c r="M3551" s="43"/>
      <c r="N3551" s="43"/>
      <c r="O3551" s="43"/>
      <c r="P3551" s="43"/>
      <c r="Q3551" s="43"/>
      <c r="R3551" s="43"/>
      <c r="S3551" s="43"/>
      <c r="T3551" s="43"/>
      <c r="U3551" s="43"/>
      <c r="V3551" s="41"/>
      <c r="W3551" s="41"/>
      <c r="X3551" s="41"/>
      <c r="Y3551" s="41"/>
      <c r="Z3551" s="41"/>
      <c r="AA3551" s="44"/>
      <c r="AB3551" s="44"/>
      <c r="AC3551" s="43"/>
      <c r="AD3551" s="43"/>
      <c r="AE3551" s="43"/>
    </row>
    <row r="3552" spans="1:31" x14ac:dyDescent="0.35">
      <c r="C3552" s="33"/>
      <c r="D3552" s="34"/>
      <c r="E3552" s="34"/>
      <c r="F3552" s="34"/>
      <c r="G3552" s="34"/>
      <c r="H3552" s="34"/>
      <c r="I3552" s="34"/>
      <c r="J3552" s="34"/>
      <c r="K3552" s="34"/>
      <c r="L3552" s="34"/>
      <c r="M3552" s="34"/>
      <c r="N3552" s="34"/>
      <c r="O3552" s="34"/>
      <c r="AA3552" s="35"/>
      <c r="AB3552" s="35"/>
      <c r="AC3552" s="34"/>
      <c r="AD3552" s="34"/>
      <c r="AE3552" s="34"/>
    </row>
    <row r="3553" spans="1:31" ht="15" thickBot="1" x14ac:dyDescent="0.4">
      <c r="A3553" s="45"/>
      <c r="B3553" s="45"/>
      <c r="C3553" s="46"/>
      <c r="D3553" s="47"/>
      <c r="E3553" s="47"/>
      <c r="F3553" s="47"/>
      <c r="G3553" s="47"/>
      <c r="H3553" s="47"/>
      <c r="I3553" s="47"/>
      <c r="J3553" s="47"/>
      <c r="K3553" s="47"/>
      <c r="L3553" s="47"/>
      <c r="M3553" s="47"/>
      <c r="N3553" s="47"/>
      <c r="O3553" s="47"/>
      <c r="P3553" s="47"/>
      <c r="Q3553" s="47"/>
      <c r="R3553" s="47"/>
      <c r="S3553" s="47"/>
      <c r="T3553" s="45"/>
      <c r="U3553" s="45"/>
      <c r="V3553" s="45"/>
      <c r="W3553" s="45"/>
      <c r="X3553" s="47"/>
      <c r="Y3553" s="45"/>
      <c r="Z3553" s="45"/>
      <c r="AA3553" s="48"/>
      <c r="AB3553" s="48"/>
      <c r="AC3553" s="47"/>
      <c r="AD3553" s="47"/>
      <c r="AE3553" s="47"/>
    </row>
    <row r="3554" spans="1:31" x14ac:dyDescent="0.35">
      <c r="A3554" s="41"/>
      <c r="B3554" s="41"/>
      <c r="C3554" s="42"/>
      <c r="D3554" s="43"/>
      <c r="E3554" s="43"/>
      <c r="F3554" s="43"/>
      <c r="G3554" s="43"/>
      <c r="H3554" s="43"/>
      <c r="I3554" s="43"/>
      <c r="J3554" s="43"/>
      <c r="K3554" s="43"/>
      <c r="L3554" s="43"/>
      <c r="M3554" s="43"/>
      <c r="N3554" s="43"/>
      <c r="O3554" s="43"/>
      <c r="P3554" s="43"/>
      <c r="Q3554" s="43"/>
      <c r="R3554" s="43"/>
      <c r="S3554" s="43"/>
      <c r="T3554" s="43"/>
      <c r="U3554" s="43"/>
      <c r="V3554" s="41"/>
      <c r="W3554" s="41"/>
      <c r="X3554" s="41"/>
      <c r="Y3554" s="41"/>
      <c r="Z3554" s="41"/>
      <c r="AA3554" s="44"/>
      <c r="AB3554" s="44"/>
      <c r="AC3554" s="43"/>
      <c r="AD3554" s="43"/>
      <c r="AE3554" s="43"/>
    </row>
    <row r="3555" spans="1:31" x14ac:dyDescent="0.35">
      <c r="C3555" s="33"/>
      <c r="D3555" s="34"/>
      <c r="E3555" s="34"/>
      <c r="F3555" s="34"/>
      <c r="G3555" s="34"/>
      <c r="H3555" s="34"/>
      <c r="I3555" s="34"/>
      <c r="J3555" s="34"/>
      <c r="K3555" s="34"/>
      <c r="L3555" s="34"/>
      <c r="M3555" s="34"/>
      <c r="N3555" s="34"/>
      <c r="O3555" s="34"/>
      <c r="AA3555" s="35"/>
      <c r="AB3555" s="35"/>
      <c r="AC3555" s="34"/>
      <c r="AD3555" s="34"/>
      <c r="AE3555" s="34"/>
    </row>
    <row r="3556" spans="1:31" ht="15" thickBot="1" x14ac:dyDescent="0.4">
      <c r="A3556" s="45"/>
      <c r="B3556" s="45"/>
      <c r="C3556" s="46"/>
      <c r="D3556" s="47"/>
      <c r="E3556" s="47"/>
      <c r="F3556" s="47"/>
      <c r="G3556" s="47"/>
      <c r="H3556" s="47"/>
      <c r="I3556" s="47"/>
      <c r="J3556" s="47"/>
      <c r="K3556" s="47"/>
      <c r="L3556" s="47"/>
      <c r="M3556" s="47"/>
      <c r="N3556" s="47"/>
      <c r="O3556" s="47"/>
      <c r="P3556" s="47"/>
      <c r="Q3556" s="47"/>
      <c r="R3556" s="47"/>
      <c r="S3556" s="47"/>
      <c r="T3556" s="45"/>
      <c r="U3556" s="45"/>
      <c r="V3556" s="45"/>
      <c r="W3556" s="45"/>
      <c r="X3556" s="47"/>
      <c r="Y3556" s="45"/>
      <c r="Z3556" s="45"/>
      <c r="AA3556" s="48"/>
      <c r="AB3556" s="48"/>
      <c r="AC3556" s="47"/>
      <c r="AD3556" s="47"/>
      <c r="AE3556" s="47"/>
    </row>
    <row r="3557" spans="1:31" x14ac:dyDescent="0.35">
      <c r="A3557" s="41"/>
      <c r="B3557" s="41"/>
      <c r="C3557" s="42"/>
      <c r="D3557" s="43"/>
      <c r="E3557" s="43"/>
      <c r="F3557" s="43"/>
      <c r="G3557" s="43"/>
      <c r="H3557" s="43"/>
      <c r="I3557" s="43"/>
      <c r="J3557" s="43"/>
      <c r="K3557" s="43"/>
      <c r="L3557" s="43"/>
      <c r="M3557" s="43"/>
      <c r="N3557" s="43"/>
      <c r="O3557" s="43"/>
      <c r="P3557" s="43"/>
      <c r="Q3557" s="43"/>
      <c r="R3557" s="43"/>
      <c r="S3557" s="43"/>
      <c r="T3557" s="43"/>
      <c r="U3557" s="43"/>
      <c r="V3557" s="41"/>
      <c r="W3557" s="41"/>
      <c r="X3557" s="41"/>
      <c r="Y3557" s="41"/>
      <c r="Z3557" s="41"/>
      <c r="AA3557" s="44"/>
      <c r="AB3557" s="44"/>
      <c r="AC3557" s="43"/>
      <c r="AD3557" s="43"/>
      <c r="AE3557" s="43"/>
    </row>
    <row r="3558" spans="1:31" x14ac:dyDescent="0.35">
      <c r="C3558" s="33"/>
      <c r="D3558" s="34"/>
      <c r="E3558" s="34"/>
      <c r="F3558" s="34"/>
      <c r="G3558" s="34"/>
      <c r="H3558" s="34"/>
      <c r="I3558" s="34"/>
      <c r="J3558" s="34"/>
      <c r="K3558" s="34"/>
      <c r="L3558" s="34"/>
      <c r="M3558" s="34"/>
      <c r="N3558" s="34"/>
      <c r="O3558" s="34"/>
      <c r="AA3558" s="35"/>
      <c r="AB3558" s="35"/>
      <c r="AC3558" s="34"/>
      <c r="AD3558" s="34"/>
      <c r="AE3558" s="34"/>
    </row>
    <row r="3559" spans="1:31" ht="15" thickBot="1" x14ac:dyDescent="0.4">
      <c r="A3559" s="45"/>
      <c r="B3559" s="45"/>
      <c r="C3559" s="46"/>
      <c r="D3559" s="47"/>
      <c r="E3559" s="47"/>
      <c r="F3559" s="47"/>
      <c r="G3559" s="47"/>
      <c r="H3559" s="47"/>
      <c r="I3559" s="47"/>
      <c r="J3559" s="47"/>
      <c r="K3559" s="47"/>
      <c r="L3559" s="47"/>
      <c r="M3559" s="47"/>
      <c r="N3559" s="47"/>
      <c r="O3559" s="47"/>
      <c r="P3559" s="47"/>
      <c r="Q3559" s="47"/>
      <c r="R3559" s="47"/>
      <c r="S3559" s="47"/>
      <c r="T3559" s="45"/>
      <c r="U3559" s="45"/>
      <c r="V3559" s="45"/>
      <c r="W3559" s="45"/>
      <c r="X3559" s="47"/>
      <c r="Y3559" s="45"/>
      <c r="Z3559" s="45"/>
      <c r="AA3559" s="48"/>
      <c r="AB3559" s="48"/>
      <c r="AC3559" s="47"/>
      <c r="AD3559" s="47"/>
      <c r="AE3559" s="47"/>
    </row>
    <row r="3560" spans="1:31" x14ac:dyDescent="0.35">
      <c r="A3560" s="41"/>
      <c r="B3560" s="41"/>
      <c r="C3560" s="42"/>
      <c r="D3560" s="43"/>
      <c r="E3560" s="43"/>
      <c r="F3560" s="43"/>
      <c r="G3560" s="43"/>
      <c r="H3560" s="43"/>
      <c r="I3560" s="43"/>
      <c r="J3560" s="43"/>
      <c r="K3560" s="43"/>
      <c r="L3560" s="43"/>
      <c r="M3560" s="43"/>
      <c r="N3560" s="43"/>
      <c r="O3560" s="43"/>
      <c r="P3560" s="43"/>
      <c r="Q3560" s="43"/>
      <c r="R3560" s="43"/>
      <c r="S3560" s="43"/>
      <c r="T3560" s="43"/>
      <c r="U3560" s="43"/>
      <c r="V3560" s="41"/>
      <c r="W3560" s="41"/>
      <c r="X3560" s="41"/>
      <c r="Y3560" s="41"/>
      <c r="Z3560" s="41"/>
      <c r="AA3560" s="44"/>
      <c r="AB3560" s="44"/>
      <c r="AC3560" s="43"/>
      <c r="AD3560" s="43"/>
      <c r="AE3560" s="43"/>
    </row>
    <row r="3561" spans="1:31" x14ac:dyDescent="0.35">
      <c r="C3561" s="33"/>
      <c r="D3561" s="34"/>
      <c r="E3561" s="34"/>
      <c r="F3561" s="34"/>
      <c r="G3561" s="34"/>
      <c r="H3561" s="34"/>
      <c r="I3561" s="34"/>
      <c r="J3561" s="34"/>
      <c r="K3561" s="34"/>
      <c r="L3561" s="34"/>
      <c r="M3561" s="34"/>
      <c r="N3561" s="34"/>
      <c r="O3561" s="34"/>
      <c r="AA3561" s="35"/>
      <c r="AB3561" s="35"/>
      <c r="AC3561" s="34"/>
      <c r="AD3561" s="34"/>
      <c r="AE3561" s="34"/>
    </row>
    <row r="3562" spans="1:31" ht="15" thickBot="1" x14ac:dyDescent="0.4">
      <c r="A3562" s="45"/>
      <c r="B3562" s="45"/>
      <c r="C3562" s="46"/>
      <c r="D3562" s="47"/>
      <c r="E3562" s="47"/>
      <c r="F3562" s="47"/>
      <c r="G3562" s="47"/>
      <c r="H3562" s="47"/>
      <c r="I3562" s="47"/>
      <c r="J3562" s="47"/>
      <c r="K3562" s="47"/>
      <c r="L3562" s="47"/>
      <c r="M3562" s="47"/>
      <c r="N3562" s="47"/>
      <c r="O3562" s="47"/>
      <c r="P3562" s="47"/>
      <c r="Q3562" s="47"/>
      <c r="R3562" s="47"/>
      <c r="S3562" s="47"/>
      <c r="T3562" s="45"/>
      <c r="U3562" s="45"/>
      <c r="V3562" s="45"/>
      <c r="W3562" s="45"/>
      <c r="X3562" s="47"/>
      <c r="Y3562" s="45"/>
      <c r="Z3562" s="45"/>
      <c r="AA3562" s="48"/>
      <c r="AB3562" s="48"/>
      <c r="AC3562" s="47"/>
      <c r="AD3562" s="47"/>
      <c r="AE3562" s="47"/>
    </row>
    <row r="3563" spans="1:31" x14ac:dyDescent="0.35">
      <c r="A3563" s="41"/>
      <c r="B3563" s="41"/>
      <c r="C3563" s="42"/>
      <c r="D3563" s="43"/>
      <c r="E3563" s="43"/>
      <c r="F3563" s="43"/>
      <c r="G3563" s="43"/>
      <c r="H3563" s="43"/>
      <c r="I3563" s="43"/>
      <c r="J3563" s="43"/>
      <c r="K3563" s="43"/>
      <c r="L3563" s="43"/>
      <c r="M3563" s="43"/>
      <c r="N3563" s="43"/>
      <c r="O3563" s="43"/>
      <c r="P3563" s="43"/>
      <c r="Q3563" s="43"/>
      <c r="R3563" s="43"/>
      <c r="S3563" s="43"/>
      <c r="T3563" s="43"/>
      <c r="U3563" s="43"/>
      <c r="V3563" s="41"/>
      <c r="W3563" s="41"/>
      <c r="X3563" s="41"/>
      <c r="Y3563" s="41"/>
      <c r="Z3563" s="41"/>
      <c r="AA3563" s="44"/>
      <c r="AB3563" s="44"/>
      <c r="AC3563" s="43"/>
      <c r="AD3563" s="43"/>
      <c r="AE3563" s="43"/>
    </row>
    <row r="3564" spans="1:31" x14ac:dyDescent="0.35">
      <c r="C3564" s="33"/>
      <c r="D3564" s="34"/>
      <c r="E3564" s="34"/>
      <c r="F3564" s="34"/>
      <c r="G3564" s="34"/>
      <c r="H3564" s="34"/>
      <c r="I3564" s="34"/>
      <c r="J3564" s="34"/>
      <c r="K3564" s="34"/>
      <c r="L3564" s="34"/>
      <c r="M3564" s="34"/>
      <c r="N3564" s="34"/>
      <c r="O3564" s="34"/>
      <c r="AA3564" s="35"/>
      <c r="AB3564" s="35"/>
      <c r="AC3564" s="34"/>
      <c r="AD3564" s="34"/>
      <c r="AE3564" s="34"/>
    </row>
    <row r="3565" spans="1:31" ht="15" thickBot="1" x14ac:dyDescent="0.4">
      <c r="A3565" s="45"/>
      <c r="B3565" s="45"/>
      <c r="C3565" s="46"/>
      <c r="D3565" s="47"/>
      <c r="E3565" s="47"/>
      <c r="F3565" s="47"/>
      <c r="G3565" s="47"/>
      <c r="H3565" s="47"/>
      <c r="I3565" s="47"/>
      <c r="J3565" s="47"/>
      <c r="K3565" s="47"/>
      <c r="L3565" s="47"/>
      <c r="M3565" s="47"/>
      <c r="N3565" s="47"/>
      <c r="O3565" s="47"/>
      <c r="P3565" s="47"/>
      <c r="Q3565" s="47"/>
      <c r="R3565" s="47"/>
      <c r="S3565" s="47"/>
      <c r="T3565" s="45"/>
      <c r="U3565" s="45"/>
      <c r="V3565" s="45"/>
      <c r="W3565" s="45"/>
      <c r="X3565" s="47"/>
      <c r="Y3565" s="45"/>
      <c r="Z3565" s="45"/>
      <c r="AA3565" s="48"/>
      <c r="AB3565" s="48"/>
      <c r="AC3565" s="47"/>
      <c r="AD3565" s="47"/>
      <c r="AE3565" s="47"/>
    </row>
    <row r="3566" spans="1:31" x14ac:dyDescent="0.35">
      <c r="A3566" s="41"/>
      <c r="B3566" s="41"/>
      <c r="C3566" s="42"/>
      <c r="D3566" s="43"/>
      <c r="E3566" s="43"/>
      <c r="F3566" s="43"/>
      <c r="G3566" s="43"/>
      <c r="H3566" s="43"/>
      <c r="I3566" s="43"/>
      <c r="J3566" s="43"/>
      <c r="K3566" s="43"/>
      <c r="L3566" s="43"/>
      <c r="M3566" s="43"/>
      <c r="N3566" s="43"/>
      <c r="O3566" s="43"/>
      <c r="P3566" s="43"/>
      <c r="Q3566" s="43"/>
      <c r="R3566" s="43"/>
      <c r="S3566" s="43"/>
      <c r="T3566" s="43"/>
      <c r="U3566" s="43"/>
      <c r="V3566" s="41"/>
      <c r="W3566" s="41"/>
      <c r="X3566" s="41"/>
      <c r="Y3566" s="41"/>
      <c r="Z3566" s="41"/>
      <c r="AA3566" s="44"/>
      <c r="AB3566" s="44"/>
      <c r="AC3566" s="43"/>
      <c r="AD3566" s="43"/>
      <c r="AE3566" s="43"/>
    </row>
    <row r="3567" spans="1:31" x14ac:dyDescent="0.35">
      <c r="C3567" s="33"/>
      <c r="D3567" s="34"/>
      <c r="E3567" s="34"/>
      <c r="F3567" s="34"/>
      <c r="G3567" s="34"/>
      <c r="H3567" s="34"/>
      <c r="I3567" s="34"/>
      <c r="J3567" s="34"/>
      <c r="K3567" s="34"/>
      <c r="L3567" s="34"/>
      <c r="M3567" s="34"/>
      <c r="N3567" s="34"/>
      <c r="O3567" s="34"/>
      <c r="AA3567" s="35"/>
      <c r="AB3567" s="35"/>
      <c r="AC3567" s="34"/>
      <c r="AD3567" s="34"/>
      <c r="AE3567" s="34"/>
    </row>
    <row r="3568" spans="1:31" ht="15" thickBot="1" x14ac:dyDescent="0.4">
      <c r="A3568" s="45"/>
      <c r="B3568" s="45"/>
      <c r="C3568" s="46"/>
      <c r="D3568" s="47"/>
      <c r="E3568" s="47"/>
      <c r="F3568" s="47"/>
      <c r="G3568" s="47"/>
      <c r="H3568" s="47"/>
      <c r="I3568" s="47"/>
      <c r="J3568" s="47"/>
      <c r="K3568" s="47"/>
      <c r="L3568" s="47"/>
      <c r="M3568" s="47"/>
      <c r="N3568" s="47"/>
      <c r="O3568" s="47"/>
      <c r="P3568" s="47"/>
      <c r="Q3568" s="47"/>
      <c r="R3568" s="47"/>
      <c r="S3568" s="47"/>
      <c r="T3568" s="45"/>
      <c r="U3568" s="45"/>
      <c r="V3568" s="45"/>
      <c r="W3568" s="45"/>
      <c r="X3568" s="47"/>
      <c r="Y3568" s="45"/>
      <c r="Z3568" s="45"/>
      <c r="AA3568" s="48"/>
      <c r="AB3568" s="48"/>
      <c r="AC3568" s="47"/>
      <c r="AD3568" s="47"/>
      <c r="AE3568" s="47"/>
    </row>
    <row r="3569" spans="1:31" x14ac:dyDescent="0.35">
      <c r="A3569" s="41"/>
      <c r="B3569" s="41"/>
      <c r="C3569" s="42"/>
      <c r="D3569" s="43"/>
      <c r="E3569" s="43"/>
      <c r="F3569" s="43"/>
      <c r="G3569" s="43"/>
      <c r="H3569" s="43"/>
      <c r="I3569" s="43"/>
      <c r="J3569" s="43"/>
      <c r="K3569" s="43"/>
      <c r="L3569" s="43"/>
      <c r="M3569" s="43"/>
      <c r="N3569" s="43"/>
      <c r="O3569" s="43"/>
      <c r="P3569" s="43"/>
      <c r="Q3569" s="43"/>
      <c r="R3569" s="43"/>
      <c r="S3569" s="43"/>
      <c r="T3569" s="43"/>
      <c r="U3569" s="43"/>
      <c r="V3569" s="41"/>
      <c r="W3569" s="41"/>
      <c r="X3569" s="41"/>
      <c r="Y3569" s="41"/>
      <c r="Z3569" s="41"/>
      <c r="AA3569" s="44"/>
      <c r="AB3569" s="44"/>
      <c r="AC3569" s="43"/>
      <c r="AD3569" s="43"/>
      <c r="AE3569" s="43"/>
    </row>
    <row r="3570" spans="1:31" x14ac:dyDescent="0.35">
      <c r="C3570" s="33"/>
      <c r="D3570" s="34"/>
      <c r="E3570" s="34"/>
      <c r="F3570" s="34"/>
      <c r="G3570" s="34"/>
      <c r="H3570" s="34"/>
      <c r="I3570" s="34"/>
      <c r="J3570" s="34"/>
      <c r="K3570" s="34"/>
      <c r="L3570" s="34"/>
      <c r="M3570" s="34"/>
      <c r="N3570" s="34"/>
      <c r="O3570" s="34"/>
      <c r="AA3570" s="35"/>
      <c r="AB3570" s="35"/>
      <c r="AC3570" s="34"/>
      <c r="AD3570" s="34"/>
      <c r="AE3570" s="34"/>
    </row>
    <row r="3571" spans="1:31" ht="15" thickBot="1" x14ac:dyDescent="0.4">
      <c r="A3571" s="45"/>
      <c r="B3571" s="45"/>
      <c r="C3571" s="46"/>
      <c r="D3571" s="47"/>
      <c r="E3571" s="47"/>
      <c r="F3571" s="47"/>
      <c r="G3571" s="47"/>
      <c r="H3571" s="47"/>
      <c r="I3571" s="47"/>
      <c r="J3571" s="47"/>
      <c r="K3571" s="47"/>
      <c r="L3571" s="47"/>
      <c r="M3571" s="47"/>
      <c r="N3571" s="47"/>
      <c r="O3571" s="47"/>
      <c r="P3571" s="47"/>
      <c r="Q3571" s="47"/>
      <c r="R3571" s="47"/>
      <c r="S3571" s="47"/>
      <c r="T3571" s="45"/>
      <c r="U3571" s="45"/>
      <c r="V3571" s="45"/>
      <c r="W3571" s="45"/>
      <c r="X3571" s="47"/>
      <c r="Y3571" s="45"/>
      <c r="Z3571" s="45"/>
      <c r="AA3571" s="48"/>
      <c r="AB3571" s="48"/>
      <c r="AC3571" s="47"/>
      <c r="AD3571" s="47"/>
      <c r="AE3571" s="47"/>
    </row>
    <row r="3572" spans="1:31" x14ac:dyDescent="0.35">
      <c r="A3572" s="41"/>
      <c r="B3572" s="41"/>
      <c r="C3572" s="42"/>
      <c r="D3572" s="43"/>
      <c r="E3572" s="43"/>
      <c r="F3572" s="43"/>
      <c r="G3572" s="43"/>
      <c r="H3572" s="43"/>
      <c r="I3572" s="43"/>
      <c r="J3572" s="43"/>
      <c r="K3572" s="43"/>
      <c r="L3572" s="43"/>
      <c r="M3572" s="43"/>
      <c r="N3572" s="43"/>
      <c r="O3572" s="43"/>
      <c r="P3572" s="43"/>
      <c r="Q3572" s="43"/>
      <c r="R3572" s="43"/>
      <c r="S3572" s="43"/>
      <c r="T3572" s="43"/>
      <c r="U3572" s="43"/>
      <c r="V3572" s="41"/>
      <c r="W3572" s="41"/>
      <c r="X3572" s="41"/>
      <c r="Y3572" s="41"/>
      <c r="Z3572" s="41"/>
      <c r="AA3572" s="44"/>
      <c r="AB3572" s="44"/>
      <c r="AC3572" s="43"/>
      <c r="AD3572" s="43"/>
      <c r="AE3572" s="43"/>
    </row>
    <row r="3573" spans="1:31" x14ac:dyDescent="0.35">
      <c r="C3573" s="33"/>
      <c r="D3573" s="34"/>
      <c r="E3573" s="34"/>
      <c r="F3573" s="34"/>
      <c r="G3573" s="34"/>
      <c r="H3573" s="34"/>
      <c r="I3573" s="34"/>
      <c r="J3573" s="34"/>
      <c r="K3573" s="34"/>
      <c r="L3573" s="34"/>
      <c r="M3573" s="34"/>
      <c r="N3573" s="34"/>
      <c r="O3573" s="34"/>
      <c r="AA3573" s="35"/>
      <c r="AB3573" s="35"/>
      <c r="AC3573" s="34"/>
      <c r="AD3573" s="34"/>
      <c r="AE3573" s="34"/>
    </row>
    <row r="3574" spans="1:31" ht="15" thickBot="1" x14ac:dyDescent="0.4">
      <c r="A3574" s="45"/>
      <c r="B3574" s="45"/>
      <c r="C3574" s="46"/>
      <c r="D3574" s="47"/>
      <c r="E3574" s="47"/>
      <c r="F3574" s="47"/>
      <c r="G3574" s="47"/>
      <c r="H3574" s="47"/>
      <c r="I3574" s="47"/>
      <c r="J3574" s="47"/>
      <c r="K3574" s="47"/>
      <c r="L3574" s="47"/>
      <c r="M3574" s="47"/>
      <c r="N3574" s="47"/>
      <c r="O3574" s="47"/>
      <c r="P3574" s="47"/>
      <c r="Q3574" s="47"/>
      <c r="R3574" s="47"/>
      <c r="S3574" s="47"/>
      <c r="T3574" s="45"/>
      <c r="U3574" s="45"/>
      <c r="V3574" s="45"/>
      <c r="W3574" s="45"/>
      <c r="X3574" s="47"/>
      <c r="Y3574" s="45"/>
      <c r="Z3574" s="45"/>
      <c r="AA3574" s="48"/>
      <c r="AB3574" s="48"/>
      <c r="AC3574" s="47"/>
      <c r="AD3574" s="47"/>
      <c r="AE3574" s="47"/>
    </row>
    <row r="3575" spans="1:31" x14ac:dyDescent="0.35">
      <c r="A3575" s="41"/>
      <c r="B3575" s="41"/>
      <c r="C3575" s="42"/>
      <c r="D3575" s="43"/>
      <c r="E3575" s="43"/>
      <c r="F3575" s="43"/>
      <c r="G3575" s="43"/>
      <c r="H3575" s="43"/>
      <c r="I3575" s="43"/>
      <c r="J3575" s="43"/>
      <c r="K3575" s="43"/>
      <c r="L3575" s="43"/>
      <c r="M3575" s="43"/>
      <c r="N3575" s="43"/>
      <c r="O3575" s="43"/>
      <c r="P3575" s="43"/>
      <c r="Q3575" s="43"/>
      <c r="R3575" s="43"/>
      <c r="S3575" s="43"/>
      <c r="T3575" s="43"/>
      <c r="U3575" s="43"/>
      <c r="V3575" s="41"/>
      <c r="W3575" s="41"/>
      <c r="X3575" s="41"/>
      <c r="Y3575" s="41"/>
      <c r="Z3575" s="41"/>
      <c r="AA3575" s="44"/>
      <c r="AB3575" s="44"/>
      <c r="AC3575" s="43"/>
      <c r="AD3575" s="43"/>
      <c r="AE3575" s="43"/>
    </row>
    <row r="3576" spans="1:31" x14ac:dyDescent="0.35">
      <c r="C3576" s="33"/>
      <c r="D3576" s="34"/>
      <c r="E3576" s="34"/>
      <c r="F3576" s="34"/>
      <c r="G3576" s="34"/>
      <c r="H3576" s="34"/>
      <c r="I3576" s="34"/>
      <c r="J3576" s="34"/>
      <c r="K3576" s="34"/>
      <c r="L3576" s="34"/>
      <c r="M3576" s="34"/>
      <c r="N3576" s="34"/>
      <c r="O3576" s="34"/>
      <c r="AA3576" s="35"/>
      <c r="AB3576" s="35"/>
      <c r="AC3576" s="34"/>
      <c r="AD3576" s="34"/>
      <c r="AE3576" s="34"/>
    </row>
    <row r="3577" spans="1:31" ht="15" thickBot="1" x14ac:dyDescent="0.4">
      <c r="A3577" s="45"/>
      <c r="B3577" s="45"/>
      <c r="C3577" s="46"/>
      <c r="D3577" s="47"/>
      <c r="E3577" s="47"/>
      <c r="F3577" s="47"/>
      <c r="G3577" s="47"/>
      <c r="H3577" s="47"/>
      <c r="I3577" s="47"/>
      <c r="J3577" s="47"/>
      <c r="K3577" s="47"/>
      <c r="L3577" s="47"/>
      <c r="M3577" s="47"/>
      <c r="N3577" s="47"/>
      <c r="O3577" s="47"/>
      <c r="P3577" s="47"/>
      <c r="Q3577" s="47"/>
      <c r="R3577" s="47"/>
      <c r="S3577" s="47"/>
      <c r="T3577" s="45"/>
      <c r="U3577" s="45"/>
      <c r="V3577" s="45"/>
      <c r="W3577" s="45"/>
      <c r="X3577" s="47"/>
      <c r="Y3577" s="45"/>
      <c r="Z3577" s="45"/>
      <c r="AA3577" s="48"/>
      <c r="AB3577" s="48"/>
      <c r="AC3577" s="47"/>
      <c r="AD3577" s="47"/>
      <c r="AE3577" s="47"/>
    </row>
    <row r="3578" spans="1:31" x14ac:dyDescent="0.35">
      <c r="A3578" s="41"/>
      <c r="B3578" s="41"/>
      <c r="C3578" s="42"/>
      <c r="D3578" s="43"/>
      <c r="E3578" s="43"/>
      <c r="F3578" s="43"/>
      <c r="G3578" s="43"/>
      <c r="H3578" s="43"/>
      <c r="I3578" s="43"/>
      <c r="J3578" s="43"/>
      <c r="K3578" s="43"/>
      <c r="L3578" s="43"/>
      <c r="M3578" s="43"/>
      <c r="N3578" s="43"/>
      <c r="O3578" s="43"/>
      <c r="P3578" s="43"/>
      <c r="Q3578" s="43"/>
      <c r="R3578" s="43"/>
      <c r="S3578" s="43"/>
      <c r="T3578" s="43"/>
      <c r="U3578" s="43"/>
      <c r="V3578" s="41"/>
      <c r="W3578" s="41"/>
      <c r="X3578" s="41"/>
      <c r="Y3578" s="41"/>
      <c r="Z3578" s="41"/>
      <c r="AA3578" s="44"/>
      <c r="AB3578" s="44"/>
      <c r="AC3578" s="43"/>
      <c r="AD3578" s="43"/>
      <c r="AE3578" s="43"/>
    </row>
    <row r="3579" spans="1:31" x14ac:dyDescent="0.35">
      <c r="C3579" s="33"/>
      <c r="D3579" s="34"/>
      <c r="E3579" s="34"/>
      <c r="F3579" s="34"/>
      <c r="G3579" s="34"/>
      <c r="H3579" s="34"/>
      <c r="I3579" s="34"/>
      <c r="J3579" s="34"/>
      <c r="K3579" s="34"/>
      <c r="L3579" s="34"/>
      <c r="M3579" s="34"/>
      <c r="N3579" s="34"/>
      <c r="O3579" s="34"/>
      <c r="AA3579" s="35"/>
      <c r="AB3579" s="35"/>
      <c r="AC3579" s="34"/>
      <c r="AD3579" s="34"/>
      <c r="AE3579" s="34"/>
    </row>
    <row r="3580" spans="1:31" ht="15" thickBot="1" x14ac:dyDescent="0.4">
      <c r="A3580" s="45"/>
      <c r="B3580" s="45"/>
      <c r="C3580" s="46"/>
      <c r="D3580" s="47"/>
      <c r="E3580" s="47"/>
      <c r="F3580" s="47"/>
      <c r="G3580" s="47"/>
      <c r="H3580" s="47"/>
      <c r="I3580" s="47"/>
      <c r="J3580" s="47"/>
      <c r="K3580" s="47"/>
      <c r="L3580" s="47"/>
      <c r="M3580" s="47"/>
      <c r="N3580" s="47"/>
      <c r="O3580" s="47"/>
      <c r="P3580" s="47"/>
      <c r="Q3580" s="47"/>
      <c r="R3580" s="47"/>
      <c r="S3580" s="47"/>
      <c r="T3580" s="45"/>
      <c r="U3580" s="45"/>
      <c r="V3580" s="45"/>
      <c r="W3580" s="45"/>
      <c r="X3580" s="47"/>
      <c r="Y3580" s="45"/>
      <c r="Z3580" s="45"/>
      <c r="AA3580" s="48"/>
      <c r="AB3580" s="48"/>
      <c r="AC3580" s="47"/>
      <c r="AD3580" s="47"/>
      <c r="AE3580" s="47"/>
    </row>
    <row r="3581" spans="1:31" x14ac:dyDescent="0.35">
      <c r="A3581" s="41"/>
      <c r="B3581" s="41"/>
      <c r="C3581" s="42"/>
      <c r="D3581" s="43"/>
      <c r="E3581" s="43"/>
      <c r="F3581" s="43"/>
      <c r="G3581" s="43"/>
      <c r="H3581" s="43"/>
      <c r="I3581" s="43"/>
      <c r="J3581" s="43"/>
      <c r="K3581" s="43"/>
      <c r="L3581" s="43"/>
      <c r="M3581" s="43"/>
      <c r="N3581" s="43"/>
      <c r="O3581" s="43"/>
      <c r="P3581" s="43"/>
      <c r="Q3581" s="43"/>
      <c r="R3581" s="43"/>
      <c r="S3581" s="43"/>
      <c r="T3581" s="43"/>
      <c r="U3581" s="43"/>
      <c r="V3581" s="41"/>
      <c r="W3581" s="41"/>
      <c r="X3581" s="41"/>
      <c r="Y3581" s="41"/>
      <c r="Z3581" s="41"/>
      <c r="AA3581" s="44"/>
      <c r="AB3581" s="44"/>
      <c r="AC3581" s="43"/>
      <c r="AD3581" s="43"/>
      <c r="AE3581" s="43"/>
    </row>
    <row r="3582" spans="1:31" x14ac:dyDescent="0.35">
      <c r="C3582" s="33"/>
      <c r="D3582" s="34"/>
      <c r="E3582" s="34"/>
      <c r="F3582" s="34"/>
      <c r="G3582" s="34"/>
      <c r="H3582" s="34"/>
      <c r="I3582" s="34"/>
      <c r="J3582" s="34"/>
      <c r="K3582" s="34"/>
      <c r="L3582" s="34"/>
      <c r="M3582" s="34"/>
      <c r="N3582" s="34"/>
      <c r="O3582" s="34"/>
      <c r="AA3582" s="35"/>
      <c r="AB3582" s="35"/>
      <c r="AC3582" s="34"/>
      <c r="AD3582" s="34"/>
      <c r="AE3582" s="34"/>
    </row>
    <row r="3583" spans="1:31" ht="15" thickBot="1" x14ac:dyDescent="0.4">
      <c r="A3583" s="45"/>
      <c r="B3583" s="45"/>
      <c r="C3583" s="46"/>
      <c r="D3583" s="47"/>
      <c r="E3583" s="47"/>
      <c r="F3583" s="47"/>
      <c r="G3583" s="47"/>
      <c r="H3583" s="47"/>
      <c r="I3583" s="47"/>
      <c r="J3583" s="47"/>
      <c r="K3583" s="47"/>
      <c r="L3583" s="47"/>
      <c r="M3583" s="47"/>
      <c r="N3583" s="47"/>
      <c r="O3583" s="47"/>
      <c r="P3583" s="47"/>
      <c r="Q3583" s="47"/>
      <c r="R3583" s="47"/>
      <c r="S3583" s="47"/>
      <c r="T3583" s="45"/>
      <c r="U3583" s="45"/>
      <c r="V3583" s="45"/>
      <c r="W3583" s="45"/>
      <c r="X3583" s="47"/>
      <c r="Y3583" s="45"/>
      <c r="Z3583" s="45"/>
      <c r="AA3583" s="48"/>
      <c r="AB3583" s="48"/>
      <c r="AC3583" s="47"/>
      <c r="AD3583" s="47"/>
      <c r="AE3583" s="47"/>
    </row>
    <row r="3584" spans="1:31" x14ac:dyDescent="0.35">
      <c r="A3584" s="41"/>
      <c r="B3584" s="41"/>
      <c r="C3584" s="42"/>
      <c r="D3584" s="43"/>
      <c r="E3584" s="43"/>
      <c r="F3584" s="43"/>
      <c r="G3584" s="43"/>
      <c r="H3584" s="43"/>
      <c r="I3584" s="43"/>
      <c r="J3584" s="43"/>
      <c r="K3584" s="43"/>
      <c r="L3584" s="43"/>
      <c r="M3584" s="43"/>
      <c r="N3584" s="43"/>
      <c r="O3584" s="43"/>
      <c r="P3584" s="43"/>
      <c r="Q3584" s="43"/>
      <c r="R3584" s="43"/>
      <c r="S3584" s="43"/>
      <c r="T3584" s="43"/>
      <c r="U3584" s="43"/>
      <c r="V3584" s="41"/>
      <c r="W3584" s="41"/>
      <c r="X3584" s="41"/>
      <c r="Y3584" s="41"/>
      <c r="Z3584" s="41"/>
      <c r="AA3584" s="44"/>
      <c r="AB3584" s="44"/>
      <c r="AC3584" s="43"/>
      <c r="AD3584" s="43"/>
      <c r="AE3584" s="43"/>
    </row>
    <row r="3585" spans="1:31" x14ac:dyDescent="0.35">
      <c r="C3585" s="33"/>
      <c r="D3585" s="34"/>
      <c r="E3585" s="34"/>
      <c r="F3585" s="34"/>
      <c r="G3585" s="34"/>
      <c r="H3585" s="34"/>
      <c r="I3585" s="34"/>
      <c r="J3585" s="34"/>
      <c r="K3585" s="34"/>
      <c r="L3585" s="34"/>
      <c r="M3585" s="34"/>
      <c r="N3585" s="34"/>
      <c r="O3585" s="34"/>
      <c r="AA3585" s="35"/>
      <c r="AB3585" s="35"/>
      <c r="AC3585" s="34"/>
      <c r="AD3585" s="34"/>
      <c r="AE3585" s="34"/>
    </row>
    <row r="3586" spans="1:31" ht="15" thickBot="1" x14ac:dyDescent="0.4">
      <c r="A3586" s="45"/>
      <c r="B3586" s="45"/>
      <c r="C3586" s="46"/>
      <c r="D3586" s="47"/>
      <c r="E3586" s="47"/>
      <c r="F3586" s="47"/>
      <c r="G3586" s="47"/>
      <c r="H3586" s="47"/>
      <c r="I3586" s="47"/>
      <c r="J3586" s="47"/>
      <c r="K3586" s="47"/>
      <c r="L3586" s="47"/>
      <c r="M3586" s="47"/>
      <c r="N3586" s="47"/>
      <c r="O3586" s="47"/>
      <c r="P3586" s="47"/>
      <c r="Q3586" s="47"/>
      <c r="R3586" s="47"/>
      <c r="S3586" s="47"/>
      <c r="T3586" s="45"/>
      <c r="U3586" s="45"/>
      <c r="V3586" s="45"/>
      <c r="W3586" s="45"/>
      <c r="X3586" s="47"/>
      <c r="Y3586" s="45"/>
      <c r="Z3586" s="45"/>
      <c r="AA3586" s="48"/>
      <c r="AB3586" s="48"/>
      <c r="AC3586" s="47"/>
      <c r="AD3586" s="47"/>
      <c r="AE3586" s="47"/>
    </row>
    <row r="3587" spans="1:31" x14ac:dyDescent="0.35">
      <c r="A3587" s="41"/>
      <c r="B3587" s="41"/>
      <c r="C3587" s="42"/>
      <c r="D3587" s="43"/>
      <c r="E3587" s="43"/>
      <c r="F3587" s="43"/>
      <c r="G3587" s="43"/>
      <c r="H3587" s="43"/>
      <c r="I3587" s="43"/>
      <c r="J3587" s="43"/>
      <c r="K3587" s="43"/>
      <c r="L3587" s="43"/>
      <c r="M3587" s="43"/>
      <c r="N3587" s="43"/>
      <c r="O3587" s="43"/>
      <c r="P3587" s="43"/>
      <c r="Q3587" s="43"/>
      <c r="R3587" s="43"/>
      <c r="S3587" s="43"/>
      <c r="T3587" s="43"/>
      <c r="U3587" s="43"/>
      <c r="V3587" s="41"/>
      <c r="W3587" s="41"/>
      <c r="X3587" s="41"/>
      <c r="Y3587" s="41"/>
      <c r="Z3587" s="41"/>
      <c r="AA3587" s="44"/>
      <c r="AB3587" s="44"/>
      <c r="AC3587" s="43"/>
      <c r="AD3587" s="43"/>
      <c r="AE3587" s="43"/>
    </row>
    <row r="3588" spans="1:31" x14ac:dyDescent="0.35">
      <c r="C3588" s="33"/>
      <c r="D3588" s="34"/>
      <c r="E3588" s="34"/>
      <c r="F3588" s="34"/>
      <c r="G3588" s="34"/>
      <c r="H3588" s="34"/>
      <c r="I3588" s="34"/>
      <c r="J3588" s="34"/>
      <c r="K3588" s="34"/>
      <c r="L3588" s="34"/>
      <c r="M3588" s="34"/>
      <c r="N3588" s="34"/>
      <c r="O3588" s="34"/>
      <c r="AA3588" s="35"/>
      <c r="AB3588" s="35"/>
      <c r="AC3588" s="34"/>
      <c r="AD3588" s="34"/>
      <c r="AE3588" s="34"/>
    </row>
    <row r="3589" spans="1:31" ht="15" thickBot="1" x14ac:dyDescent="0.4">
      <c r="A3589" s="45"/>
      <c r="B3589" s="45"/>
      <c r="C3589" s="46"/>
      <c r="D3589" s="47"/>
      <c r="E3589" s="47"/>
      <c r="F3589" s="47"/>
      <c r="G3589" s="47"/>
      <c r="H3589" s="47"/>
      <c r="I3589" s="47"/>
      <c r="J3589" s="47"/>
      <c r="K3589" s="47"/>
      <c r="L3589" s="47"/>
      <c r="M3589" s="47"/>
      <c r="N3589" s="47"/>
      <c r="O3589" s="47"/>
      <c r="P3589" s="47"/>
      <c r="Q3589" s="47"/>
      <c r="R3589" s="47"/>
      <c r="S3589" s="47"/>
      <c r="T3589" s="45"/>
      <c r="U3589" s="45"/>
      <c r="V3589" s="45"/>
      <c r="W3589" s="45"/>
      <c r="X3589" s="47"/>
      <c r="Y3589" s="45"/>
      <c r="Z3589" s="45"/>
      <c r="AA3589" s="48"/>
      <c r="AB3589" s="48"/>
      <c r="AC3589" s="47"/>
      <c r="AD3589" s="47"/>
      <c r="AE3589" s="47"/>
    </row>
    <row r="3590" spans="1:31" x14ac:dyDescent="0.35">
      <c r="A3590" s="41"/>
      <c r="B3590" s="41"/>
      <c r="C3590" s="42"/>
      <c r="D3590" s="43"/>
      <c r="E3590" s="43"/>
      <c r="F3590" s="43"/>
      <c r="G3590" s="43"/>
      <c r="H3590" s="43"/>
      <c r="I3590" s="43"/>
      <c r="J3590" s="43"/>
      <c r="K3590" s="43"/>
      <c r="L3590" s="43"/>
      <c r="M3590" s="43"/>
      <c r="N3590" s="43"/>
      <c r="O3590" s="43"/>
      <c r="P3590" s="43"/>
      <c r="Q3590" s="43"/>
      <c r="R3590" s="43"/>
      <c r="S3590" s="43"/>
      <c r="T3590" s="43"/>
      <c r="U3590" s="43"/>
      <c r="V3590" s="41"/>
      <c r="W3590" s="41"/>
      <c r="X3590" s="41"/>
      <c r="Y3590" s="41"/>
      <c r="Z3590" s="41"/>
      <c r="AA3590" s="44"/>
      <c r="AB3590" s="44"/>
      <c r="AC3590" s="43"/>
      <c r="AD3590" s="43"/>
      <c r="AE3590" s="43"/>
    </row>
    <row r="3591" spans="1:31" x14ac:dyDescent="0.35">
      <c r="C3591" s="33"/>
      <c r="D3591" s="34"/>
      <c r="E3591" s="34"/>
      <c r="F3591" s="34"/>
      <c r="G3591" s="34"/>
      <c r="H3591" s="34"/>
      <c r="I3591" s="34"/>
      <c r="J3591" s="34"/>
      <c r="K3591" s="34"/>
      <c r="L3591" s="34"/>
      <c r="M3591" s="34"/>
      <c r="N3591" s="34"/>
      <c r="O3591" s="34"/>
      <c r="AA3591" s="35"/>
      <c r="AB3591" s="35"/>
      <c r="AC3591" s="34"/>
      <c r="AD3591" s="34"/>
      <c r="AE3591" s="34"/>
    </row>
    <row r="3592" spans="1:31" ht="15" thickBot="1" x14ac:dyDescent="0.4">
      <c r="A3592" s="45"/>
      <c r="B3592" s="45"/>
      <c r="C3592" s="46"/>
      <c r="D3592" s="47"/>
      <c r="E3592" s="47"/>
      <c r="F3592" s="47"/>
      <c r="G3592" s="47"/>
      <c r="H3592" s="47"/>
      <c r="I3592" s="47"/>
      <c r="J3592" s="47"/>
      <c r="K3592" s="47"/>
      <c r="L3592" s="47"/>
      <c r="M3592" s="47"/>
      <c r="N3592" s="47"/>
      <c r="O3592" s="47"/>
      <c r="P3592" s="47"/>
      <c r="Q3592" s="47"/>
      <c r="R3592" s="47"/>
      <c r="S3592" s="47"/>
      <c r="T3592" s="45"/>
      <c r="U3592" s="45"/>
      <c r="V3592" s="45"/>
      <c r="W3592" s="45"/>
      <c r="X3592" s="47"/>
      <c r="Y3592" s="45"/>
      <c r="Z3592" s="45"/>
      <c r="AA3592" s="48"/>
      <c r="AB3592" s="48"/>
      <c r="AC3592" s="47"/>
      <c r="AD3592" s="47"/>
      <c r="AE3592" s="47"/>
    </row>
    <row r="3593" spans="1:31" x14ac:dyDescent="0.35">
      <c r="A3593" s="41"/>
      <c r="B3593" s="41"/>
      <c r="C3593" s="42"/>
      <c r="D3593" s="43"/>
      <c r="E3593" s="43"/>
      <c r="F3593" s="43"/>
      <c r="G3593" s="43"/>
      <c r="H3593" s="43"/>
      <c r="I3593" s="43"/>
      <c r="J3593" s="43"/>
      <c r="K3593" s="43"/>
      <c r="L3593" s="43"/>
      <c r="M3593" s="43"/>
      <c r="N3593" s="43"/>
      <c r="O3593" s="43"/>
      <c r="P3593" s="43"/>
      <c r="Q3593" s="43"/>
      <c r="R3593" s="43"/>
      <c r="S3593" s="43"/>
      <c r="T3593" s="43"/>
      <c r="U3593" s="43"/>
      <c r="V3593" s="41"/>
      <c r="W3593" s="41"/>
      <c r="X3593" s="41"/>
      <c r="Y3593" s="41"/>
      <c r="Z3593" s="41"/>
      <c r="AA3593" s="44"/>
      <c r="AB3593" s="44"/>
      <c r="AC3593" s="43"/>
      <c r="AD3593" s="43"/>
      <c r="AE3593" s="43"/>
    </row>
    <row r="3594" spans="1:31" x14ac:dyDescent="0.35">
      <c r="C3594" s="33"/>
      <c r="D3594" s="34"/>
      <c r="E3594" s="34"/>
      <c r="F3594" s="34"/>
      <c r="G3594" s="34"/>
      <c r="H3594" s="34"/>
      <c r="I3594" s="34"/>
      <c r="J3594" s="34"/>
      <c r="K3594" s="34"/>
      <c r="L3594" s="34"/>
      <c r="M3594" s="34"/>
      <c r="N3594" s="34"/>
      <c r="O3594" s="34"/>
      <c r="AA3594" s="35"/>
      <c r="AB3594" s="35"/>
      <c r="AC3594" s="34"/>
      <c r="AD3594" s="34"/>
      <c r="AE3594" s="34"/>
    </row>
    <row r="3595" spans="1:31" ht="15" thickBot="1" x14ac:dyDescent="0.4">
      <c r="A3595" s="45"/>
      <c r="B3595" s="45"/>
      <c r="C3595" s="46"/>
      <c r="D3595" s="47"/>
      <c r="E3595" s="47"/>
      <c r="F3595" s="47"/>
      <c r="G3595" s="47"/>
      <c r="H3595" s="47"/>
      <c r="I3595" s="47"/>
      <c r="J3595" s="47"/>
      <c r="K3595" s="47"/>
      <c r="L3595" s="47"/>
      <c r="M3595" s="47"/>
      <c r="N3595" s="47"/>
      <c r="O3595" s="47"/>
      <c r="P3595" s="47"/>
      <c r="Q3595" s="47"/>
      <c r="R3595" s="47"/>
      <c r="S3595" s="47"/>
      <c r="T3595" s="45"/>
      <c r="U3595" s="45"/>
      <c r="V3595" s="45"/>
      <c r="W3595" s="45"/>
      <c r="X3595" s="47"/>
      <c r="Y3595" s="45"/>
      <c r="Z3595" s="45"/>
      <c r="AA3595" s="48"/>
      <c r="AB3595" s="48"/>
      <c r="AC3595" s="47"/>
      <c r="AD3595" s="47"/>
      <c r="AE3595" s="47"/>
    </row>
    <row r="3596" spans="1:31" x14ac:dyDescent="0.35">
      <c r="A3596" s="41"/>
      <c r="B3596" s="41"/>
      <c r="C3596" s="42"/>
      <c r="D3596" s="43"/>
      <c r="E3596" s="43"/>
      <c r="F3596" s="43"/>
      <c r="G3596" s="43"/>
      <c r="H3596" s="43"/>
      <c r="I3596" s="43"/>
      <c r="J3596" s="43"/>
      <c r="K3596" s="43"/>
      <c r="L3596" s="43"/>
      <c r="M3596" s="43"/>
      <c r="N3596" s="43"/>
      <c r="O3596" s="43"/>
      <c r="P3596" s="43"/>
      <c r="Q3596" s="43"/>
      <c r="R3596" s="43"/>
      <c r="S3596" s="43"/>
      <c r="T3596" s="43"/>
      <c r="U3596" s="43"/>
      <c r="V3596" s="41"/>
      <c r="W3596" s="41"/>
      <c r="X3596" s="41"/>
      <c r="Y3596" s="41"/>
      <c r="Z3596" s="41"/>
      <c r="AA3596" s="44"/>
      <c r="AB3596" s="44"/>
      <c r="AC3596" s="43"/>
      <c r="AD3596" s="43"/>
      <c r="AE3596" s="43"/>
    </row>
    <row r="3597" spans="1:31" x14ac:dyDescent="0.35">
      <c r="C3597" s="33"/>
      <c r="D3597" s="34"/>
      <c r="E3597" s="34"/>
      <c r="F3597" s="34"/>
      <c r="G3597" s="34"/>
      <c r="H3597" s="34"/>
      <c r="I3597" s="34"/>
      <c r="J3597" s="34"/>
      <c r="K3597" s="34"/>
      <c r="L3597" s="34"/>
      <c r="M3597" s="34"/>
      <c r="N3597" s="34"/>
      <c r="O3597" s="34"/>
      <c r="AA3597" s="35"/>
      <c r="AB3597" s="35"/>
      <c r="AC3597" s="34"/>
      <c r="AD3597" s="34"/>
      <c r="AE3597" s="34"/>
    </row>
    <row r="3598" spans="1:31" ht="15" thickBot="1" x14ac:dyDescent="0.4">
      <c r="A3598" s="45"/>
      <c r="B3598" s="45"/>
      <c r="C3598" s="46"/>
      <c r="D3598" s="47"/>
      <c r="E3598" s="47"/>
      <c r="F3598" s="47"/>
      <c r="G3598" s="47"/>
      <c r="H3598" s="47"/>
      <c r="I3598" s="47"/>
      <c r="J3598" s="47"/>
      <c r="K3598" s="47"/>
      <c r="L3598" s="47"/>
      <c r="M3598" s="47"/>
      <c r="N3598" s="47"/>
      <c r="O3598" s="47"/>
      <c r="P3598" s="47"/>
      <c r="Q3598" s="47"/>
      <c r="R3598" s="47"/>
      <c r="S3598" s="47"/>
      <c r="T3598" s="45"/>
      <c r="U3598" s="45"/>
      <c r="V3598" s="45"/>
      <c r="W3598" s="45"/>
      <c r="X3598" s="47"/>
      <c r="Y3598" s="45"/>
      <c r="Z3598" s="45"/>
      <c r="AA3598" s="48"/>
      <c r="AB3598" s="48"/>
      <c r="AC3598" s="47"/>
      <c r="AD3598" s="47"/>
      <c r="AE3598" s="47"/>
    </row>
    <row r="3599" spans="1:31" x14ac:dyDescent="0.35">
      <c r="A3599" s="41"/>
      <c r="B3599" s="41"/>
      <c r="C3599" s="42"/>
      <c r="D3599" s="43"/>
      <c r="E3599" s="43"/>
      <c r="F3599" s="43"/>
      <c r="G3599" s="43"/>
      <c r="H3599" s="43"/>
      <c r="I3599" s="43"/>
      <c r="J3599" s="43"/>
      <c r="K3599" s="43"/>
      <c r="L3599" s="43"/>
      <c r="M3599" s="43"/>
      <c r="N3599" s="43"/>
      <c r="O3599" s="43"/>
      <c r="P3599" s="43"/>
      <c r="Q3599" s="43"/>
      <c r="R3599" s="43"/>
      <c r="S3599" s="43"/>
      <c r="T3599" s="43"/>
      <c r="U3599" s="43"/>
      <c r="V3599" s="41"/>
      <c r="W3599" s="41"/>
      <c r="X3599" s="41"/>
      <c r="Y3599" s="41"/>
      <c r="Z3599" s="41"/>
      <c r="AA3599" s="44"/>
      <c r="AB3599" s="44"/>
      <c r="AC3599" s="43"/>
      <c r="AD3599" s="43"/>
      <c r="AE3599" s="43"/>
    </row>
    <row r="3600" spans="1:31" x14ac:dyDescent="0.35">
      <c r="C3600" s="33"/>
      <c r="D3600" s="34"/>
      <c r="E3600" s="34"/>
      <c r="F3600" s="34"/>
      <c r="G3600" s="34"/>
      <c r="H3600" s="34"/>
      <c r="I3600" s="34"/>
      <c r="J3600" s="34"/>
      <c r="K3600" s="34"/>
      <c r="L3600" s="34"/>
      <c r="M3600" s="34"/>
      <c r="N3600" s="34"/>
      <c r="O3600" s="34"/>
      <c r="AA3600" s="35"/>
      <c r="AB3600" s="35"/>
      <c r="AC3600" s="34"/>
      <c r="AD3600" s="34"/>
      <c r="AE3600" s="34"/>
    </row>
    <row r="3601" spans="1:31" ht="15" thickBot="1" x14ac:dyDescent="0.4">
      <c r="A3601" s="45"/>
      <c r="B3601" s="45"/>
      <c r="C3601" s="46"/>
      <c r="D3601" s="47"/>
      <c r="E3601" s="47"/>
      <c r="F3601" s="47"/>
      <c r="G3601" s="47"/>
      <c r="H3601" s="47"/>
      <c r="I3601" s="47"/>
      <c r="J3601" s="47"/>
      <c r="K3601" s="47"/>
      <c r="L3601" s="47"/>
      <c r="M3601" s="47"/>
      <c r="N3601" s="47"/>
      <c r="O3601" s="47"/>
      <c r="P3601" s="47"/>
      <c r="Q3601" s="47"/>
      <c r="R3601" s="47"/>
      <c r="S3601" s="47"/>
      <c r="T3601" s="45"/>
      <c r="U3601" s="45"/>
      <c r="V3601" s="45"/>
      <c r="W3601" s="45"/>
      <c r="X3601" s="47"/>
      <c r="Y3601" s="45"/>
      <c r="Z3601" s="45"/>
      <c r="AA3601" s="48"/>
      <c r="AB3601" s="48"/>
      <c r="AC3601" s="47"/>
      <c r="AD3601" s="47"/>
      <c r="AE3601" s="47"/>
    </row>
    <row r="3602" spans="1:31" x14ac:dyDescent="0.35">
      <c r="A3602" s="41"/>
      <c r="B3602" s="41"/>
      <c r="C3602" s="42"/>
      <c r="D3602" s="43"/>
      <c r="E3602" s="43"/>
      <c r="F3602" s="43"/>
      <c r="G3602" s="43"/>
      <c r="H3602" s="43"/>
      <c r="I3602" s="43"/>
      <c r="J3602" s="43"/>
      <c r="K3602" s="43"/>
      <c r="L3602" s="43"/>
      <c r="M3602" s="43"/>
      <c r="N3602" s="43"/>
      <c r="O3602" s="43"/>
      <c r="P3602" s="43"/>
      <c r="Q3602" s="43"/>
      <c r="R3602" s="43"/>
      <c r="S3602" s="43"/>
      <c r="T3602" s="43"/>
      <c r="U3602" s="43"/>
      <c r="V3602" s="41"/>
      <c r="W3602" s="41"/>
      <c r="X3602" s="41"/>
      <c r="Y3602" s="41"/>
      <c r="Z3602" s="41"/>
      <c r="AA3602" s="44"/>
      <c r="AB3602" s="44"/>
      <c r="AC3602" s="43"/>
      <c r="AD3602" s="43"/>
      <c r="AE3602" s="43"/>
    </row>
    <row r="3603" spans="1:31" x14ac:dyDescent="0.35">
      <c r="C3603" s="33"/>
      <c r="D3603" s="34"/>
      <c r="E3603" s="34"/>
      <c r="F3603" s="34"/>
      <c r="G3603" s="34"/>
      <c r="H3603" s="34"/>
      <c r="I3603" s="34"/>
      <c r="J3603" s="34"/>
      <c r="K3603" s="34"/>
      <c r="L3603" s="34"/>
      <c r="M3603" s="34"/>
      <c r="N3603" s="34"/>
      <c r="O3603" s="34"/>
      <c r="AA3603" s="35"/>
      <c r="AB3603" s="35"/>
      <c r="AC3603" s="34"/>
      <c r="AD3603" s="34"/>
      <c r="AE3603" s="34"/>
    </row>
    <row r="3604" spans="1:31" ht="15" thickBot="1" x14ac:dyDescent="0.4">
      <c r="A3604" s="45"/>
      <c r="B3604" s="45"/>
      <c r="C3604" s="46"/>
      <c r="D3604" s="47"/>
      <c r="E3604" s="47"/>
      <c r="F3604" s="47"/>
      <c r="G3604" s="47"/>
      <c r="H3604" s="47"/>
      <c r="I3604" s="47"/>
      <c r="J3604" s="47"/>
      <c r="K3604" s="47"/>
      <c r="L3604" s="47"/>
      <c r="M3604" s="47"/>
      <c r="N3604" s="47"/>
      <c r="O3604" s="47"/>
      <c r="P3604" s="47"/>
      <c r="Q3604" s="47"/>
      <c r="R3604" s="47"/>
      <c r="S3604" s="47"/>
      <c r="T3604" s="45"/>
      <c r="U3604" s="45"/>
      <c r="V3604" s="45"/>
      <c r="W3604" s="45"/>
      <c r="X3604" s="47"/>
      <c r="Y3604" s="45"/>
      <c r="Z3604" s="45"/>
      <c r="AA3604" s="48"/>
      <c r="AB3604" s="48"/>
      <c r="AC3604" s="47"/>
      <c r="AD3604" s="47"/>
      <c r="AE3604" s="47"/>
    </row>
    <row r="3605" spans="1:31" x14ac:dyDescent="0.35">
      <c r="A3605" s="41"/>
      <c r="B3605" s="41"/>
      <c r="C3605" s="42"/>
      <c r="D3605" s="43"/>
      <c r="E3605" s="43"/>
      <c r="F3605" s="43"/>
      <c r="G3605" s="43"/>
      <c r="H3605" s="43"/>
      <c r="I3605" s="43"/>
      <c r="J3605" s="43"/>
      <c r="K3605" s="43"/>
      <c r="L3605" s="43"/>
      <c r="M3605" s="43"/>
      <c r="N3605" s="43"/>
      <c r="O3605" s="43"/>
      <c r="P3605" s="43"/>
      <c r="Q3605" s="43"/>
      <c r="R3605" s="43"/>
      <c r="S3605" s="43"/>
      <c r="T3605" s="43"/>
      <c r="U3605" s="43"/>
      <c r="V3605" s="41"/>
      <c r="W3605" s="41"/>
      <c r="X3605" s="41"/>
      <c r="Y3605" s="41"/>
      <c r="Z3605" s="41"/>
      <c r="AA3605" s="44"/>
      <c r="AB3605" s="44"/>
      <c r="AC3605" s="43"/>
      <c r="AD3605" s="43"/>
      <c r="AE3605" s="43"/>
    </row>
    <row r="3606" spans="1:31" x14ac:dyDescent="0.35">
      <c r="C3606" s="33"/>
      <c r="D3606" s="34"/>
      <c r="E3606" s="34"/>
      <c r="F3606" s="34"/>
      <c r="G3606" s="34"/>
      <c r="H3606" s="34"/>
      <c r="I3606" s="34"/>
      <c r="J3606" s="34"/>
      <c r="K3606" s="34"/>
      <c r="L3606" s="34"/>
      <c r="M3606" s="34"/>
      <c r="N3606" s="34"/>
      <c r="O3606" s="34"/>
      <c r="AA3606" s="35"/>
      <c r="AB3606" s="35"/>
      <c r="AC3606" s="34"/>
      <c r="AD3606" s="34"/>
      <c r="AE3606" s="34"/>
    </row>
    <row r="3607" spans="1:31" ht="15" thickBot="1" x14ac:dyDescent="0.4">
      <c r="A3607" s="45"/>
      <c r="B3607" s="45"/>
      <c r="C3607" s="46"/>
      <c r="D3607" s="47"/>
      <c r="E3607" s="47"/>
      <c r="F3607" s="47"/>
      <c r="G3607" s="47"/>
      <c r="H3607" s="47"/>
      <c r="I3607" s="47"/>
      <c r="J3607" s="47"/>
      <c r="K3607" s="47"/>
      <c r="L3607" s="47"/>
      <c r="M3607" s="47"/>
      <c r="N3607" s="47"/>
      <c r="O3607" s="47"/>
      <c r="P3607" s="47"/>
      <c r="Q3607" s="47"/>
      <c r="R3607" s="47"/>
      <c r="S3607" s="47"/>
      <c r="T3607" s="45"/>
      <c r="U3607" s="45"/>
      <c r="V3607" s="45"/>
      <c r="W3607" s="45"/>
      <c r="X3607" s="47"/>
      <c r="Y3607" s="45"/>
      <c r="Z3607" s="45"/>
      <c r="AA3607" s="48"/>
      <c r="AB3607" s="48"/>
      <c r="AC3607" s="47"/>
      <c r="AD3607" s="47"/>
      <c r="AE3607" s="47"/>
    </row>
    <row r="3608" spans="1:31" x14ac:dyDescent="0.35">
      <c r="A3608" s="41"/>
      <c r="B3608" s="41"/>
      <c r="C3608" s="42"/>
      <c r="D3608" s="43"/>
      <c r="E3608" s="43"/>
      <c r="F3608" s="43"/>
      <c r="G3608" s="43"/>
      <c r="H3608" s="43"/>
      <c r="I3608" s="43"/>
      <c r="J3608" s="43"/>
      <c r="K3608" s="43"/>
      <c r="L3608" s="43"/>
      <c r="M3608" s="43"/>
      <c r="N3608" s="43"/>
      <c r="O3608" s="43"/>
      <c r="P3608" s="43"/>
      <c r="Q3608" s="43"/>
      <c r="R3608" s="43"/>
      <c r="S3608" s="43"/>
      <c r="T3608" s="43"/>
      <c r="U3608" s="43"/>
      <c r="V3608" s="41"/>
      <c r="W3608" s="41"/>
      <c r="X3608" s="41"/>
      <c r="Y3608" s="41"/>
      <c r="Z3608" s="41"/>
      <c r="AA3608" s="44"/>
      <c r="AB3608" s="44"/>
      <c r="AC3608" s="43"/>
      <c r="AD3608" s="43"/>
      <c r="AE3608" s="43"/>
    </row>
    <row r="3609" spans="1:31" x14ac:dyDescent="0.35">
      <c r="C3609" s="33"/>
      <c r="D3609" s="34"/>
      <c r="E3609" s="34"/>
      <c r="F3609" s="34"/>
      <c r="G3609" s="34"/>
      <c r="H3609" s="34"/>
      <c r="I3609" s="34"/>
      <c r="J3609" s="34"/>
      <c r="K3609" s="34"/>
      <c r="L3609" s="34"/>
      <c r="M3609" s="34"/>
      <c r="N3609" s="34"/>
      <c r="O3609" s="34"/>
      <c r="AA3609" s="35"/>
      <c r="AB3609" s="35"/>
      <c r="AC3609" s="34"/>
      <c r="AD3609" s="34"/>
      <c r="AE3609" s="34"/>
    </row>
    <row r="3610" spans="1:31" ht="15" thickBot="1" x14ac:dyDescent="0.4">
      <c r="A3610" s="45"/>
      <c r="B3610" s="45"/>
      <c r="C3610" s="46"/>
      <c r="D3610" s="47"/>
      <c r="E3610" s="47"/>
      <c r="F3610" s="47"/>
      <c r="G3610" s="47"/>
      <c r="H3610" s="47"/>
      <c r="I3610" s="47"/>
      <c r="J3610" s="47"/>
      <c r="K3610" s="47"/>
      <c r="L3610" s="47"/>
      <c r="M3610" s="47"/>
      <c r="N3610" s="47"/>
      <c r="O3610" s="47"/>
      <c r="P3610" s="47"/>
      <c r="Q3610" s="47"/>
      <c r="R3610" s="47"/>
      <c r="S3610" s="47"/>
      <c r="T3610" s="45"/>
      <c r="U3610" s="45"/>
      <c r="V3610" s="45"/>
      <c r="W3610" s="45"/>
      <c r="X3610" s="47"/>
      <c r="Y3610" s="45"/>
      <c r="Z3610" s="45"/>
      <c r="AA3610" s="48"/>
      <c r="AB3610" s="48"/>
      <c r="AC3610" s="47"/>
      <c r="AD3610" s="47"/>
      <c r="AE3610" s="47"/>
    </row>
    <row r="3611" spans="1:31" x14ac:dyDescent="0.35">
      <c r="A3611" s="41"/>
      <c r="B3611" s="41"/>
      <c r="C3611" s="42"/>
      <c r="D3611" s="43"/>
      <c r="E3611" s="43"/>
      <c r="F3611" s="43"/>
      <c r="G3611" s="43"/>
      <c r="H3611" s="43"/>
      <c r="I3611" s="43"/>
      <c r="J3611" s="43"/>
      <c r="K3611" s="43"/>
      <c r="L3611" s="43"/>
      <c r="M3611" s="43"/>
      <c r="N3611" s="43"/>
      <c r="O3611" s="43"/>
      <c r="P3611" s="43"/>
      <c r="Q3611" s="43"/>
      <c r="R3611" s="43"/>
      <c r="S3611" s="43"/>
      <c r="T3611" s="43"/>
      <c r="U3611" s="43"/>
      <c r="V3611" s="41"/>
      <c r="W3611" s="41"/>
      <c r="X3611" s="41"/>
      <c r="Y3611" s="41"/>
      <c r="Z3611" s="41"/>
      <c r="AA3611" s="44"/>
      <c r="AB3611" s="44"/>
      <c r="AC3611" s="43"/>
      <c r="AD3611" s="43"/>
      <c r="AE3611" s="43"/>
    </row>
    <row r="3612" spans="1:31" x14ac:dyDescent="0.35">
      <c r="C3612" s="33"/>
      <c r="D3612" s="34"/>
      <c r="E3612" s="34"/>
      <c r="F3612" s="34"/>
      <c r="G3612" s="34"/>
      <c r="H3612" s="34"/>
      <c r="I3612" s="34"/>
      <c r="J3612" s="34"/>
      <c r="K3612" s="34"/>
      <c r="L3612" s="34"/>
      <c r="M3612" s="34"/>
      <c r="N3612" s="34"/>
      <c r="O3612" s="34"/>
      <c r="AA3612" s="35"/>
      <c r="AB3612" s="35"/>
      <c r="AC3612" s="34"/>
      <c r="AD3612" s="34"/>
      <c r="AE3612" s="34"/>
    </row>
    <row r="3613" spans="1:31" ht="15" thickBot="1" x14ac:dyDescent="0.4">
      <c r="A3613" s="45"/>
      <c r="B3613" s="45"/>
      <c r="C3613" s="46"/>
      <c r="D3613" s="47"/>
      <c r="E3613" s="47"/>
      <c r="F3613" s="47"/>
      <c r="G3613" s="47"/>
      <c r="H3613" s="47"/>
      <c r="I3613" s="47"/>
      <c r="J3613" s="47"/>
      <c r="K3613" s="47"/>
      <c r="L3613" s="47"/>
      <c r="M3613" s="47"/>
      <c r="N3613" s="47"/>
      <c r="O3613" s="47"/>
      <c r="P3613" s="47"/>
      <c r="Q3613" s="47"/>
      <c r="R3613" s="47"/>
      <c r="S3613" s="47"/>
      <c r="T3613" s="45"/>
      <c r="U3613" s="45"/>
      <c r="V3613" s="45"/>
      <c r="W3613" s="45"/>
      <c r="X3613" s="47"/>
      <c r="Y3613" s="45"/>
      <c r="Z3613" s="45"/>
      <c r="AA3613" s="48"/>
      <c r="AB3613" s="48"/>
      <c r="AC3613" s="47"/>
      <c r="AD3613" s="47"/>
      <c r="AE3613" s="47"/>
    </row>
    <row r="3614" spans="1:31" x14ac:dyDescent="0.35">
      <c r="A3614" s="41"/>
      <c r="B3614" s="41"/>
      <c r="C3614" s="42"/>
      <c r="D3614" s="43"/>
      <c r="E3614" s="43"/>
      <c r="F3614" s="43"/>
      <c r="G3614" s="43"/>
      <c r="H3614" s="43"/>
      <c r="I3614" s="43"/>
      <c r="J3614" s="43"/>
      <c r="K3614" s="43"/>
      <c r="L3614" s="43"/>
      <c r="M3614" s="43"/>
      <c r="N3614" s="43"/>
      <c r="O3614" s="43"/>
      <c r="P3614" s="43"/>
      <c r="Q3614" s="43"/>
      <c r="R3614" s="43"/>
      <c r="S3614" s="43"/>
      <c r="T3614" s="43"/>
      <c r="U3614" s="43"/>
      <c r="V3614" s="41"/>
      <c r="W3614" s="41"/>
      <c r="X3614" s="41"/>
      <c r="Y3614" s="41"/>
      <c r="Z3614" s="41"/>
      <c r="AA3614" s="44"/>
      <c r="AB3614" s="44"/>
      <c r="AC3614" s="43"/>
      <c r="AD3614" s="43"/>
      <c r="AE3614" s="43"/>
    </row>
    <row r="3615" spans="1:31" x14ac:dyDescent="0.35">
      <c r="C3615" s="33"/>
      <c r="D3615" s="34"/>
      <c r="E3615" s="34"/>
      <c r="F3615" s="34"/>
      <c r="G3615" s="34"/>
      <c r="H3615" s="34"/>
      <c r="I3615" s="34"/>
      <c r="J3615" s="34"/>
      <c r="K3615" s="34"/>
      <c r="L3615" s="34"/>
      <c r="M3615" s="34"/>
      <c r="N3615" s="34"/>
      <c r="O3615" s="34"/>
      <c r="AA3615" s="35"/>
      <c r="AB3615" s="35"/>
      <c r="AC3615" s="34"/>
      <c r="AD3615" s="34"/>
      <c r="AE3615" s="34"/>
    </row>
    <row r="3616" spans="1:31" ht="15" thickBot="1" x14ac:dyDescent="0.4">
      <c r="A3616" s="45"/>
      <c r="B3616" s="45"/>
      <c r="C3616" s="46"/>
      <c r="D3616" s="47"/>
      <c r="E3616" s="47"/>
      <c r="F3616" s="47"/>
      <c r="G3616" s="47"/>
      <c r="H3616" s="47"/>
      <c r="I3616" s="47"/>
      <c r="J3616" s="47"/>
      <c r="K3616" s="47"/>
      <c r="L3616" s="47"/>
      <c r="M3616" s="47"/>
      <c r="N3616" s="47"/>
      <c r="O3616" s="47"/>
      <c r="P3616" s="47"/>
      <c r="Q3616" s="47"/>
      <c r="R3616" s="47"/>
      <c r="S3616" s="47"/>
      <c r="T3616" s="45"/>
      <c r="U3616" s="45"/>
      <c r="V3616" s="45"/>
      <c r="W3616" s="45"/>
      <c r="X3616" s="47"/>
      <c r="Y3616" s="45"/>
      <c r="Z3616" s="45"/>
      <c r="AA3616" s="48"/>
      <c r="AB3616" s="48"/>
      <c r="AC3616" s="47"/>
      <c r="AD3616" s="47"/>
      <c r="AE3616" s="47"/>
    </row>
    <row r="3617" spans="1:31" x14ac:dyDescent="0.35">
      <c r="A3617" s="41"/>
      <c r="B3617" s="41"/>
      <c r="C3617" s="42"/>
      <c r="D3617" s="43"/>
      <c r="E3617" s="43"/>
      <c r="F3617" s="43"/>
      <c r="G3617" s="43"/>
      <c r="H3617" s="43"/>
      <c r="I3617" s="43"/>
      <c r="J3617" s="43"/>
      <c r="K3617" s="43"/>
      <c r="L3617" s="43"/>
      <c r="M3617" s="43"/>
      <c r="N3617" s="43"/>
      <c r="O3617" s="43"/>
      <c r="P3617" s="43"/>
      <c r="Q3617" s="43"/>
      <c r="R3617" s="43"/>
      <c r="S3617" s="43"/>
      <c r="T3617" s="43"/>
      <c r="U3617" s="43"/>
      <c r="V3617" s="41"/>
      <c r="W3617" s="41"/>
      <c r="X3617" s="41"/>
      <c r="Y3617" s="41"/>
      <c r="Z3617" s="41"/>
      <c r="AA3617" s="44"/>
      <c r="AB3617" s="44"/>
      <c r="AC3617" s="43"/>
      <c r="AD3617" s="43"/>
      <c r="AE3617" s="43"/>
    </row>
    <row r="3618" spans="1:31" x14ac:dyDescent="0.35">
      <c r="C3618" s="33"/>
      <c r="D3618" s="34"/>
      <c r="E3618" s="34"/>
      <c r="F3618" s="34"/>
      <c r="G3618" s="34"/>
      <c r="H3618" s="34"/>
      <c r="I3618" s="34"/>
      <c r="J3618" s="34"/>
      <c r="K3618" s="34"/>
      <c r="L3618" s="34"/>
      <c r="M3618" s="34"/>
      <c r="N3618" s="34"/>
      <c r="O3618" s="34"/>
      <c r="AA3618" s="35"/>
      <c r="AB3618" s="35"/>
      <c r="AC3618" s="34"/>
      <c r="AD3618" s="34"/>
      <c r="AE3618" s="34"/>
    </row>
    <row r="3619" spans="1:31" ht="15" thickBot="1" x14ac:dyDescent="0.4">
      <c r="A3619" s="45"/>
      <c r="B3619" s="45"/>
      <c r="C3619" s="46"/>
      <c r="D3619" s="47"/>
      <c r="E3619" s="47"/>
      <c r="F3619" s="47"/>
      <c r="G3619" s="47"/>
      <c r="H3619" s="47"/>
      <c r="I3619" s="47"/>
      <c r="J3619" s="47"/>
      <c r="K3619" s="47"/>
      <c r="L3619" s="47"/>
      <c r="M3619" s="47"/>
      <c r="N3619" s="47"/>
      <c r="O3619" s="47"/>
      <c r="P3619" s="47"/>
      <c r="Q3619" s="47"/>
      <c r="R3619" s="47"/>
      <c r="S3619" s="47"/>
      <c r="T3619" s="45"/>
      <c r="U3619" s="45"/>
      <c r="V3619" s="45"/>
      <c r="W3619" s="45"/>
      <c r="X3619" s="47"/>
      <c r="Y3619" s="45"/>
      <c r="Z3619" s="45"/>
      <c r="AA3619" s="48"/>
      <c r="AB3619" s="48"/>
      <c r="AC3619" s="47"/>
      <c r="AD3619" s="47"/>
      <c r="AE3619" s="47"/>
    </row>
    <row r="3620" spans="1:31" x14ac:dyDescent="0.35">
      <c r="A3620" s="41"/>
      <c r="B3620" s="41"/>
      <c r="C3620" s="42"/>
      <c r="D3620" s="43"/>
      <c r="E3620" s="43"/>
      <c r="F3620" s="43"/>
      <c r="G3620" s="43"/>
      <c r="H3620" s="43"/>
      <c r="I3620" s="43"/>
      <c r="J3620" s="43"/>
      <c r="K3620" s="43"/>
      <c r="L3620" s="43"/>
      <c r="M3620" s="43"/>
      <c r="N3620" s="43"/>
      <c r="O3620" s="43"/>
      <c r="P3620" s="43"/>
      <c r="Q3620" s="43"/>
      <c r="R3620" s="43"/>
      <c r="S3620" s="43"/>
      <c r="T3620" s="43"/>
      <c r="U3620" s="43"/>
      <c r="V3620" s="41"/>
      <c r="W3620" s="41"/>
      <c r="X3620" s="41"/>
      <c r="Y3620" s="41"/>
      <c r="Z3620" s="41"/>
      <c r="AA3620" s="44"/>
      <c r="AB3620" s="44"/>
      <c r="AC3620" s="43"/>
      <c r="AD3620" s="43"/>
      <c r="AE3620" s="43"/>
    </row>
    <row r="3621" spans="1:31" x14ac:dyDescent="0.35">
      <c r="C3621" s="33"/>
      <c r="D3621" s="34"/>
      <c r="E3621" s="34"/>
      <c r="F3621" s="34"/>
      <c r="G3621" s="34"/>
      <c r="H3621" s="34"/>
      <c r="I3621" s="34"/>
      <c r="J3621" s="34"/>
      <c r="K3621" s="34"/>
      <c r="L3621" s="34"/>
      <c r="M3621" s="34"/>
      <c r="N3621" s="34"/>
      <c r="O3621" s="34"/>
      <c r="AA3621" s="35"/>
      <c r="AB3621" s="35"/>
      <c r="AC3621" s="34"/>
      <c r="AD3621" s="34"/>
      <c r="AE3621" s="34"/>
    </row>
    <row r="3622" spans="1:31" ht="15" thickBot="1" x14ac:dyDescent="0.4">
      <c r="A3622" s="45"/>
      <c r="B3622" s="45"/>
      <c r="C3622" s="46"/>
      <c r="D3622" s="47"/>
      <c r="E3622" s="47"/>
      <c r="F3622" s="47"/>
      <c r="G3622" s="47"/>
      <c r="H3622" s="47"/>
      <c r="I3622" s="47"/>
      <c r="J3622" s="47"/>
      <c r="K3622" s="47"/>
      <c r="L3622" s="47"/>
      <c r="M3622" s="47"/>
      <c r="N3622" s="47"/>
      <c r="O3622" s="47"/>
      <c r="P3622" s="47"/>
      <c r="Q3622" s="47"/>
      <c r="R3622" s="47"/>
      <c r="S3622" s="47"/>
      <c r="T3622" s="45"/>
      <c r="U3622" s="45"/>
      <c r="V3622" s="45"/>
      <c r="W3622" s="45"/>
      <c r="X3622" s="47"/>
      <c r="Y3622" s="45"/>
      <c r="Z3622" s="45"/>
      <c r="AA3622" s="48"/>
      <c r="AB3622" s="48"/>
      <c r="AC3622" s="47"/>
      <c r="AD3622" s="47"/>
      <c r="AE3622" s="47"/>
    </row>
    <row r="3623" spans="1:31" x14ac:dyDescent="0.35">
      <c r="A3623" s="41"/>
      <c r="B3623" s="41"/>
      <c r="C3623" s="42"/>
      <c r="D3623" s="43"/>
      <c r="E3623" s="43"/>
      <c r="F3623" s="43"/>
      <c r="G3623" s="43"/>
      <c r="H3623" s="43"/>
      <c r="I3623" s="43"/>
      <c r="J3623" s="43"/>
      <c r="K3623" s="43"/>
      <c r="L3623" s="43"/>
      <c r="M3623" s="43"/>
      <c r="N3623" s="43"/>
      <c r="O3623" s="43"/>
      <c r="P3623" s="43"/>
      <c r="Q3623" s="43"/>
      <c r="R3623" s="43"/>
      <c r="S3623" s="43"/>
      <c r="T3623" s="43"/>
      <c r="U3623" s="43"/>
      <c r="V3623" s="41"/>
      <c r="W3623" s="41"/>
      <c r="X3623" s="41"/>
      <c r="Y3623" s="41"/>
      <c r="Z3623" s="41"/>
      <c r="AA3623" s="44"/>
      <c r="AB3623" s="44"/>
      <c r="AC3623" s="43"/>
      <c r="AD3623" s="43"/>
      <c r="AE3623" s="43"/>
    </row>
    <row r="3624" spans="1:31" x14ac:dyDescent="0.35">
      <c r="C3624" s="33"/>
      <c r="D3624" s="34"/>
      <c r="E3624" s="34"/>
      <c r="F3624" s="34"/>
      <c r="G3624" s="34"/>
      <c r="H3624" s="34"/>
      <c r="I3624" s="34"/>
      <c r="J3624" s="34"/>
      <c r="K3624" s="34"/>
      <c r="L3624" s="34"/>
      <c r="M3624" s="34"/>
      <c r="N3624" s="34"/>
      <c r="O3624" s="34"/>
      <c r="AA3624" s="35"/>
      <c r="AB3624" s="35"/>
      <c r="AC3624" s="34"/>
      <c r="AD3624" s="34"/>
      <c r="AE3624" s="34"/>
    </row>
    <row r="3625" spans="1:31" ht="15" thickBot="1" x14ac:dyDescent="0.4">
      <c r="A3625" s="45"/>
      <c r="B3625" s="45"/>
      <c r="C3625" s="46"/>
      <c r="D3625" s="47"/>
      <c r="E3625" s="47"/>
      <c r="F3625" s="47"/>
      <c r="G3625" s="47"/>
      <c r="H3625" s="47"/>
      <c r="I3625" s="47"/>
      <c r="J3625" s="47"/>
      <c r="K3625" s="47"/>
      <c r="L3625" s="47"/>
      <c r="M3625" s="47"/>
      <c r="N3625" s="47"/>
      <c r="O3625" s="47"/>
      <c r="P3625" s="47"/>
      <c r="Q3625" s="47"/>
      <c r="R3625" s="47"/>
      <c r="S3625" s="47"/>
      <c r="T3625" s="45"/>
      <c r="U3625" s="45"/>
      <c r="V3625" s="45"/>
      <c r="W3625" s="45"/>
      <c r="X3625" s="47"/>
      <c r="Y3625" s="45"/>
      <c r="Z3625" s="45"/>
      <c r="AA3625" s="48"/>
      <c r="AB3625" s="48"/>
      <c r="AC3625" s="47"/>
      <c r="AD3625" s="47"/>
      <c r="AE3625" s="47"/>
    </row>
    <row r="3626" spans="1:31" x14ac:dyDescent="0.35">
      <c r="A3626" s="41"/>
      <c r="B3626" s="41"/>
      <c r="C3626" s="42"/>
      <c r="D3626" s="43"/>
      <c r="E3626" s="43"/>
      <c r="F3626" s="43"/>
      <c r="G3626" s="43"/>
      <c r="H3626" s="43"/>
      <c r="I3626" s="43"/>
      <c r="J3626" s="43"/>
      <c r="K3626" s="43"/>
      <c r="L3626" s="43"/>
      <c r="M3626" s="43"/>
      <c r="N3626" s="43"/>
      <c r="O3626" s="43"/>
      <c r="P3626" s="43"/>
      <c r="Q3626" s="43"/>
      <c r="R3626" s="43"/>
      <c r="S3626" s="43"/>
      <c r="T3626" s="43"/>
      <c r="U3626" s="43"/>
      <c r="V3626" s="41"/>
      <c r="W3626" s="41"/>
      <c r="X3626" s="41"/>
      <c r="Y3626" s="41"/>
      <c r="Z3626" s="41"/>
      <c r="AA3626" s="44"/>
      <c r="AB3626" s="44"/>
      <c r="AC3626" s="43"/>
      <c r="AD3626" s="43"/>
      <c r="AE3626" s="43"/>
    </row>
    <row r="3627" spans="1:31" x14ac:dyDescent="0.35">
      <c r="C3627" s="33"/>
      <c r="D3627" s="34"/>
      <c r="E3627" s="34"/>
      <c r="F3627" s="34"/>
      <c r="G3627" s="34"/>
      <c r="H3627" s="34"/>
      <c r="I3627" s="34"/>
      <c r="J3627" s="34"/>
      <c r="K3627" s="34"/>
      <c r="L3627" s="34"/>
      <c r="M3627" s="34"/>
      <c r="N3627" s="34"/>
      <c r="O3627" s="34"/>
      <c r="AA3627" s="35"/>
      <c r="AB3627" s="35"/>
      <c r="AC3627" s="34"/>
      <c r="AD3627" s="34"/>
      <c r="AE3627" s="34"/>
    </row>
    <row r="3628" spans="1:31" ht="15" thickBot="1" x14ac:dyDescent="0.4">
      <c r="A3628" s="45"/>
      <c r="B3628" s="45"/>
      <c r="C3628" s="46"/>
      <c r="D3628" s="47"/>
      <c r="E3628" s="47"/>
      <c r="F3628" s="47"/>
      <c r="G3628" s="47"/>
      <c r="H3628" s="47"/>
      <c r="I3628" s="47"/>
      <c r="J3628" s="47"/>
      <c r="K3628" s="47"/>
      <c r="L3628" s="47"/>
      <c r="M3628" s="47"/>
      <c r="N3628" s="47"/>
      <c r="O3628" s="47"/>
      <c r="P3628" s="47"/>
      <c r="Q3628" s="47"/>
      <c r="R3628" s="47"/>
      <c r="S3628" s="47"/>
      <c r="T3628" s="45"/>
      <c r="U3628" s="45"/>
      <c r="V3628" s="45"/>
      <c r="W3628" s="45"/>
      <c r="X3628" s="47"/>
      <c r="Y3628" s="45"/>
      <c r="Z3628" s="45"/>
      <c r="AA3628" s="48"/>
      <c r="AB3628" s="48"/>
      <c r="AC3628" s="47"/>
      <c r="AD3628" s="47"/>
      <c r="AE3628" s="47"/>
    </row>
    <row r="3629" spans="1:31" x14ac:dyDescent="0.35">
      <c r="A3629" s="41"/>
      <c r="B3629" s="41"/>
      <c r="C3629" s="42"/>
      <c r="D3629" s="43"/>
      <c r="E3629" s="43"/>
      <c r="F3629" s="43"/>
      <c r="G3629" s="43"/>
      <c r="H3629" s="43"/>
      <c r="I3629" s="43"/>
      <c r="J3629" s="43"/>
      <c r="K3629" s="43"/>
      <c r="L3629" s="43"/>
      <c r="M3629" s="43"/>
      <c r="N3629" s="43"/>
      <c r="O3629" s="43"/>
      <c r="P3629" s="43"/>
      <c r="Q3629" s="43"/>
      <c r="R3629" s="43"/>
      <c r="S3629" s="43"/>
      <c r="T3629" s="43"/>
      <c r="U3629" s="43"/>
      <c r="V3629" s="41"/>
      <c r="W3629" s="41"/>
      <c r="X3629" s="41"/>
      <c r="Y3629" s="41"/>
      <c r="Z3629" s="41"/>
      <c r="AA3629" s="44"/>
      <c r="AB3629" s="44"/>
      <c r="AC3629" s="43"/>
      <c r="AD3629" s="43"/>
      <c r="AE3629" s="43"/>
    </row>
    <row r="3630" spans="1:31" x14ac:dyDescent="0.35">
      <c r="C3630" s="33"/>
      <c r="D3630" s="34"/>
      <c r="E3630" s="34"/>
      <c r="F3630" s="34"/>
      <c r="G3630" s="34"/>
      <c r="H3630" s="34"/>
      <c r="I3630" s="34"/>
      <c r="J3630" s="34"/>
      <c r="K3630" s="34"/>
      <c r="L3630" s="34"/>
      <c r="M3630" s="34"/>
      <c r="N3630" s="34"/>
      <c r="O3630" s="34"/>
      <c r="AA3630" s="35"/>
      <c r="AB3630" s="35"/>
      <c r="AC3630" s="34"/>
      <c r="AD3630" s="34"/>
      <c r="AE3630" s="34"/>
    </row>
    <row r="3631" spans="1:31" ht="15" thickBot="1" x14ac:dyDescent="0.4">
      <c r="A3631" s="45"/>
      <c r="B3631" s="45"/>
      <c r="C3631" s="46"/>
      <c r="D3631" s="47"/>
      <c r="E3631" s="47"/>
      <c r="F3631" s="47"/>
      <c r="G3631" s="47"/>
      <c r="H3631" s="47"/>
      <c r="I3631" s="47"/>
      <c r="J3631" s="47"/>
      <c r="K3631" s="47"/>
      <c r="L3631" s="47"/>
      <c r="M3631" s="47"/>
      <c r="N3631" s="47"/>
      <c r="O3631" s="47"/>
      <c r="P3631" s="47"/>
      <c r="Q3631" s="47"/>
      <c r="R3631" s="47"/>
      <c r="S3631" s="47"/>
      <c r="T3631" s="45"/>
      <c r="U3631" s="45"/>
      <c r="V3631" s="45"/>
      <c r="W3631" s="45"/>
      <c r="X3631" s="47"/>
      <c r="Y3631" s="45"/>
      <c r="Z3631" s="45"/>
      <c r="AA3631" s="48"/>
      <c r="AB3631" s="48"/>
      <c r="AC3631" s="47"/>
      <c r="AD3631" s="47"/>
      <c r="AE3631" s="47"/>
    </row>
    <row r="3632" spans="1:31" x14ac:dyDescent="0.35">
      <c r="A3632" s="41"/>
      <c r="B3632" s="41"/>
      <c r="C3632" s="42"/>
      <c r="D3632" s="43"/>
      <c r="E3632" s="43"/>
      <c r="F3632" s="43"/>
      <c r="G3632" s="43"/>
      <c r="H3632" s="43"/>
      <c r="I3632" s="43"/>
      <c r="J3632" s="43"/>
      <c r="K3632" s="43"/>
      <c r="L3632" s="43"/>
      <c r="M3632" s="43"/>
      <c r="N3632" s="43"/>
      <c r="O3632" s="43"/>
      <c r="P3632" s="43"/>
      <c r="Q3632" s="43"/>
      <c r="R3632" s="43"/>
      <c r="S3632" s="43"/>
      <c r="T3632" s="43"/>
      <c r="U3632" s="43"/>
      <c r="V3632" s="41"/>
      <c r="W3632" s="41"/>
      <c r="X3632" s="41"/>
      <c r="Y3632" s="41"/>
      <c r="Z3632" s="41"/>
      <c r="AA3632" s="44"/>
      <c r="AB3632" s="44"/>
      <c r="AC3632" s="43"/>
      <c r="AD3632" s="43"/>
      <c r="AE3632" s="43"/>
    </row>
    <row r="3633" spans="1:31" x14ac:dyDescent="0.35">
      <c r="C3633" s="33"/>
      <c r="D3633" s="34"/>
      <c r="E3633" s="34"/>
      <c r="F3633" s="34"/>
      <c r="G3633" s="34"/>
      <c r="H3633" s="34"/>
      <c r="I3633" s="34"/>
      <c r="J3633" s="34"/>
      <c r="K3633" s="34"/>
      <c r="L3633" s="34"/>
      <c r="M3633" s="34"/>
      <c r="N3633" s="34"/>
      <c r="O3633" s="34"/>
      <c r="AA3633" s="35"/>
      <c r="AB3633" s="35"/>
      <c r="AC3633" s="34"/>
      <c r="AD3633" s="34"/>
      <c r="AE3633" s="34"/>
    </row>
    <row r="3634" spans="1:31" ht="15" thickBot="1" x14ac:dyDescent="0.4">
      <c r="A3634" s="45"/>
      <c r="B3634" s="45"/>
      <c r="C3634" s="46"/>
      <c r="D3634" s="47"/>
      <c r="E3634" s="47"/>
      <c r="F3634" s="47"/>
      <c r="G3634" s="47"/>
      <c r="H3634" s="47"/>
      <c r="I3634" s="47"/>
      <c r="J3634" s="47"/>
      <c r="K3634" s="47"/>
      <c r="L3634" s="47"/>
      <c r="M3634" s="47"/>
      <c r="N3634" s="47"/>
      <c r="O3634" s="47"/>
      <c r="P3634" s="47"/>
      <c r="Q3634" s="47"/>
      <c r="R3634" s="47"/>
      <c r="S3634" s="47"/>
      <c r="T3634" s="45"/>
      <c r="U3634" s="45"/>
      <c r="V3634" s="45"/>
      <c r="W3634" s="45"/>
      <c r="X3634" s="47"/>
      <c r="Y3634" s="45"/>
      <c r="Z3634" s="45"/>
      <c r="AA3634" s="48"/>
      <c r="AB3634" s="48"/>
      <c r="AC3634" s="47"/>
      <c r="AD3634" s="47"/>
      <c r="AE3634" s="47"/>
    </row>
    <row r="3635" spans="1:31" x14ac:dyDescent="0.35">
      <c r="A3635" s="41"/>
      <c r="B3635" s="41"/>
      <c r="C3635" s="42"/>
      <c r="D3635" s="43"/>
      <c r="E3635" s="43"/>
      <c r="F3635" s="43"/>
      <c r="G3635" s="43"/>
      <c r="H3635" s="43"/>
      <c r="I3635" s="43"/>
      <c r="J3635" s="43"/>
      <c r="K3635" s="43"/>
      <c r="L3635" s="43"/>
      <c r="M3635" s="43"/>
      <c r="N3635" s="43"/>
      <c r="O3635" s="43"/>
      <c r="P3635" s="43"/>
      <c r="Q3635" s="43"/>
      <c r="R3635" s="43"/>
      <c r="S3635" s="43"/>
      <c r="T3635" s="43"/>
      <c r="U3635" s="43"/>
      <c r="V3635" s="41"/>
      <c r="W3635" s="41"/>
      <c r="X3635" s="41"/>
      <c r="Y3635" s="41"/>
      <c r="Z3635" s="41"/>
      <c r="AA3635" s="44"/>
      <c r="AB3635" s="44"/>
      <c r="AC3635" s="43"/>
      <c r="AD3635" s="43"/>
      <c r="AE3635" s="43"/>
    </row>
    <row r="3636" spans="1:31" x14ac:dyDescent="0.35">
      <c r="C3636" s="33"/>
      <c r="D3636" s="34"/>
      <c r="E3636" s="34"/>
      <c r="F3636" s="34"/>
      <c r="G3636" s="34"/>
      <c r="H3636" s="34"/>
      <c r="I3636" s="34"/>
      <c r="J3636" s="34"/>
      <c r="K3636" s="34"/>
      <c r="L3636" s="34"/>
      <c r="M3636" s="34"/>
      <c r="N3636" s="34"/>
      <c r="O3636" s="34"/>
      <c r="AA3636" s="35"/>
      <c r="AB3636" s="35"/>
      <c r="AC3636" s="34"/>
      <c r="AD3636" s="34"/>
      <c r="AE3636" s="34"/>
    </row>
    <row r="3637" spans="1:31" ht="15" thickBot="1" x14ac:dyDescent="0.4">
      <c r="A3637" s="45"/>
      <c r="B3637" s="45"/>
      <c r="C3637" s="46"/>
      <c r="D3637" s="47"/>
      <c r="E3637" s="47"/>
      <c r="F3637" s="47"/>
      <c r="G3637" s="47"/>
      <c r="H3637" s="47"/>
      <c r="I3637" s="47"/>
      <c r="J3637" s="47"/>
      <c r="K3637" s="47"/>
      <c r="L3637" s="47"/>
      <c r="M3637" s="47"/>
      <c r="N3637" s="47"/>
      <c r="O3637" s="47"/>
      <c r="P3637" s="47"/>
      <c r="Q3637" s="47"/>
      <c r="R3637" s="47"/>
      <c r="S3637" s="47"/>
      <c r="T3637" s="45"/>
      <c r="U3637" s="45"/>
      <c r="V3637" s="45"/>
      <c r="W3637" s="45"/>
      <c r="X3637" s="47"/>
      <c r="Y3637" s="45"/>
      <c r="Z3637" s="45"/>
      <c r="AA3637" s="48"/>
      <c r="AB3637" s="48"/>
      <c r="AC3637" s="47"/>
      <c r="AD3637" s="47"/>
      <c r="AE3637" s="47"/>
    </row>
    <row r="3638" spans="1:31" x14ac:dyDescent="0.35">
      <c r="A3638" s="41"/>
      <c r="B3638" s="41"/>
      <c r="C3638" s="42"/>
      <c r="D3638" s="43"/>
      <c r="E3638" s="43"/>
      <c r="F3638" s="43"/>
      <c r="G3638" s="43"/>
      <c r="H3638" s="43"/>
      <c r="I3638" s="43"/>
      <c r="J3638" s="43"/>
      <c r="K3638" s="43"/>
      <c r="L3638" s="43"/>
      <c r="M3638" s="43"/>
      <c r="N3638" s="43"/>
      <c r="O3638" s="43"/>
      <c r="P3638" s="43"/>
      <c r="Q3638" s="43"/>
      <c r="R3638" s="43"/>
      <c r="S3638" s="43"/>
      <c r="T3638" s="43"/>
      <c r="U3638" s="43"/>
      <c r="V3638" s="41"/>
      <c r="W3638" s="41"/>
      <c r="X3638" s="41"/>
      <c r="Y3638" s="41"/>
      <c r="Z3638" s="41"/>
      <c r="AA3638" s="44"/>
      <c r="AB3638" s="44"/>
      <c r="AC3638" s="43"/>
      <c r="AD3638" s="43"/>
      <c r="AE3638" s="43"/>
    </row>
    <row r="3639" spans="1:31" x14ac:dyDescent="0.35">
      <c r="C3639" s="33"/>
      <c r="D3639" s="34"/>
      <c r="E3639" s="34"/>
      <c r="F3639" s="34"/>
      <c r="G3639" s="34"/>
      <c r="H3639" s="34"/>
      <c r="I3639" s="34"/>
      <c r="J3639" s="34"/>
      <c r="K3639" s="34"/>
      <c r="L3639" s="34"/>
      <c r="M3639" s="34"/>
      <c r="N3639" s="34"/>
      <c r="O3639" s="34"/>
      <c r="AA3639" s="35"/>
      <c r="AB3639" s="35"/>
      <c r="AC3639" s="34"/>
      <c r="AD3639" s="34"/>
      <c r="AE3639" s="34"/>
    </row>
    <row r="3640" spans="1:31" ht="15" thickBot="1" x14ac:dyDescent="0.4">
      <c r="A3640" s="45"/>
      <c r="B3640" s="45"/>
      <c r="C3640" s="46"/>
      <c r="D3640" s="47"/>
      <c r="E3640" s="47"/>
      <c r="F3640" s="47"/>
      <c r="G3640" s="47"/>
      <c r="H3640" s="47"/>
      <c r="I3640" s="47"/>
      <c r="J3640" s="47"/>
      <c r="K3640" s="47"/>
      <c r="L3640" s="47"/>
      <c r="M3640" s="47"/>
      <c r="N3640" s="47"/>
      <c r="O3640" s="47"/>
      <c r="P3640" s="47"/>
      <c r="Q3640" s="47"/>
      <c r="R3640" s="47"/>
      <c r="S3640" s="47"/>
      <c r="T3640" s="45"/>
      <c r="U3640" s="45"/>
      <c r="V3640" s="45"/>
      <c r="W3640" s="45"/>
      <c r="X3640" s="47"/>
      <c r="Y3640" s="45"/>
      <c r="Z3640" s="45"/>
      <c r="AA3640" s="48"/>
      <c r="AB3640" s="48"/>
      <c r="AC3640" s="47"/>
      <c r="AD3640" s="47"/>
      <c r="AE3640" s="47"/>
    </row>
    <row r="3641" spans="1:31" x14ac:dyDescent="0.35">
      <c r="A3641" s="41"/>
      <c r="B3641" s="41"/>
      <c r="C3641" s="42"/>
      <c r="D3641" s="43"/>
      <c r="E3641" s="43"/>
      <c r="F3641" s="43"/>
      <c r="G3641" s="43"/>
      <c r="H3641" s="43"/>
      <c r="I3641" s="43"/>
      <c r="J3641" s="43"/>
      <c r="K3641" s="43"/>
      <c r="L3641" s="43"/>
      <c r="M3641" s="43"/>
      <c r="N3641" s="43"/>
      <c r="O3641" s="43"/>
      <c r="P3641" s="43"/>
      <c r="Q3641" s="43"/>
      <c r="R3641" s="43"/>
      <c r="S3641" s="43"/>
      <c r="T3641" s="43"/>
      <c r="U3641" s="43"/>
      <c r="V3641" s="41"/>
      <c r="W3641" s="41"/>
      <c r="X3641" s="41"/>
      <c r="Y3641" s="41"/>
      <c r="Z3641" s="41"/>
      <c r="AA3641" s="44"/>
      <c r="AB3641" s="44"/>
      <c r="AC3641" s="43"/>
      <c r="AD3641" s="43"/>
      <c r="AE3641" s="43"/>
    </row>
    <row r="3642" spans="1:31" x14ac:dyDescent="0.35">
      <c r="C3642" s="33"/>
      <c r="D3642" s="34"/>
      <c r="E3642" s="34"/>
      <c r="F3642" s="34"/>
      <c r="G3642" s="34"/>
      <c r="H3642" s="34"/>
      <c r="I3642" s="34"/>
      <c r="J3642" s="34"/>
      <c r="K3642" s="34"/>
      <c r="L3642" s="34"/>
      <c r="M3642" s="34"/>
      <c r="N3642" s="34"/>
      <c r="O3642" s="34"/>
      <c r="AA3642" s="35"/>
      <c r="AB3642" s="35"/>
      <c r="AC3642" s="34"/>
      <c r="AD3642" s="34"/>
      <c r="AE3642" s="34"/>
    </row>
    <row r="3643" spans="1:31" ht="15" thickBot="1" x14ac:dyDescent="0.4">
      <c r="A3643" s="45"/>
      <c r="B3643" s="45"/>
      <c r="C3643" s="46"/>
      <c r="D3643" s="47"/>
      <c r="E3643" s="47"/>
      <c r="F3643" s="47"/>
      <c r="G3643" s="47"/>
      <c r="H3643" s="47"/>
      <c r="I3643" s="47"/>
      <c r="J3643" s="47"/>
      <c r="K3643" s="47"/>
      <c r="L3643" s="47"/>
      <c r="M3643" s="47"/>
      <c r="N3643" s="47"/>
      <c r="O3643" s="47"/>
      <c r="P3643" s="47"/>
      <c r="Q3643" s="47"/>
      <c r="R3643" s="47"/>
      <c r="S3643" s="47"/>
      <c r="T3643" s="45"/>
      <c r="U3643" s="45"/>
      <c r="V3643" s="45"/>
      <c r="W3643" s="45"/>
      <c r="X3643" s="47"/>
      <c r="Y3643" s="45"/>
      <c r="Z3643" s="45"/>
      <c r="AA3643" s="48"/>
      <c r="AB3643" s="48"/>
      <c r="AC3643" s="47"/>
      <c r="AD3643" s="47"/>
      <c r="AE3643" s="47"/>
    </row>
    <row r="3644" spans="1:31" x14ac:dyDescent="0.35">
      <c r="A3644" s="41"/>
      <c r="B3644" s="41"/>
      <c r="C3644" s="42"/>
      <c r="D3644" s="43"/>
      <c r="E3644" s="43"/>
      <c r="F3644" s="43"/>
      <c r="G3644" s="43"/>
      <c r="H3644" s="43"/>
      <c r="I3644" s="43"/>
      <c r="J3644" s="43"/>
      <c r="K3644" s="43"/>
      <c r="L3644" s="43"/>
      <c r="M3644" s="43"/>
      <c r="N3644" s="43"/>
      <c r="O3644" s="43"/>
      <c r="P3644" s="43"/>
      <c r="Q3644" s="43"/>
      <c r="R3644" s="43"/>
      <c r="S3644" s="43"/>
      <c r="T3644" s="43"/>
      <c r="U3644" s="43"/>
      <c r="V3644" s="41"/>
      <c r="W3644" s="41"/>
      <c r="X3644" s="41"/>
      <c r="Y3644" s="41"/>
      <c r="Z3644" s="41"/>
      <c r="AA3644" s="44"/>
      <c r="AB3644" s="44"/>
      <c r="AC3644" s="43"/>
      <c r="AD3644" s="43"/>
      <c r="AE3644" s="43"/>
    </row>
    <row r="3645" spans="1:31" x14ac:dyDescent="0.35">
      <c r="C3645" s="33"/>
      <c r="D3645" s="34"/>
      <c r="E3645" s="34"/>
      <c r="F3645" s="34"/>
      <c r="G3645" s="34"/>
      <c r="H3645" s="34"/>
      <c r="I3645" s="34"/>
      <c r="J3645" s="34"/>
      <c r="K3645" s="34"/>
      <c r="L3645" s="34"/>
      <c r="M3645" s="34"/>
      <c r="N3645" s="34"/>
      <c r="O3645" s="34"/>
      <c r="AA3645" s="35"/>
      <c r="AB3645" s="35"/>
      <c r="AC3645" s="34"/>
      <c r="AD3645" s="34"/>
      <c r="AE3645" s="34"/>
    </row>
    <row r="3646" spans="1:31" ht="15" thickBot="1" x14ac:dyDescent="0.4">
      <c r="A3646" s="45"/>
      <c r="B3646" s="45"/>
      <c r="C3646" s="46"/>
      <c r="D3646" s="47"/>
      <c r="E3646" s="47"/>
      <c r="F3646" s="47"/>
      <c r="G3646" s="47"/>
      <c r="H3646" s="47"/>
      <c r="I3646" s="47"/>
      <c r="J3646" s="47"/>
      <c r="K3646" s="47"/>
      <c r="L3646" s="47"/>
      <c r="M3646" s="47"/>
      <c r="N3646" s="47"/>
      <c r="O3646" s="47"/>
      <c r="P3646" s="47"/>
      <c r="Q3646" s="47"/>
      <c r="R3646" s="47"/>
      <c r="S3646" s="47"/>
      <c r="T3646" s="45"/>
      <c r="U3646" s="45"/>
      <c r="V3646" s="45"/>
      <c r="W3646" s="45"/>
      <c r="X3646" s="47"/>
      <c r="Y3646" s="45"/>
      <c r="Z3646" s="45"/>
      <c r="AA3646" s="48"/>
      <c r="AB3646" s="48"/>
      <c r="AC3646" s="47"/>
      <c r="AD3646" s="47"/>
      <c r="AE3646" s="47"/>
    </row>
    <row r="3647" spans="1:31" x14ac:dyDescent="0.35">
      <c r="A3647" s="41"/>
      <c r="B3647" s="41"/>
      <c r="C3647" s="42"/>
      <c r="D3647" s="43"/>
      <c r="E3647" s="43"/>
      <c r="F3647" s="43"/>
      <c r="G3647" s="43"/>
      <c r="H3647" s="43"/>
      <c r="I3647" s="43"/>
      <c r="J3647" s="43"/>
      <c r="K3647" s="43"/>
      <c r="L3647" s="43"/>
      <c r="M3647" s="43"/>
      <c r="N3647" s="43"/>
      <c r="O3647" s="43"/>
      <c r="P3647" s="43"/>
      <c r="Q3647" s="43"/>
      <c r="R3647" s="43"/>
      <c r="S3647" s="43"/>
      <c r="T3647" s="43"/>
      <c r="U3647" s="43"/>
      <c r="V3647" s="41"/>
      <c r="W3647" s="41"/>
      <c r="X3647" s="41"/>
      <c r="Y3647" s="41"/>
      <c r="Z3647" s="41"/>
      <c r="AA3647" s="44"/>
      <c r="AB3647" s="44"/>
      <c r="AC3647" s="43"/>
      <c r="AD3647" s="43"/>
      <c r="AE3647" s="43"/>
    </row>
    <row r="3648" spans="1:31" x14ac:dyDescent="0.35">
      <c r="C3648" s="33"/>
      <c r="D3648" s="34"/>
      <c r="E3648" s="34"/>
      <c r="F3648" s="34"/>
      <c r="G3648" s="34"/>
      <c r="H3648" s="34"/>
      <c r="I3648" s="34"/>
      <c r="J3648" s="34"/>
      <c r="K3648" s="34"/>
      <c r="L3648" s="34"/>
      <c r="M3648" s="34"/>
      <c r="N3648" s="34"/>
      <c r="O3648" s="34"/>
      <c r="AA3648" s="35"/>
      <c r="AB3648" s="35"/>
      <c r="AC3648" s="34"/>
      <c r="AD3648" s="34"/>
      <c r="AE3648" s="34"/>
    </row>
    <row r="3649" spans="1:31" ht="15" thickBot="1" x14ac:dyDescent="0.4">
      <c r="A3649" s="45"/>
      <c r="B3649" s="45"/>
      <c r="C3649" s="46"/>
      <c r="D3649" s="47"/>
      <c r="E3649" s="47"/>
      <c r="F3649" s="47"/>
      <c r="G3649" s="47"/>
      <c r="H3649" s="47"/>
      <c r="I3649" s="47"/>
      <c r="J3649" s="47"/>
      <c r="K3649" s="47"/>
      <c r="L3649" s="47"/>
      <c r="M3649" s="47"/>
      <c r="N3649" s="47"/>
      <c r="O3649" s="47"/>
      <c r="P3649" s="47"/>
      <c r="Q3649" s="47"/>
      <c r="R3649" s="47"/>
      <c r="S3649" s="47"/>
      <c r="T3649" s="45"/>
      <c r="U3649" s="45"/>
      <c r="V3649" s="45"/>
      <c r="W3649" s="45"/>
      <c r="X3649" s="47"/>
      <c r="Y3649" s="45"/>
      <c r="Z3649" s="45"/>
      <c r="AA3649" s="48"/>
      <c r="AB3649" s="48"/>
      <c r="AC3649" s="47"/>
      <c r="AD3649" s="47"/>
      <c r="AE3649" s="47"/>
    </row>
    <row r="3650" spans="1:31" x14ac:dyDescent="0.35">
      <c r="A3650" s="41"/>
      <c r="B3650" s="41"/>
      <c r="C3650" s="42"/>
      <c r="D3650" s="43"/>
      <c r="E3650" s="43"/>
      <c r="F3650" s="43"/>
      <c r="G3650" s="43"/>
      <c r="H3650" s="43"/>
      <c r="I3650" s="43"/>
      <c r="J3650" s="43"/>
      <c r="K3650" s="43"/>
      <c r="L3650" s="43"/>
      <c r="M3650" s="43"/>
      <c r="N3650" s="43"/>
      <c r="O3650" s="43"/>
      <c r="P3650" s="43"/>
      <c r="Q3650" s="43"/>
      <c r="R3650" s="43"/>
      <c r="S3650" s="43"/>
      <c r="T3650" s="43"/>
      <c r="U3650" s="43"/>
      <c r="V3650" s="41"/>
      <c r="W3650" s="41"/>
      <c r="X3650" s="41"/>
      <c r="Y3650" s="41"/>
      <c r="Z3650" s="41"/>
      <c r="AA3650" s="44"/>
      <c r="AB3650" s="44"/>
      <c r="AC3650" s="43"/>
      <c r="AD3650" s="43"/>
      <c r="AE3650" s="43"/>
    </row>
    <row r="3651" spans="1:31" x14ac:dyDescent="0.35">
      <c r="C3651" s="33"/>
      <c r="D3651" s="34"/>
      <c r="E3651" s="34"/>
      <c r="F3651" s="34"/>
      <c r="G3651" s="34"/>
      <c r="H3651" s="34"/>
      <c r="I3651" s="34"/>
      <c r="J3651" s="34"/>
      <c r="K3651" s="34"/>
      <c r="L3651" s="34"/>
      <c r="M3651" s="34"/>
      <c r="N3651" s="34"/>
      <c r="O3651" s="34"/>
      <c r="AA3651" s="35"/>
      <c r="AB3651" s="35"/>
      <c r="AC3651" s="34"/>
      <c r="AD3651" s="34"/>
      <c r="AE3651" s="34"/>
    </row>
    <row r="3652" spans="1:31" ht="15" thickBot="1" x14ac:dyDescent="0.4">
      <c r="A3652" s="45"/>
      <c r="B3652" s="45"/>
      <c r="C3652" s="46"/>
      <c r="D3652" s="47"/>
      <c r="E3652" s="47"/>
      <c r="F3652" s="47"/>
      <c r="G3652" s="47"/>
      <c r="H3652" s="47"/>
      <c r="I3652" s="47"/>
      <c r="J3652" s="47"/>
      <c r="K3652" s="47"/>
      <c r="L3652" s="47"/>
      <c r="M3652" s="47"/>
      <c r="N3652" s="47"/>
      <c r="O3652" s="47"/>
      <c r="P3652" s="47"/>
      <c r="Q3652" s="47"/>
      <c r="R3652" s="47"/>
      <c r="S3652" s="47"/>
      <c r="T3652" s="45"/>
      <c r="U3652" s="45"/>
      <c r="V3652" s="45"/>
      <c r="W3652" s="45"/>
      <c r="X3652" s="47"/>
      <c r="Y3652" s="45"/>
      <c r="Z3652" s="45"/>
      <c r="AA3652" s="48"/>
      <c r="AB3652" s="48"/>
      <c r="AC3652" s="47"/>
      <c r="AD3652" s="47"/>
      <c r="AE3652" s="47"/>
    </row>
    <row r="3653" spans="1:31" x14ac:dyDescent="0.35">
      <c r="A3653" s="41"/>
      <c r="B3653" s="41"/>
      <c r="C3653" s="42"/>
      <c r="D3653" s="43"/>
      <c r="E3653" s="43"/>
      <c r="F3653" s="43"/>
      <c r="G3653" s="43"/>
      <c r="H3653" s="43"/>
      <c r="I3653" s="43"/>
      <c r="J3653" s="43"/>
      <c r="K3653" s="43"/>
      <c r="L3653" s="43"/>
      <c r="M3653" s="43"/>
      <c r="N3653" s="43"/>
      <c r="O3653" s="43"/>
      <c r="P3653" s="43"/>
      <c r="Q3653" s="43"/>
      <c r="R3653" s="43"/>
      <c r="S3653" s="43"/>
      <c r="T3653" s="43"/>
      <c r="U3653" s="43"/>
      <c r="V3653" s="41"/>
      <c r="W3653" s="41"/>
      <c r="X3653" s="41"/>
      <c r="Y3653" s="41"/>
      <c r="Z3653" s="41"/>
      <c r="AA3653" s="44"/>
      <c r="AB3653" s="44"/>
      <c r="AC3653" s="43"/>
      <c r="AD3653" s="43"/>
      <c r="AE3653" s="43"/>
    </row>
    <row r="3654" spans="1:31" x14ac:dyDescent="0.35">
      <c r="C3654" s="33"/>
      <c r="D3654" s="34"/>
      <c r="E3654" s="34"/>
      <c r="F3654" s="34"/>
      <c r="G3654" s="34"/>
      <c r="H3654" s="34"/>
      <c r="I3654" s="34"/>
      <c r="J3654" s="34"/>
      <c r="K3654" s="34"/>
      <c r="L3654" s="34"/>
      <c r="M3654" s="34"/>
      <c r="N3654" s="34"/>
      <c r="O3654" s="34"/>
      <c r="AA3654" s="35"/>
      <c r="AB3654" s="35"/>
      <c r="AC3654" s="34"/>
      <c r="AD3654" s="34"/>
      <c r="AE3654" s="34"/>
    </row>
    <row r="3655" spans="1:31" ht="15" thickBot="1" x14ac:dyDescent="0.4">
      <c r="A3655" s="45"/>
      <c r="B3655" s="45"/>
      <c r="C3655" s="46"/>
      <c r="D3655" s="47"/>
      <c r="E3655" s="47"/>
      <c r="F3655" s="47"/>
      <c r="G3655" s="47"/>
      <c r="H3655" s="47"/>
      <c r="I3655" s="47"/>
      <c r="J3655" s="47"/>
      <c r="K3655" s="47"/>
      <c r="L3655" s="47"/>
      <c r="M3655" s="47"/>
      <c r="N3655" s="47"/>
      <c r="O3655" s="47"/>
      <c r="P3655" s="47"/>
      <c r="Q3655" s="47"/>
      <c r="R3655" s="47"/>
      <c r="S3655" s="47"/>
      <c r="T3655" s="45"/>
      <c r="U3655" s="45"/>
      <c r="V3655" s="45"/>
      <c r="W3655" s="45"/>
      <c r="X3655" s="47"/>
      <c r="Y3655" s="45"/>
      <c r="Z3655" s="45"/>
      <c r="AA3655" s="48"/>
      <c r="AB3655" s="48"/>
      <c r="AC3655" s="47"/>
      <c r="AD3655" s="47"/>
      <c r="AE3655" s="47"/>
    </row>
    <row r="3656" spans="1:31" x14ac:dyDescent="0.35">
      <c r="A3656" s="41"/>
      <c r="B3656" s="41"/>
      <c r="C3656" s="42"/>
      <c r="D3656" s="43"/>
      <c r="E3656" s="43"/>
      <c r="F3656" s="43"/>
      <c r="G3656" s="43"/>
      <c r="H3656" s="43"/>
      <c r="I3656" s="43"/>
      <c r="J3656" s="43"/>
      <c r="K3656" s="43"/>
      <c r="L3656" s="43"/>
      <c r="M3656" s="43"/>
      <c r="N3656" s="43"/>
      <c r="O3656" s="43"/>
      <c r="P3656" s="43"/>
      <c r="Q3656" s="43"/>
      <c r="R3656" s="43"/>
      <c r="S3656" s="43"/>
      <c r="T3656" s="43"/>
      <c r="U3656" s="43"/>
      <c r="V3656" s="41"/>
      <c r="W3656" s="41"/>
      <c r="X3656" s="41"/>
      <c r="Y3656" s="41"/>
      <c r="Z3656" s="41"/>
      <c r="AA3656" s="44"/>
      <c r="AB3656" s="44"/>
      <c r="AC3656" s="43"/>
      <c r="AD3656" s="43"/>
      <c r="AE3656" s="43"/>
    </row>
    <row r="3657" spans="1:31" x14ac:dyDescent="0.35">
      <c r="C3657" s="33"/>
      <c r="D3657" s="34"/>
      <c r="E3657" s="34"/>
      <c r="F3657" s="34"/>
      <c r="G3657" s="34"/>
      <c r="H3657" s="34"/>
      <c r="I3657" s="34"/>
      <c r="J3657" s="34"/>
      <c r="K3657" s="34"/>
      <c r="L3657" s="34"/>
      <c r="M3657" s="34"/>
      <c r="N3657" s="34"/>
      <c r="O3657" s="34"/>
      <c r="AA3657" s="35"/>
      <c r="AB3657" s="35"/>
      <c r="AC3657" s="34"/>
      <c r="AD3657" s="34"/>
      <c r="AE3657" s="34"/>
    </row>
    <row r="3658" spans="1:31" ht="15" thickBot="1" x14ac:dyDescent="0.4">
      <c r="A3658" s="45"/>
      <c r="B3658" s="45"/>
      <c r="C3658" s="46"/>
      <c r="D3658" s="47"/>
      <c r="E3658" s="47"/>
      <c r="F3658" s="47"/>
      <c r="G3658" s="47"/>
      <c r="H3658" s="47"/>
      <c r="I3658" s="47"/>
      <c r="J3658" s="47"/>
      <c r="K3658" s="47"/>
      <c r="L3658" s="47"/>
      <c r="M3658" s="47"/>
      <c r="N3658" s="47"/>
      <c r="O3658" s="47"/>
      <c r="P3658" s="47"/>
      <c r="Q3658" s="47"/>
      <c r="R3658" s="47"/>
      <c r="S3658" s="47"/>
      <c r="T3658" s="45"/>
      <c r="U3658" s="45"/>
      <c r="V3658" s="45"/>
      <c r="W3658" s="45"/>
      <c r="X3658" s="47"/>
      <c r="Y3658" s="45"/>
      <c r="Z3658" s="45"/>
      <c r="AA3658" s="48"/>
      <c r="AB3658" s="48"/>
      <c r="AC3658" s="47"/>
      <c r="AD3658" s="47"/>
      <c r="AE3658" s="47"/>
    </row>
    <row r="3659" spans="1:31" x14ac:dyDescent="0.35">
      <c r="A3659" s="41"/>
      <c r="B3659" s="41"/>
      <c r="C3659" s="42"/>
      <c r="D3659" s="43"/>
      <c r="E3659" s="43"/>
      <c r="F3659" s="43"/>
      <c r="G3659" s="43"/>
      <c r="H3659" s="43"/>
      <c r="I3659" s="43"/>
      <c r="J3659" s="43"/>
      <c r="K3659" s="43"/>
      <c r="L3659" s="43"/>
      <c r="M3659" s="43"/>
      <c r="N3659" s="43"/>
      <c r="O3659" s="43"/>
      <c r="P3659" s="43"/>
      <c r="Q3659" s="43"/>
      <c r="R3659" s="43"/>
      <c r="S3659" s="43"/>
      <c r="T3659" s="43"/>
      <c r="U3659" s="43"/>
      <c r="V3659" s="41"/>
      <c r="W3659" s="41"/>
      <c r="X3659" s="41"/>
      <c r="Y3659" s="41"/>
      <c r="Z3659" s="41"/>
      <c r="AA3659" s="44"/>
      <c r="AB3659" s="44"/>
      <c r="AC3659" s="43"/>
      <c r="AD3659" s="43"/>
      <c r="AE3659" s="43"/>
    </row>
    <row r="3660" spans="1:31" x14ac:dyDescent="0.35">
      <c r="C3660" s="33"/>
      <c r="D3660" s="34"/>
      <c r="E3660" s="34"/>
      <c r="F3660" s="34"/>
      <c r="G3660" s="34"/>
      <c r="H3660" s="34"/>
      <c r="I3660" s="34"/>
      <c r="J3660" s="34"/>
      <c r="K3660" s="34"/>
      <c r="L3660" s="34"/>
      <c r="M3660" s="34"/>
      <c r="N3660" s="34"/>
      <c r="O3660" s="34"/>
      <c r="AA3660" s="35"/>
      <c r="AB3660" s="35"/>
      <c r="AC3660" s="34"/>
      <c r="AD3660" s="34"/>
      <c r="AE3660" s="34"/>
    </row>
    <row r="3661" spans="1:31" ht="15" thickBot="1" x14ac:dyDescent="0.4">
      <c r="A3661" s="45"/>
      <c r="B3661" s="45"/>
      <c r="C3661" s="46"/>
      <c r="D3661" s="47"/>
      <c r="E3661" s="47"/>
      <c r="F3661" s="47"/>
      <c r="G3661" s="47"/>
      <c r="H3661" s="47"/>
      <c r="I3661" s="47"/>
      <c r="J3661" s="47"/>
      <c r="K3661" s="47"/>
      <c r="L3661" s="47"/>
      <c r="M3661" s="47"/>
      <c r="N3661" s="47"/>
      <c r="O3661" s="47"/>
      <c r="P3661" s="47"/>
      <c r="Q3661" s="47"/>
      <c r="R3661" s="47"/>
      <c r="S3661" s="47"/>
      <c r="T3661" s="45"/>
      <c r="U3661" s="45"/>
      <c r="V3661" s="45"/>
      <c r="W3661" s="45"/>
      <c r="X3661" s="47"/>
      <c r="Y3661" s="45"/>
      <c r="Z3661" s="45"/>
      <c r="AA3661" s="48"/>
      <c r="AB3661" s="48"/>
      <c r="AC3661" s="47"/>
      <c r="AD3661" s="47"/>
      <c r="AE3661" s="47"/>
    </row>
    <row r="3662" spans="1:31" x14ac:dyDescent="0.35">
      <c r="A3662" s="41"/>
      <c r="B3662" s="41"/>
      <c r="C3662" s="42"/>
      <c r="D3662" s="43"/>
      <c r="E3662" s="43"/>
      <c r="F3662" s="43"/>
      <c r="G3662" s="43"/>
      <c r="H3662" s="43"/>
      <c r="I3662" s="43"/>
      <c r="J3662" s="43"/>
      <c r="K3662" s="43"/>
      <c r="L3662" s="43"/>
      <c r="M3662" s="43"/>
      <c r="N3662" s="43"/>
      <c r="O3662" s="43"/>
      <c r="P3662" s="43"/>
      <c r="Q3662" s="43"/>
      <c r="R3662" s="43"/>
      <c r="S3662" s="43"/>
      <c r="T3662" s="43"/>
      <c r="U3662" s="43"/>
      <c r="V3662" s="41"/>
      <c r="W3662" s="41"/>
      <c r="X3662" s="41"/>
      <c r="Y3662" s="41"/>
      <c r="Z3662" s="41"/>
      <c r="AA3662" s="44"/>
      <c r="AB3662" s="44"/>
      <c r="AC3662" s="43"/>
      <c r="AD3662" s="43"/>
      <c r="AE3662" s="43"/>
    </row>
    <row r="3663" spans="1:31" x14ac:dyDescent="0.35">
      <c r="C3663" s="33"/>
      <c r="D3663" s="34"/>
      <c r="E3663" s="34"/>
      <c r="F3663" s="34"/>
      <c r="G3663" s="34"/>
      <c r="H3663" s="34"/>
      <c r="I3663" s="34"/>
      <c r="J3663" s="34"/>
      <c r="K3663" s="34"/>
      <c r="L3663" s="34"/>
      <c r="M3663" s="34"/>
      <c r="N3663" s="34"/>
      <c r="O3663" s="34"/>
      <c r="AA3663" s="35"/>
      <c r="AB3663" s="35"/>
      <c r="AC3663" s="34"/>
      <c r="AD3663" s="34"/>
      <c r="AE3663" s="34"/>
    </row>
    <row r="3664" spans="1:31" ht="15" thickBot="1" x14ac:dyDescent="0.4">
      <c r="A3664" s="45"/>
      <c r="B3664" s="45"/>
      <c r="C3664" s="46"/>
      <c r="D3664" s="47"/>
      <c r="E3664" s="47"/>
      <c r="F3664" s="47"/>
      <c r="G3664" s="47"/>
      <c r="H3664" s="47"/>
      <c r="I3664" s="47"/>
      <c r="J3664" s="47"/>
      <c r="K3664" s="47"/>
      <c r="L3664" s="47"/>
      <c r="M3664" s="47"/>
      <c r="N3664" s="47"/>
      <c r="O3664" s="47"/>
      <c r="P3664" s="47"/>
      <c r="Q3664" s="47"/>
      <c r="R3664" s="47"/>
      <c r="S3664" s="47"/>
      <c r="T3664" s="45"/>
      <c r="U3664" s="45"/>
      <c r="V3664" s="45"/>
      <c r="W3664" s="45"/>
      <c r="X3664" s="47"/>
      <c r="Y3664" s="45"/>
      <c r="Z3664" s="45"/>
      <c r="AA3664" s="48"/>
      <c r="AB3664" s="48"/>
      <c r="AC3664" s="47"/>
      <c r="AD3664" s="47"/>
      <c r="AE3664" s="47"/>
    </row>
    <row r="3665" spans="1:31" x14ac:dyDescent="0.35">
      <c r="A3665" s="41"/>
      <c r="B3665" s="41"/>
      <c r="C3665" s="42"/>
      <c r="D3665" s="43"/>
      <c r="E3665" s="43"/>
      <c r="F3665" s="43"/>
      <c r="G3665" s="43"/>
      <c r="H3665" s="43"/>
      <c r="I3665" s="43"/>
      <c r="J3665" s="43"/>
      <c r="K3665" s="43"/>
      <c r="L3665" s="43"/>
      <c r="M3665" s="43"/>
      <c r="N3665" s="43"/>
      <c r="O3665" s="43"/>
      <c r="P3665" s="43"/>
      <c r="Q3665" s="43"/>
      <c r="R3665" s="43"/>
      <c r="S3665" s="43"/>
      <c r="T3665" s="43"/>
      <c r="U3665" s="43"/>
      <c r="V3665" s="41"/>
      <c r="W3665" s="41"/>
      <c r="X3665" s="41"/>
      <c r="Y3665" s="41"/>
      <c r="Z3665" s="41"/>
      <c r="AA3665" s="44"/>
      <c r="AB3665" s="44"/>
      <c r="AC3665" s="43"/>
      <c r="AD3665" s="43"/>
      <c r="AE3665" s="43"/>
    </row>
    <row r="3666" spans="1:31" x14ac:dyDescent="0.35">
      <c r="C3666" s="33"/>
      <c r="D3666" s="34"/>
      <c r="E3666" s="34"/>
      <c r="F3666" s="34"/>
      <c r="G3666" s="34"/>
      <c r="H3666" s="34"/>
      <c r="I3666" s="34"/>
      <c r="J3666" s="34"/>
      <c r="K3666" s="34"/>
      <c r="L3666" s="34"/>
      <c r="M3666" s="34"/>
      <c r="N3666" s="34"/>
      <c r="O3666" s="34"/>
      <c r="AA3666" s="35"/>
      <c r="AB3666" s="35"/>
      <c r="AC3666" s="34"/>
      <c r="AD3666" s="34"/>
      <c r="AE3666" s="34"/>
    </row>
    <row r="3667" spans="1:31" ht="15" thickBot="1" x14ac:dyDescent="0.4">
      <c r="A3667" s="45"/>
      <c r="B3667" s="45"/>
      <c r="C3667" s="46"/>
      <c r="D3667" s="47"/>
      <c r="E3667" s="47"/>
      <c r="F3667" s="47"/>
      <c r="G3667" s="47"/>
      <c r="H3667" s="47"/>
      <c r="I3667" s="47"/>
      <c r="J3667" s="47"/>
      <c r="K3667" s="47"/>
      <c r="L3667" s="47"/>
      <c r="M3667" s="47"/>
      <c r="N3667" s="47"/>
      <c r="O3667" s="47"/>
      <c r="P3667" s="47"/>
      <c r="Q3667" s="47"/>
      <c r="R3667" s="47"/>
      <c r="S3667" s="47"/>
      <c r="T3667" s="45"/>
      <c r="U3667" s="45"/>
      <c r="V3667" s="45"/>
      <c r="W3667" s="45"/>
      <c r="X3667" s="47"/>
      <c r="Y3667" s="45"/>
      <c r="Z3667" s="45"/>
      <c r="AA3667" s="48"/>
      <c r="AB3667" s="48"/>
      <c r="AC3667" s="47"/>
      <c r="AD3667" s="47"/>
      <c r="AE3667" s="47"/>
    </row>
  </sheetData>
  <phoneticPr fontId="8" type="noConversion"/>
  <pageMargins left="0.7" right="0.7" top="0.75" bottom="0.75" header="0.3" footer="0.3"/>
  <pageSetup orientation="portrait" r:id="rId1"/>
  <headerFooter>
    <oddFooter>&amp;C_x000D_&amp;1#&amp;"Calibri"&amp;11&amp;KFF0000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E8BF-4B6F-433E-A212-A2A4A7DD5622}">
  <dimension ref="A1:N57"/>
  <sheetViews>
    <sheetView zoomScale="70" zoomScaleNormal="70" workbookViewId="0">
      <selection activeCell="D5" sqref="D5"/>
    </sheetView>
  </sheetViews>
  <sheetFormatPr defaultRowHeight="14.5" x14ac:dyDescent="0.35"/>
  <cols>
    <col min="1" max="1" width="20.81640625" customWidth="1"/>
    <col min="2" max="2" width="11.7265625" customWidth="1"/>
    <col min="3" max="3" width="10.7265625" customWidth="1"/>
    <col min="4" max="4" width="10.54296875" customWidth="1"/>
    <col min="5" max="5" width="13.1796875" customWidth="1"/>
    <col min="6" max="9" width="10.54296875" customWidth="1"/>
    <col min="10" max="10" width="11.54296875" customWidth="1"/>
    <col min="11" max="13" width="10.54296875" customWidth="1"/>
    <col min="14" max="14" width="11.26953125" customWidth="1"/>
  </cols>
  <sheetData>
    <row r="1" spans="1:14" ht="22.5" x14ac:dyDescent="0.35">
      <c r="A1" s="2"/>
      <c r="B1" s="3" t="s">
        <v>39</v>
      </c>
      <c r="C1" s="4" t="s">
        <v>40</v>
      </c>
      <c r="D1" s="5" t="s">
        <v>41</v>
      </c>
      <c r="E1" s="6" t="s">
        <v>42</v>
      </c>
      <c r="F1" s="7" t="s">
        <v>43</v>
      </c>
      <c r="G1" s="7" t="s">
        <v>44</v>
      </c>
      <c r="H1" s="7" t="s">
        <v>45</v>
      </c>
      <c r="I1" s="8" t="s">
        <v>46</v>
      </c>
      <c r="J1" s="9" t="s">
        <v>47</v>
      </c>
      <c r="K1" s="10" t="s">
        <v>48</v>
      </c>
      <c r="L1" s="10" t="s">
        <v>49</v>
      </c>
      <c r="M1" s="10" t="s">
        <v>50</v>
      </c>
      <c r="N1" s="11" t="s">
        <v>51</v>
      </c>
    </row>
    <row r="2" spans="1:14" ht="19" x14ac:dyDescent="0.35">
      <c r="A2" s="135" t="s">
        <v>52</v>
      </c>
      <c r="B2" s="136">
        <v>0.77800000000000002</v>
      </c>
      <c r="C2" s="136">
        <v>0.82499999999999996</v>
      </c>
      <c r="D2" s="136">
        <v>0.999</v>
      </c>
      <c r="E2" s="137">
        <v>0.67290000000000005</v>
      </c>
      <c r="F2" s="137">
        <v>0.85880000000000001</v>
      </c>
      <c r="G2" s="137">
        <v>0.73880000000000001</v>
      </c>
      <c r="H2" s="137">
        <v>0.93879999999999997</v>
      </c>
      <c r="I2" s="137">
        <v>0.98880000000000001</v>
      </c>
      <c r="J2" s="137">
        <v>0.40439999999999998</v>
      </c>
      <c r="K2" s="137">
        <v>0.35010000000000002</v>
      </c>
      <c r="L2" s="137">
        <v>0.95020000000000004</v>
      </c>
      <c r="M2" s="137">
        <v>0.7238</v>
      </c>
      <c r="N2" s="137">
        <v>0.13070000000000001</v>
      </c>
    </row>
    <row r="3" spans="1:14" ht="19" x14ac:dyDescent="0.35">
      <c r="A3" s="132" t="s">
        <v>53</v>
      </c>
      <c r="B3" s="133">
        <v>0.81100000000000005</v>
      </c>
      <c r="C3" s="134">
        <v>0.79920000000000002</v>
      </c>
      <c r="D3" s="133">
        <v>0.86880000000000002</v>
      </c>
      <c r="E3" s="133">
        <v>0.86880000000000002</v>
      </c>
      <c r="F3" s="133">
        <v>0.86880000000000002</v>
      </c>
      <c r="G3" s="133">
        <v>0.86880000000000002</v>
      </c>
      <c r="H3" s="133">
        <v>0.86880000000000002</v>
      </c>
      <c r="I3" s="133">
        <v>0.86880000000000002</v>
      </c>
      <c r="J3" s="133">
        <v>0.86880000000000002</v>
      </c>
      <c r="K3" s="133">
        <v>0.86880000000000002</v>
      </c>
      <c r="L3" s="133">
        <v>0.86880000000000002</v>
      </c>
      <c r="M3" s="133">
        <v>0.86880000000000002</v>
      </c>
      <c r="N3" s="133">
        <v>0.86880000000000002</v>
      </c>
    </row>
    <row r="4" spans="1:14" ht="19" x14ac:dyDescent="0.35">
      <c r="A4" s="129" t="s">
        <v>54</v>
      </c>
      <c r="B4" s="130">
        <v>0.99519999999999997</v>
      </c>
      <c r="C4" s="131">
        <v>0.99450000000000005</v>
      </c>
      <c r="D4" s="131">
        <v>0.99170000000000003</v>
      </c>
      <c r="E4" s="130">
        <v>0.99519999999999997</v>
      </c>
      <c r="F4" s="130">
        <v>0.99519999999999997</v>
      </c>
      <c r="G4" s="130">
        <v>0.99519999999999997</v>
      </c>
      <c r="H4" s="130">
        <v>0.99519999999999997</v>
      </c>
      <c r="I4" s="130">
        <v>0.99519999999999997</v>
      </c>
      <c r="J4" s="130">
        <v>0.99519999999999997</v>
      </c>
      <c r="K4" s="130">
        <v>0.99519999999999997</v>
      </c>
      <c r="L4" s="130">
        <v>0.99519999999999997</v>
      </c>
      <c r="M4" s="130">
        <v>0.99519999999999997</v>
      </c>
      <c r="N4" s="130">
        <v>0.99519999999999997</v>
      </c>
    </row>
    <row r="5" spans="1:14" ht="22.5" x14ac:dyDescent="0.7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 ht="22.5" x14ac:dyDescent="0.7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2"/>
      <c r="M6" s="12"/>
      <c r="N6" s="12"/>
    </row>
    <row r="7" spans="1:14" ht="22.5" x14ac:dyDescent="0.75">
      <c r="A7" s="12"/>
      <c r="B7" s="12"/>
      <c r="C7" s="12"/>
      <c r="D7" s="12"/>
      <c r="E7" s="12"/>
      <c r="F7" s="12"/>
      <c r="G7" s="12"/>
      <c r="H7" s="12"/>
      <c r="I7" s="14"/>
      <c r="J7" s="12"/>
      <c r="K7" s="12"/>
      <c r="L7" s="12"/>
      <c r="M7" s="12"/>
      <c r="N7" s="12"/>
    </row>
    <row r="8" spans="1:14" ht="22.5" x14ac:dyDescent="0.7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1:14" ht="22.5" x14ac:dyDescent="0.7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 ht="22.5" x14ac:dyDescent="0.7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 ht="22.5" x14ac:dyDescent="0.7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22.5" x14ac:dyDescent="0.75">
      <c r="A12" s="12"/>
      <c r="B12" s="12"/>
      <c r="C12" s="12"/>
      <c r="D12" s="12"/>
      <c r="E12" s="12"/>
      <c r="F12" s="12"/>
      <c r="H12" s="12"/>
      <c r="I12" s="12"/>
      <c r="J12" s="12"/>
      <c r="K12" s="12"/>
      <c r="L12" s="12"/>
      <c r="M12" s="12"/>
      <c r="N12" s="12"/>
    </row>
    <row r="13" spans="1:14" ht="22.5" x14ac:dyDescent="0.75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4" ht="22.5" x14ac:dyDescent="0.75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4" ht="22.5" x14ac:dyDescent="0.75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4" ht="22.5" x14ac:dyDescent="0.75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0" ht="22.5" x14ac:dyDescent="0.75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0" ht="22.5" x14ac:dyDescent="0.75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0" ht="22.5" x14ac:dyDescent="0.75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0" ht="22.5" x14ac:dyDescent="0.75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 ht="22.5" x14ac:dyDescent="0.75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 ht="22.5" x14ac:dyDescent="0.75">
      <c r="A22" s="12"/>
      <c r="B22" s="12"/>
      <c r="C22" s="15"/>
      <c r="D22" s="15"/>
      <c r="E22" s="15"/>
      <c r="F22" s="12"/>
      <c r="G22" s="12"/>
      <c r="H22" s="12"/>
      <c r="I22" s="12"/>
      <c r="J22" s="12"/>
    </row>
    <row r="23" spans="1:10" ht="22.5" x14ac:dyDescent="0.75">
      <c r="A23" s="12"/>
      <c r="B23" s="12"/>
      <c r="F23" s="12"/>
      <c r="G23" s="12"/>
      <c r="H23" s="12"/>
      <c r="I23" s="12"/>
      <c r="J23" s="12"/>
    </row>
    <row r="24" spans="1:10" ht="22.5" x14ac:dyDescent="0.75">
      <c r="A24" s="12"/>
      <c r="B24" s="12"/>
      <c r="F24" s="12"/>
      <c r="G24" s="12"/>
      <c r="H24" s="12"/>
      <c r="I24" s="12"/>
      <c r="J24" s="12"/>
    </row>
    <row r="25" spans="1:10" ht="22.5" x14ac:dyDescent="0.75">
      <c r="A25" s="12"/>
      <c r="B25" s="12"/>
      <c r="F25" s="12"/>
      <c r="G25" s="12"/>
      <c r="H25" s="12"/>
      <c r="I25" s="12"/>
      <c r="J25" s="12"/>
    </row>
    <row r="26" spans="1:10" ht="22.5" x14ac:dyDescent="0.75">
      <c r="A26" s="12"/>
      <c r="B26" s="12"/>
      <c r="C26" s="17"/>
      <c r="D26" s="17"/>
      <c r="E26" s="17"/>
      <c r="F26" s="12"/>
      <c r="G26" s="12"/>
      <c r="H26" s="12"/>
      <c r="I26" s="12"/>
      <c r="J26" s="12"/>
    </row>
    <row r="27" spans="1:10" ht="22.5" x14ac:dyDescent="0.75">
      <c r="A27" s="12"/>
      <c r="B27" s="12"/>
      <c r="C27" s="17"/>
      <c r="D27" s="17"/>
      <c r="E27" s="17"/>
      <c r="F27" s="12"/>
      <c r="G27" s="12"/>
      <c r="H27" s="12"/>
      <c r="I27" s="12"/>
      <c r="J27" s="12"/>
    </row>
    <row r="28" spans="1:10" ht="22.5" x14ac:dyDescent="0.75">
      <c r="A28" s="12"/>
      <c r="B28" s="12"/>
      <c r="C28" s="17"/>
      <c r="D28" s="17"/>
      <c r="E28" s="17"/>
      <c r="F28" s="12"/>
      <c r="G28" s="12"/>
      <c r="H28" s="12"/>
      <c r="I28" s="12"/>
      <c r="J28" s="12"/>
    </row>
    <row r="29" spans="1:10" x14ac:dyDescent="0.35">
      <c r="C29" s="17"/>
      <c r="D29" s="17"/>
      <c r="E29" s="17"/>
    </row>
    <row r="30" spans="1:10" x14ac:dyDescent="0.35">
      <c r="C30" s="17"/>
      <c r="D30" s="17"/>
      <c r="E30" s="17"/>
    </row>
    <row r="43" spans="2:3" x14ac:dyDescent="0.35">
      <c r="B43" s="1"/>
    </row>
    <row r="45" spans="2:3" x14ac:dyDescent="0.35">
      <c r="B45" s="16"/>
      <c r="C45" s="18"/>
    </row>
    <row r="46" spans="2:3" x14ac:dyDescent="0.35">
      <c r="B46" s="16"/>
      <c r="C46" s="16"/>
    </row>
    <row r="47" spans="2:3" x14ac:dyDescent="0.35">
      <c r="B47" s="16"/>
      <c r="C47" s="16"/>
    </row>
    <row r="48" spans="2:3" x14ac:dyDescent="0.35">
      <c r="B48" s="16"/>
      <c r="C48" s="16"/>
    </row>
    <row r="49" spans="2:3" x14ac:dyDescent="0.35">
      <c r="B49" s="16"/>
      <c r="C49" s="19"/>
    </row>
    <row r="50" spans="2:3" x14ac:dyDescent="0.35">
      <c r="B50" s="19"/>
      <c r="C50" s="19"/>
    </row>
    <row r="51" spans="2:3" x14ac:dyDescent="0.35">
      <c r="B51" s="19"/>
      <c r="C51" s="19"/>
    </row>
    <row r="52" spans="2:3" x14ac:dyDescent="0.35">
      <c r="B52" s="19"/>
      <c r="C52" s="16"/>
    </row>
    <row r="53" spans="2:3" x14ac:dyDescent="0.35">
      <c r="B53" s="19"/>
      <c r="C53" s="16"/>
    </row>
    <row r="57" spans="2:3" x14ac:dyDescent="0.35">
      <c r="C57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D904-F7E5-4377-95FB-F2258D8BF847}">
  <dimension ref="A1:I631"/>
  <sheetViews>
    <sheetView topLeftCell="A16" workbookViewId="0">
      <selection activeCell="M25" sqref="M25"/>
    </sheetView>
  </sheetViews>
  <sheetFormatPr defaultRowHeight="14.5" x14ac:dyDescent="0.35"/>
  <cols>
    <col min="1" max="1" width="10.453125" bestFit="1" customWidth="1"/>
    <col min="2" max="2" width="22.453125" bestFit="1" customWidth="1"/>
    <col min="8" max="8" width="12.54296875" bestFit="1" customWidth="1"/>
  </cols>
  <sheetData>
    <row r="1" spans="1:9" ht="15" customHeight="1" thickBot="1" x14ac:dyDescent="0.4">
      <c r="A1" t="s">
        <v>55</v>
      </c>
      <c r="B1" s="21"/>
      <c r="C1" s="54" t="s">
        <v>56</v>
      </c>
      <c r="D1" s="56" t="s">
        <v>57</v>
      </c>
      <c r="E1" s="58" t="s">
        <v>58</v>
      </c>
      <c r="F1" s="60" t="s">
        <v>59</v>
      </c>
      <c r="G1" s="114" t="s">
        <v>60</v>
      </c>
      <c r="H1" s="22" t="s">
        <v>61</v>
      </c>
    </row>
    <row r="2" spans="1:9" ht="15" thickBot="1" x14ac:dyDescent="0.4">
      <c r="A2" t="s">
        <v>62</v>
      </c>
      <c r="B2" s="123" t="s">
        <v>63</v>
      </c>
      <c r="C2" s="115">
        <f>SUM(C3:C29)</f>
        <v>829.22999999999365</v>
      </c>
      <c r="D2" s="115">
        <f t="shared" ref="D2:G2" si="0">SUM(D3:D29)</f>
        <v>0</v>
      </c>
      <c r="E2" s="115">
        <f t="shared" si="0"/>
        <v>0</v>
      </c>
      <c r="F2" s="115">
        <f t="shared" si="0"/>
        <v>0</v>
      </c>
      <c r="G2" s="115">
        <f t="shared" si="0"/>
        <v>0</v>
      </c>
      <c r="H2" s="115">
        <f>SUM(H3:H29)</f>
        <v>829.22999999999365</v>
      </c>
      <c r="I2" s="147" t="s">
        <v>64</v>
      </c>
    </row>
    <row r="3" spans="1:9" x14ac:dyDescent="0.35">
      <c r="A3" t="s">
        <v>62</v>
      </c>
      <c r="B3" s="124" t="s">
        <v>65</v>
      </c>
      <c r="C3" s="116">
        <v>0.8</v>
      </c>
      <c r="D3" s="117"/>
      <c r="E3" s="118"/>
      <c r="F3" s="119"/>
      <c r="G3" s="120"/>
      <c r="H3" s="125">
        <f>SUM(C3:G3)</f>
        <v>0.8</v>
      </c>
      <c r="I3" s="148"/>
    </row>
    <row r="4" spans="1:9" x14ac:dyDescent="0.35">
      <c r="A4" t="s">
        <v>62</v>
      </c>
      <c r="B4" s="28" t="s">
        <v>66</v>
      </c>
      <c r="C4" s="76">
        <v>0.8</v>
      </c>
      <c r="D4" s="90"/>
      <c r="E4" s="91"/>
      <c r="F4" s="92"/>
      <c r="G4" s="122"/>
      <c r="H4" s="121">
        <f t="shared" ref="H4:H15" si="1">SUM(C4:G4)</f>
        <v>0.8</v>
      </c>
      <c r="I4" s="148"/>
    </row>
    <row r="5" spans="1:9" x14ac:dyDescent="0.35">
      <c r="A5" t="s">
        <v>62</v>
      </c>
      <c r="B5" s="28" t="s">
        <v>67</v>
      </c>
      <c r="C5" s="76">
        <v>0.8</v>
      </c>
      <c r="D5" s="90"/>
      <c r="E5" s="91"/>
      <c r="F5" s="92"/>
      <c r="G5" s="122"/>
      <c r="H5" s="121">
        <f t="shared" si="1"/>
        <v>0.8</v>
      </c>
      <c r="I5" s="148"/>
    </row>
    <row r="6" spans="1:9" x14ac:dyDescent="0.35">
      <c r="A6" t="s">
        <v>62</v>
      </c>
      <c r="B6" s="28" t="s">
        <v>68</v>
      </c>
      <c r="C6" s="76">
        <v>0.8</v>
      </c>
      <c r="D6" s="90"/>
      <c r="E6" s="91"/>
      <c r="F6" s="92"/>
      <c r="G6" s="122"/>
      <c r="H6" s="121">
        <f t="shared" si="1"/>
        <v>0.8</v>
      </c>
      <c r="I6" s="148"/>
    </row>
    <row r="7" spans="1:9" x14ac:dyDescent="0.35">
      <c r="A7" t="s">
        <v>62</v>
      </c>
      <c r="B7" s="28" t="s">
        <v>69</v>
      </c>
      <c r="C7" s="76">
        <v>0.8</v>
      </c>
      <c r="D7" s="95"/>
      <c r="E7" s="96"/>
      <c r="F7" s="92"/>
      <c r="G7" s="122"/>
      <c r="H7" s="121">
        <f t="shared" si="1"/>
        <v>0.8</v>
      </c>
      <c r="I7" s="148"/>
    </row>
    <row r="8" spans="1:9" x14ac:dyDescent="0.35">
      <c r="A8" t="s">
        <v>62</v>
      </c>
      <c r="B8" s="28" t="s">
        <v>70</v>
      </c>
      <c r="C8" s="76">
        <v>0.8</v>
      </c>
      <c r="D8" s="90"/>
      <c r="E8" s="91"/>
      <c r="F8" s="92"/>
      <c r="G8" s="122"/>
      <c r="H8" s="121">
        <f t="shared" si="1"/>
        <v>0.8</v>
      </c>
      <c r="I8" s="148"/>
    </row>
    <row r="9" spans="1:9" x14ac:dyDescent="0.35">
      <c r="A9" t="s">
        <v>62</v>
      </c>
      <c r="B9" s="28" t="s">
        <v>71</v>
      </c>
      <c r="C9" s="76">
        <v>0.8</v>
      </c>
      <c r="D9" s="90"/>
      <c r="E9" s="91"/>
      <c r="F9" s="92"/>
      <c r="G9" s="122"/>
      <c r="H9" s="121">
        <f t="shared" si="1"/>
        <v>0.8</v>
      </c>
      <c r="I9" s="148"/>
    </row>
    <row r="10" spans="1:9" x14ac:dyDescent="0.35">
      <c r="A10" t="s">
        <v>62</v>
      </c>
      <c r="B10" s="28" t="s">
        <v>72</v>
      </c>
      <c r="C10" s="76">
        <v>0.8</v>
      </c>
      <c r="D10" s="90"/>
      <c r="E10" s="91"/>
      <c r="F10" s="92"/>
      <c r="G10" s="122"/>
      <c r="H10" s="121">
        <f t="shared" si="1"/>
        <v>0.8</v>
      </c>
      <c r="I10" s="148"/>
    </row>
    <row r="11" spans="1:9" x14ac:dyDescent="0.35">
      <c r="A11" t="s">
        <v>62</v>
      </c>
      <c r="B11" s="28" t="s">
        <v>73</v>
      </c>
      <c r="C11" s="76">
        <v>0.8</v>
      </c>
      <c r="D11" s="90"/>
      <c r="E11" s="91"/>
      <c r="F11" s="92"/>
      <c r="G11" s="122"/>
      <c r="H11" s="121">
        <f t="shared" si="1"/>
        <v>0.8</v>
      </c>
      <c r="I11" s="148"/>
    </row>
    <row r="12" spans="1:9" x14ac:dyDescent="0.35">
      <c r="A12" t="s">
        <v>62</v>
      </c>
      <c r="B12" s="28" t="s">
        <v>74</v>
      </c>
      <c r="C12" s="76">
        <v>0.8</v>
      </c>
      <c r="D12" s="90"/>
      <c r="E12" s="91"/>
      <c r="F12" s="92"/>
      <c r="G12" s="122"/>
      <c r="H12" s="121">
        <f t="shared" si="1"/>
        <v>0.8</v>
      </c>
      <c r="I12" s="148"/>
    </row>
    <row r="13" spans="1:9" x14ac:dyDescent="0.35">
      <c r="A13" t="s">
        <v>62</v>
      </c>
      <c r="B13" s="28" t="s">
        <v>75</v>
      </c>
      <c r="C13" s="76">
        <v>0.8</v>
      </c>
      <c r="D13" s="90"/>
      <c r="E13" s="91"/>
      <c r="F13" s="92"/>
      <c r="G13" s="122"/>
      <c r="H13" s="121">
        <f t="shared" si="1"/>
        <v>0.8</v>
      </c>
      <c r="I13" s="148"/>
    </row>
    <row r="14" spans="1:9" x14ac:dyDescent="0.35">
      <c r="A14" t="s">
        <v>62</v>
      </c>
      <c r="B14" s="28" t="s">
        <v>76</v>
      </c>
      <c r="C14" s="76">
        <v>0.8</v>
      </c>
      <c r="D14" s="90"/>
      <c r="E14" s="91"/>
      <c r="F14" s="92"/>
      <c r="G14" s="122"/>
      <c r="H14" s="121">
        <f t="shared" si="1"/>
        <v>0.8</v>
      </c>
      <c r="I14" s="148"/>
    </row>
    <row r="15" spans="1:9" ht="15" thickBot="1" x14ac:dyDescent="0.4">
      <c r="A15" t="s">
        <v>62</v>
      </c>
      <c r="B15" s="29" t="s">
        <v>77</v>
      </c>
      <c r="C15" s="126">
        <v>0.8</v>
      </c>
      <c r="D15" s="103"/>
      <c r="E15" s="105"/>
      <c r="F15" s="107"/>
      <c r="G15" s="127"/>
      <c r="H15" s="128">
        <f t="shared" si="1"/>
        <v>0.8</v>
      </c>
      <c r="I15" s="149"/>
    </row>
    <row r="16" spans="1:9" ht="15" thickBot="1" x14ac:dyDescent="0.4">
      <c r="B16" s="30"/>
      <c r="C16" s="31"/>
      <c r="D16" s="31"/>
      <c r="E16" s="31"/>
      <c r="F16" s="31"/>
      <c r="G16" s="31"/>
      <c r="H16" s="31"/>
      <c r="I16" s="27"/>
    </row>
    <row r="17" spans="1:9" ht="15" thickBot="1" x14ac:dyDescent="0.4">
      <c r="A17" t="s">
        <v>78</v>
      </c>
      <c r="B17" s="123" t="s">
        <v>63</v>
      </c>
      <c r="C17" s="115">
        <f>SUM(C18:C44)</f>
        <v>809.89999999999372</v>
      </c>
      <c r="D17" s="115">
        <f t="shared" ref="D17" si="2">SUM(D18:D44)</f>
        <v>0</v>
      </c>
      <c r="E17" s="115">
        <f t="shared" ref="E17" si="3">SUM(E18:E44)</f>
        <v>0</v>
      </c>
      <c r="F17" s="115">
        <f t="shared" ref="F17" si="4">SUM(F18:F44)</f>
        <v>0</v>
      </c>
      <c r="G17" s="115">
        <f t="shared" ref="G17" si="5">SUM(G18:G44)</f>
        <v>0</v>
      </c>
      <c r="H17" s="115">
        <f>SUM(H18:H44)</f>
        <v>809.89999999999372</v>
      </c>
      <c r="I17" s="147" t="s">
        <v>79</v>
      </c>
    </row>
    <row r="18" spans="1:9" x14ac:dyDescent="0.35">
      <c r="A18" t="s">
        <v>78</v>
      </c>
      <c r="B18" s="124" t="s">
        <v>65</v>
      </c>
      <c r="C18" s="116">
        <v>0.8</v>
      </c>
      <c r="D18" s="117"/>
      <c r="E18" s="118"/>
      <c r="F18" s="119"/>
      <c r="G18" s="120"/>
      <c r="H18" s="125">
        <f>SUM(C18:G18)</f>
        <v>0.8</v>
      </c>
      <c r="I18" s="148"/>
    </row>
    <row r="19" spans="1:9" x14ac:dyDescent="0.35">
      <c r="A19" t="s">
        <v>78</v>
      </c>
      <c r="B19" s="28" t="s">
        <v>66</v>
      </c>
      <c r="C19" s="76">
        <v>0.9</v>
      </c>
      <c r="D19" s="90"/>
      <c r="E19" s="91"/>
      <c r="F19" s="92"/>
      <c r="G19" s="122"/>
      <c r="H19" s="121">
        <f t="shared" ref="H19:H30" si="6">SUM(C19:G19)</f>
        <v>0.9</v>
      </c>
      <c r="I19" s="148"/>
    </row>
    <row r="20" spans="1:9" x14ac:dyDescent="0.35">
      <c r="A20" t="s">
        <v>78</v>
      </c>
      <c r="B20" s="28" t="s">
        <v>67</v>
      </c>
      <c r="C20" s="76">
        <v>0.95</v>
      </c>
      <c r="D20" s="90"/>
      <c r="E20" s="91"/>
      <c r="F20" s="92"/>
      <c r="G20" s="122"/>
      <c r="H20" s="121">
        <f t="shared" si="6"/>
        <v>0.95</v>
      </c>
      <c r="I20" s="148"/>
    </row>
    <row r="21" spans="1:9" x14ac:dyDescent="0.35">
      <c r="A21" t="s">
        <v>78</v>
      </c>
      <c r="B21" s="28" t="s">
        <v>68</v>
      </c>
      <c r="C21" s="76">
        <v>0.83</v>
      </c>
      <c r="D21" s="90"/>
      <c r="E21" s="91"/>
      <c r="F21" s="92"/>
      <c r="G21" s="122"/>
      <c r="H21" s="121">
        <f t="shared" si="6"/>
        <v>0.83</v>
      </c>
      <c r="I21" s="148"/>
    </row>
    <row r="22" spans="1:9" x14ac:dyDescent="0.35">
      <c r="A22" t="s">
        <v>78</v>
      </c>
      <c r="B22" s="28" t="s">
        <v>69</v>
      </c>
      <c r="C22" s="76">
        <v>0.9</v>
      </c>
      <c r="D22" s="95"/>
      <c r="E22" s="96"/>
      <c r="F22" s="92"/>
      <c r="G22" s="122"/>
      <c r="H22" s="121">
        <f t="shared" si="6"/>
        <v>0.9</v>
      </c>
      <c r="I22" s="148"/>
    </row>
    <row r="23" spans="1:9" x14ac:dyDescent="0.35">
      <c r="A23" t="s">
        <v>78</v>
      </c>
      <c r="B23" s="28" t="s">
        <v>70</v>
      </c>
      <c r="C23" s="76">
        <v>0.1</v>
      </c>
      <c r="D23" s="90"/>
      <c r="E23" s="91"/>
      <c r="F23" s="92"/>
      <c r="G23" s="122"/>
      <c r="H23" s="121">
        <f t="shared" si="6"/>
        <v>0.1</v>
      </c>
      <c r="I23" s="148"/>
    </row>
    <row r="24" spans="1:9" x14ac:dyDescent="0.35">
      <c r="A24" t="s">
        <v>78</v>
      </c>
      <c r="B24" s="28" t="s">
        <v>71</v>
      </c>
      <c r="C24" s="76">
        <v>0.1</v>
      </c>
      <c r="D24" s="90"/>
      <c r="E24" s="91"/>
      <c r="F24" s="92"/>
      <c r="G24" s="122"/>
      <c r="H24" s="121">
        <f t="shared" si="6"/>
        <v>0.1</v>
      </c>
      <c r="I24" s="148"/>
    </row>
    <row r="25" spans="1:9" x14ac:dyDescent="0.35">
      <c r="A25" t="s">
        <v>78</v>
      </c>
      <c r="B25" s="28" t="s">
        <v>72</v>
      </c>
      <c r="C25" s="76">
        <v>0.85</v>
      </c>
      <c r="D25" s="90"/>
      <c r="E25" s="91"/>
      <c r="F25" s="92"/>
      <c r="G25" s="122"/>
      <c r="H25" s="121">
        <f t="shared" si="6"/>
        <v>0.85</v>
      </c>
      <c r="I25" s="148"/>
    </row>
    <row r="26" spans="1:9" x14ac:dyDescent="0.35">
      <c r="A26" t="s">
        <v>78</v>
      </c>
      <c r="B26" s="28" t="s">
        <v>73</v>
      </c>
      <c r="C26" s="76">
        <v>0.99</v>
      </c>
      <c r="D26" s="90"/>
      <c r="E26" s="91"/>
      <c r="F26" s="92"/>
      <c r="G26" s="122"/>
      <c r="H26" s="121">
        <f t="shared" si="6"/>
        <v>0.99</v>
      </c>
      <c r="I26" s="148"/>
    </row>
    <row r="27" spans="1:9" x14ac:dyDescent="0.35">
      <c r="A27" t="s">
        <v>78</v>
      </c>
      <c r="B27" s="28" t="s">
        <v>74</v>
      </c>
      <c r="C27" s="76">
        <v>0.78</v>
      </c>
      <c r="D27" s="90"/>
      <c r="E27" s="91"/>
      <c r="F27" s="92"/>
      <c r="G27" s="122"/>
      <c r="H27" s="121">
        <f t="shared" si="6"/>
        <v>0.78</v>
      </c>
      <c r="I27" s="148"/>
    </row>
    <row r="28" spans="1:9" x14ac:dyDescent="0.35">
      <c r="A28" t="s">
        <v>78</v>
      </c>
      <c r="B28" s="28" t="s">
        <v>75</v>
      </c>
      <c r="C28" s="76">
        <v>0.92</v>
      </c>
      <c r="D28" s="90"/>
      <c r="E28" s="91"/>
      <c r="F28" s="92"/>
      <c r="G28" s="122"/>
      <c r="H28" s="121">
        <f t="shared" si="6"/>
        <v>0.92</v>
      </c>
      <c r="I28" s="148"/>
    </row>
    <row r="29" spans="1:9" x14ac:dyDescent="0.35">
      <c r="A29" t="s">
        <v>78</v>
      </c>
      <c r="B29" s="28" t="s">
        <v>76</v>
      </c>
      <c r="C29" s="76">
        <v>0.81</v>
      </c>
      <c r="D29" s="90"/>
      <c r="E29" s="91"/>
      <c r="F29" s="92"/>
      <c r="G29" s="122"/>
      <c r="H29" s="121">
        <f t="shared" si="6"/>
        <v>0.81</v>
      </c>
      <c r="I29" s="148"/>
    </row>
    <row r="30" spans="1:9" ht="15" thickBot="1" x14ac:dyDescent="0.4">
      <c r="A30" t="s">
        <v>78</v>
      </c>
      <c r="B30" s="29" t="s">
        <v>77</v>
      </c>
      <c r="C30" s="126">
        <v>0.97</v>
      </c>
      <c r="D30" s="103"/>
      <c r="E30" s="105"/>
      <c r="F30" s="107"/>
      <c r="G30" s="127"/>
      <c r="H30" s="128">
        <f t="shared" si="6"/>
        <v>0.97</v>
      </c>
      <c r="I30" s="149"/>
    </row>
    <row r="31" spans="1:9" ht="15" thickBot="1" x14ac:dyDescent="0.4">
      <c r="B31" s="30"/>
      <c r="C31" s="31"/>
      <c r="D31" s="31"/>
      <c r="E31" s="31"/>
      <c r="F31" s="31"/>
      <c r="G31" s="31"/>
      <c r="H31" s="31"/>
      <c r="I31" s="27"/>
    </row>
    <row r="32" spans="1:9" ht="14.5" customHeight="1" thickBot="1" x14ac:dyDescent="0.4">
      <c r="A32" t="s">
        <v>80</v>
      </c>
      <c r="B32" s="123" t="s">
        <v>63</v>
      </c>
      <c r="C32" s="115">
        <f>SUM(C33:C59)</f>
        <v>790.39999999999429</v>
      </c>
      <c r="D32" s="115">
        <f t="shared" ref="D32" si="7">SUM(D33:D59)</f>
        <v>0</v>
      </c>
      <c r="E32" s="115">
        <f t="shared" ref="E32" si="8">SUM(E33:E59)</f>
        <v>0</v>
      </c>
      <c r="F32" s="115">
        <f t="shared" ref="F32" si="9">SUM(F33:F59)</f>
        <v>0</v>
      </c>
      <c r="G32" s="115">
        <f t="shared" ref="G32" si="10">SUM(G33:G59)</f>
        <v>0</v>
      </c>
      <c r="H32" s="115">
        <f>SUM(H33:H59)</f>
        <v>790.39999999999429</v>
      </c>
      <c r="I32" s="152" t="s">
        <v>81</v>
      </c>
    </row>
    <row r="33" spans="1:9" x14ac:dyDescent="0.35">
      <c r="A33" t="s">
        <v>80</v>
      </c>
      <c r="B33" s="124" t="s">
        <v>65</v>
      </c>
      <c r="C33" s="116">
        <v>0.8</v>
      </c>
      <c r="D33" s="117"/>
      <c r="E33" s="118"/>
      <c r="F33" s="119"/>
      <c r="G33" s="120"/>
      <c r="H33" s="125">
        <f>SUM(C33:G33)</f>
        <v>0.8</v>
      </c>
      <c r="I33" s="153"/>
    </row>
    <row r="34" spans="1:9" x14ac:dyDescent="0.35">
      <c r="A34" t="s">
        <v>80</v>
      </c>
      <c r="B34" s="28" t="s">
        <v>66</v>
      </c>
      <c r="C34" s="76">
        <v>0.8</v>
      </c>
      <c r="D34" s="90"/>
      <c r="E34" s="91"/>
      <c r="F34" s="92"/>
      <c r="G34" s="122"/>
      <c r="H34" s="121">
        <f t="shared" ref="H34:H45" si="11">SUM(C34:G34)</f>
        <v>0.8</v>
      </c>
      <c r="I34" s="153"/>
    </row>
    <row r="35" spans="1:9" x14ac:dyDescent="0.35">
      <c r="A35" t="s">
        <v>80</v>
      </c>
      <c r="B35" s="28" t="s">
        <v>67</v>
      </c>
      <c r="C35" s="76">
        <v>0.8</v>
      </c>
      <c r="D35" s="90"/>
      <c r="E35" s="91"/>
      <c r="F35" s="92"/>
      <c r="G35" s="122"/>
      <c r="H35" s="121">
        <f t="shared" si="11"/>
        <v>0.8</v>
      </c>
      <c r="I35" s="153"/>
    </row>
    <row r="36" spans="1:9" x14ac:dyDescent="0.35">
      <c r="A36" t="s">
        <v>80</v>
      </c>
      <c r="B36" s="28" t="s">
        <v>68</v>
      </c>
      <c r="C36" s="76">
        <v>0.8</v>
      </c>
      <c r="D36" s="90"/>
      <c r="E36" s="91"/>
      <c r="F36" s="92"/>
      <c r="G36" s="122"/>
      <c r="H36" s="121">
        <f t="shared" si="11"/>
        <v>0.8</v>
      </c>
      <c r="I36" s="153"/>
    </row>
    <row r="37" spans="1:9" x14ac:dyDescent="0.35">
      <c r="A37" t="s">
        <v>80</v>
      </c>
      <c r="B37" s="28" t="s">
        <v>69</v>
      </c>
      <c r="C37" s="76">
        <v>0.8</v>
      </c>
      <c r="D37" s="95"/>
      <c r="E37" s="96"/>
      <c r="F37" s="92"/>
      <c r="G37" s="122"/>
      <c r="H37" s="121">
        <f t="shared" si="11"/>
        <v>0.8</v>
      </c>
      <c r="I37" s="153"/>
    </row>
    <row r="38" spans="1:9" x14ac:dyDescent="0.35">
      <c r="A38" t="s">
        <v>80</v>
      </c>
      <c r="B38" s="28" t="s">
        <v>70</v>
      </c>
      <c r="C38" s="76">
        <v>0.8</v>
      </c>
      <c r="D38" s="90"/>
      <c r="E38" s="91"/>
      <c r="F38" s="92"/>
      <c r="G38" s="122"/>
      <c r="H38" s="121">
        <f t="shared" si="11"/>
        <v>0.8</v>
      </c>
      <c r="I38" s="153"/>
    </row>
    <row r="39" spans="1:9" x14ac:dyDescent="0.35">
      <c r="A39" t="s">
        <v>80</v>
      </c>
      <c r="B39" s="28" t="s">
        <v>71</v>
      </c>
      <c r="C39" s="76">
        <v>0.8</v>
      </c>
      <c r="D39" s="90"/>
      <c r="E39" s="91"/>
      <c r="F39" s="92"/>
      <c r="G39" s="122"/>
      <c r="H39" s="121">
        <f t="shared" si="11"/>
        <v>0.8</v>
      </c>
      <c r="I39" s="153"/>
    </row>
    <row r="40" spans="1:9" x14ac:dyDescent="0.35">
      <c r="A40" t="s">
        <v>80</v>
      </c>
      <c r="B40" s="28" t="s">
        <v>72</v>
      </c>
      <c r="C40" s="76">
        <v>0.8</v>
      </c>
      <c r="D40" s="90"/>
      <c r="E40" s="91"/>
      <c r="F40" s="92"/>
      <c r="G40" s="122"/>
      <c r="H40" s="121">
        <f t="shared" si="11"/>
        <v>0.8</v>
      </c>
      <c r="I40" s="153"/>
    </row>
    <row r="41" spans="1:9" x14ac:dyDescent="0.35">
      <c r="A41" t="s">
        <v>80</v>
      </c>
      <c r="B41" s="28" t="s">
        <v>73</v>
      </c>
      <c r="C41" s="76">
        <v>0.8</v>
      </c>
      <c r="D41" s="90"/>
      <c r="E41" s="91"/>
      <c r="F41" s="92"/>
      <c r="G41" s="122"/>
      <c r="H41" s="121">
        <f t="shared" si="11"/>
        <v>0.8</v>
      </c>
      <c r="I41" s="153"/>
    </row>
    <row r="42" spans="1:9" x14ac:dyDescent="0.35">
      <c r="A42" t="s">
        <v>80</v>
      </c>
      <c r="B42" s="28" t="s">
        <v>74</v>
      </c>
      <c r="C42" s="76">
        <v>0.8</v>
      </c>
      <c r="D42" s="90"/>
      <c r="E42" s="91"/>
      <c r="F42" s="92"/>
      <c r="G42" s="122"/>
      <c r="H42" s="121">
        <f t="shared" si="11"/>
        <v>0.8</v>
      </c>
      <c r="I42" s="153"/>
    </row>
    <row r="43" spans="1:9" x14ac:dyDescent="0.35">
      <c r="A43" t="s">
        <v>80</v>
      </c>
      <c r="B43" s="28" t="s">
        <v>75</v>
      </c>
      <c r="C43" s="76">
        <v>0.8</v>
      </c>
      <c r="D43" s="90"/>
      <c r="E43" s="91"/>
      <c r="F43" s="92"/>
      <c r="G43" s="122"/>
      <c r="H43" s="121">
        <f t="shared" si="11"/>
        <v>0.8</v>
      </c>
      <c r="I43" s="153"/>
    </row>
    <row r="44" spans="1:9" x14ac:dyDescent="0.35">
      <c r="A44" t="s">
        <v>80</v>
      </c>
      <c r="B44" s="28" t="s">
        <v>76</v>
      </c>
      <c r="C44" s="76">
        <v>0.8</v>
      </c>
      <c r="D44" s="90"/>
      <c r="E44" s="91"/>
      <c r="F44" s="92"/>
      <c r="G44" s="122"/>
      <c r="H44" s="121">
        <f t="shared" si="11"/>
        <v>0.8</v>
      </c>
      <c r="I44" s="153"/>
    </row>
    <row r="45" spans="1:9" ht="15" thickBot="1" x14ac:dyDescent="0.4">
      <c r="A45" t="s">
        <v>80</v>
      </c>
      <c r="B45" s="29" t="s">
        <v>77</v>
      </c>
      <c r="C45" s="126">
        <v>0.8</v>
      </c>
      <c r="D45" s="103"/>
      <c r="E45" s="105"/>
      <c r="F45" s="107"/>
      <c r="G45" s="127"/>
      <c r="H45" s="128">
        <f t="shared" si="11"/>
        <v>0.8</v>
      </c>
      <c r="I45" s="154"/>
    </row>
    <row r="46" spans="1:9" ht="15" thickBot="1" x14ac:dyDescent="0.4">
      <c r="B46" s="30"/>
      <c r="C46" s="31"/>
      <c r="D46" s="31"/>
      <c r="E46" s="31"/>
      <c r="F46" s="31"/>
      <c r="G46" s="31"/>
      <c r="H46" s="31"/>
    </row>
    <row r="47" spans="1:9" ht="15" thickBot="1" x14ac:dyDescent="0.4">
      <c r="A47" t="s">
        <v>82</v>
      </c>
      <c r="B47" s="123" t="s">
        <v>63</v>
      </c>
      <c r="C47" s="115">
        <f>SUM(C48:C74)</f>
        <v>770.39999999999486</v>
      </c>
      <c r="D47" s="115">
        <f t="shared" ref="D47" si="12">SUM(D48:D74)</f>
        <v>0</v>
      </c>
      <c r="E47" s="115">
        <f t="shared" ref="E47" si="13">SUM(E48:E74)</f>
        <v>0</v>
      </c>
      <c r="F47" s="115">
        <f t="shared" ref="F47" si="14">SUM(F48:F74)</f>
        <v>0</v>
      </c>
      <c r="G47" s="115">
        <f t="shared" ref="G47" si="15">SUM(G48:G74)</f>
        <v>0</v>
      </c>
      <c r="H47" s="115">
        <f>SUM(H48:H74)</f>
        <v>770.39999999999486</v>
      </c>
      <c r="I47" s="150" t="s">
        <v>83</v>
      </c>
    </row>
    <row r="48" spans="1:9" x14ac:dyDescent="0.35">
      <c r="A48" t="s">
        <v>82</v>
      </c>
      <c r="B48" s="124" t="s">
        <v>65</v>
      </c>
      <c r="C48" s="116">
        <v>0.8</v>
      </c>
      <c r="D48" s="117"/>
      <c r="E48" s="118"/>
      <c r="F48" s="119"/>
      <c r="G48" s="120"/>
      <c r="H48" s="125">
        <f>SUM(C48:G48)</f>
        <v>0.8</v>
      </c>
      <c r="I48" s="151"/>
    </row>
    <row r="49" spans="1:9" x14ac:dyDescent="0.35">
      <c r="A49" t="s">
        <v>82</v>
      </c>
      <c r="B49" s="28" t="s">
        <v>66</v>
      </c>
      <c r="C49" s="76">
        <v>0.8</v>
      </c>
      <c r="D49" s="90"/>
      <c r="E49" s="91"/>
      <c r="F49" s="92"/>
      <c r="G49" s="122"/>
      <c r="H49" s="121">
        <f t="shared" ref="H49:H60" si="16">SUM(C49:G49)</f>
        <v>0.8</v>
      </c>
      <c r="I49" s="151"/>
    </row>
    <row r="50" spans="1:9" x14ac:dyDescent="0.35">
      <c r="A50" t="s">
        <v>82</v>
      </c>
      <c r="B50" s="28" t="s">
        <v>67</v>
      </c>
      <c r="C50" s="76">
        <v>0.8</v>
      </c>
      <c r="D50" s="90"/>
      <c r="E50" s="91"/>
      <c r="F50" s="92"/>
      <c r="G50" s="122"/>
      <c r="H50" s="121">
        <f t="shared" si="16"/>
        <v>0.8</v>
      </c>
      <c r="I50" s="151"/>
    </row>
    <row r="51" spans="1:9" x14ac:dyDescent="0.35">
      <c r="A51" t="s">
        <v>82</v>
      </c>
      <c r="B51" s="28" t="s">
        <v>68</v>
      </c>
      <c r="C51" s="76">
        <v>0.8</v>
      </c>
      <c r="D51" s="90"/>
      <c r="E51" s="91"/>
      <c r="F51" s="92"/>
      <c r="G51" s="122"/>
      <c r="H51" s="121">
        <f t="shared" si="16"/>
        <v>0.8</v>
      </c>
      <c r="I51" s="151"/>
    </row>
    <row r="52" spans="1:9" x14ac:dyDescent="0.35">
      <c r="A52" t="s">
        <v>82</v>
      </c>
      <c r="B52" s="28" t="s">
        <v>69</v>
      </c>
      <c r="C52" s="76">
        <v>0.8</v>
      </c>
      <c r="D52" s="95"/>
      <c r="E52" s="96"/>
      <c r="F52" s="92"/>
      <c r="G52" s="122"/>
      <c r="H52" s="121">
        <f t="shared" si="16"/>
        <v>0.8</v>
      </c>
      <c r="I52" s="151"/>
    </row>
    <row r="53" spans="1:9" x14ac:dyDescent="0.35">
      <c r="A53" t="s">
        <v>82</v>
      </c>
      <c r="B53" s="28" t="s">
        <v>70</v>
      </c>
      <c r="C53" s="76">
        <v>0.8</v>
      </c>
      <c r="D53" s="90"/>
      <c r="E53" s="91"/>
      <c r="F53" s="92"/>
      <c r="G53" s="122"/>
      <c r="H53" s="121">
        <f t="shared" si="16"/>
        <v>0.8</v>
      </c>
      <c r="I53" s="151"/>
    </row>
    <row r="54" spans="1:9" x14ac:dyDescent="0.35">
      <c r="A54" t="s">
        <v>82</v>
      </c>
      <c r="B54" s="28" t="s">
        <v>71</v>
      </c>
      <c r="C54" s="76">
        <v>0.8</v>
      </c>
      <c r="D54" s="90"/>
      <c r="E54" s="91"/>
      <c r="F54" s="92"/>
      <c r="G54" s="122"/>
      <c r="H54" s="121">
        <f t="shared" si="16"/>
        <v>0.8</v>
      </c>
      <c r="I54" s="151"/>
    </row>
    <row r="55" spans="1:9" x14ac:dyDescent="0.35">
      <c r="A55" t="s">
        <v>82</v>
      </c>
      <c r="B55" s="28" t="s">
        <v>72</v>
      </c>
      <c r="C55" s="76">
        <v>0.8</v>
      </c>
      <c r="D55" s="90"/>
      <c r="E55" s="91"/>
      <c r="F55" s="92"/>
      <c r="G55" s="122"/>
      <c r="H55" s="121">
        <f t="shared" si="16"/>
        <v>0.8</v>
      </c>
      <c r="I55" s="151"/>
    </row>
    <row r="56" spans="1:9" x14ac:dyDescent="0.35">
      <c r="A56" t="s">
        <v>82</v>
      </c>
      <c r="B56" s="28" t="s">
        <v>73</v>
      </c>
      <c r="C56" s="76">
        <v>0.8</v>
      </c>
      <c r="D56" s="90"/>
      <c r="E56" s="91"/>
      <c r="F56" s="92"/>
      <c r="G56" s="122"/>
      <c r="H56" s="121">
        <f t="shared" si="16"/>
        <v>0.8</v>
      </c>
      <c r="I56" s="151"/>
    </row>
    <row r="57" spans="1:9" x14ac:dyDescent="0.35">
      <c r="A57" t="s">
        <v>82</v>
      </c>
      <c r="B57" s="28" t="s">
        <v>74</v>
      </c>
      <c r="C57" s="76">
        <v>0.8</v>
      </c>
      <c r="D57" s="90"/>
      <c r="E57" s="91"/>
      <c r="F57" s="92"/>
      <c r="G57" s="122"/>
      <c r="H57" s="121">
        <f t="shared" si="16"/>
        <v>0.8</v>
      </c>
      <c r="I57" s="151"/>
    </row>
    <row r="58" spans="1:9" x14ac:dyDescent="0.35">
      <c r="A58" t="s">
        <v>82</v>
      </c>
      <c r="B58" s="28" t="s">
        <v>75</v>
      </c>
      <c r="C58" s="76">
        <v>0.8</v>
      </c>
      <c r="D58" s="90"/>
      <c r="E58" s="91"/>
      <c r="F58" s="92"/>
      <c r="G58" s="122"/>
      <c r="H58" s="121">
        <f t="shared" si="16"/>
        <v>0.8</v>
      </c>
      <c r="I58" s="151"/>
    </row>
    <row r="59" spans="1:9" x14ac:dyDescent="0.35">
      <c r="A59" t="s">
        <v>82</v>
      </c>
      <c r="B59" s="28" t="s">
        <v>76</v>
      </c>
      <c r="C59" s="76">
        <v>0.8</v>
      </c>
      <c r="D59" s="90"/>
      <c r="E59" s="91"/>
      <c r="F59" s="92"/>
      <c r="G59" s="122"/>
      <c r="H59" s="121">
        <f t="shared" si="16"/>
        <v>0.8</v>
      </c>
      <c r="I59" s="151"/>
    </row>
    <row r="60" spans="1:9" ht="15" thickBot="1" x14ac:dyDescent="0.4">
      <c r="A60" t="s">
        <v>82</v>
      </c>
      <c r="B60" s="29" t="s">
        <v>77</v>
      </c>
      <c r="C60" s="126">
        <v>0.8</v>
      </c>
      <c r="D60" s="103"/>
      <c r="E60" s="105"/>
      <c r="F60" s="107"/>
      <c r="G60" s="127"/>
      <c r="H60" s="128">
        <f t="shared" si="16"/>
        <v>0.8</v>
      </c>
      <c r="I60" s="151"/>
    </row>
    <row r="61" spans="1:9" ht="15" thickBot="1" x14ac:dyDescent="0.4">
      <c r="B61" s="30"/>
      <c r="C61" s="31"/>
      <c r="D61" s="31"/>
      <c r="E61" s="31"/>
      <c r="F61" s="31"/>
      <c r="G61" s="31"/>
      <c r="H61" s="31"/>
    </row>
    <row r="62" spans="1:9" ht="15" thickBot="1" x14ac:dyDescent="0.4">
      <c r="A62" t="s">
        <v>84</v>
      </c>
      <c r="B62" s="123" t="s">
        <v>63</v>
      </c>
      <c r="C62" s="115">
        <f>SUM(C63:C89)</f>
        <v>750.39999999999543</v>
      </c>
      <c r="D62" s="115">
        <f t="shared" ref="D62" si="17">SUM(D63:D89)</f>
        <v>0</v>
      </c>
      <c r="E62" s="115">
        <f t="shared" ref="E62" si="18">SUM(E63:E89)</f>
        <v>0</v>
      </c>
      <c r="F62" s="115">
        <f t="shared" ref="F62" si="19">SUM(F63:F89)</f>
        <v>0</v>
      </c>
      <c r="G62" s="115">
        <f t="shared" ref="G62" si="20">SUM(G63:G89)</f>
        <v>0</v>
      </c>
      <c r="H62" s="115">
        <f>SUM(H63:H89)</f>
        <v>750.39999999999543</v>
      </c>
      <c r="I62" s="150" t="s">
        <v>85</v>
      </c>
    </row>
    <row r="63" spans="1:9" x14ac:dyDescent="0.35">
      <c r="A63" t="s">
        <v>84</v>
      </c>
      <c r="B63" s="124" t="s">
        <v>65</v>
      </c>
      <c r="C63" s="116">
        <v>0.8</v>
      </c>
      <c r="D63" s="117"/>
      <c r="E63" s="118"/>
      <c r="F63" s="119"/>
      <c r="G63" s="120"/>
      <c r="H63" s="125">
        <f>SUM(C63:G63)</f>
        <v>0.8</v>
      </c>
      <c r="I63" s="151"/>
    </row>
    <row r="64" spans="1:9" x14ac:dyDescent="0.35">
      <c r="A64" t="s">
        <v>84</v>
      </c>
      <c r="B64" s="28" t="s">
        <v>66</v>
      </c>
      <c r="C64" s="76">
        <v>0.8</v>
      </c>
      <c r="D64" s="90"/>
      <c r="E64" s="91"/>
      <c r="F64" s="92"/>
      <c r="G64" s="122"/>
      <c r="H64" s="121">
        <f t="shared" ref="H64:H75" si="21">SUM(C64:G64)</f>
        <v>0.8</v>
      </c>
      <c r="I64" s="151"/>
    </row>
    <row r="65" spans="1:9" x14ac:dyDescent="0.35">
      <c r="A65" t="s">
        <v>84</v>
      </c>
      <c r="B65" s="28" t="s">
        <v>67</v>
      </c>
      <c r="C65" s="76">
        <v>0.8</v>
      </c>
      <c r="D65" s="90"/>
      <c r="E65" s="91"/>
      <c r="F65" s="92"/>
      <c r="G65" s="122"/>
      <c r="H65" s="121">
        <f t="shared" si="21"/>
        <v>0.8</v>
      </c>
      <c r="I65" s="151"/>
    </row>
    <row r="66" spans="1:9" x14ac:dyDescent="0.35">
      <c r="A66" t="s">
        <v>84</v>
      </c>
      <c r="B66" s="28" t="s">
        <v>68</v>
      </c>
      <c r="C66" s="76">
        <v>0.8</v>
      </c>
      <c r="D66" s="90"/>
      <c r="E66" s="91"/>
      <c r="F66" s="92"/>
      <c r="G66" s="122"/>
      <c r="H66" s="121">
        <f t="shared" si="21"/>
        <v>0.8</v>
      </c>
      <c r="I66" s="151"/>
    </row>
    <row r="67" spans="1:9" x14ac:dyDescent="0.35">
      <c r="A67" t="s">
        <v>84</v>
      </c>
      <c r="B67" s="28" t="s">
        <v>69</v>
      </c>
      <c r="C67" s="76">
        <v>0.8</v>
      </c>
      <c r="D67" s="95"/>
      <c r="E67" s="96"/>
      <c r="F67" s="92"/>
      <c r="G67" s="122"/>
      <c r="H67" s="121">
        <f t="shared" si="21"/>
        <v>0.8</v>
      </c>
      <c r="I67" s="151"/>
    </row>
    <row r="68" spans="1:9" x14ac:dyDescent="0.35">
      <c r="A68" t="s">
        <v>84</v>
      </c>
      <c r="B68" s="28" t="s">
        <v>70</v>
      </c>
      <c r="C68" s="76">
        <v>0.8</v>
      </c>
      <c r="D68" s="90"/>
      <c r="E68" s="91"/>
      <c r="F68" s="92"/>
      <c r="G68" s="122"/>
      <c r="H68" s="121">
        <f t="shared" si="21"/>
        <v>0.8</v>
      </c>
      <c r="I68" s="151"/>
    </row>
    <row r="69" spans="1:9" x14ac:dyDescent="0.35">
      <c r="A69" t="s">
        <v>84</v>
      </c>
      <c r="B69" s="28" t="s">
        <v>71</v>
      </c>
      <c r="C69" s="76">
        <v>0.8</v>
      </c>
      <c r="D69" s="90"/>
      <c r="E69" s="91"/>
      <c r="F69" s="92"/>
      <c r="G69" s="122"/>
      <c r="H69" s="121">
        <f t="shared" si="21"/>
        <v>0.8</v>
      </c>
      <c r="I69" s="151"/>
    </row>
    <row r="70" spans="1:9" x14ac:dyDescent="0.35">
      <c r="A70" t="s">
        <v>84</v>
      </c>
      <c r="B70" s="28" t="s">
        <v>72</v>
      </c>
      <c r="C70" s="76">
        <v>0.8</v>
      </c>
      <c r="D70" s="90"/>
      <c r="E70" s="91"/>
      <c r="F70" s="92"/>
      <c r="G70" s="122"/>
      <c r="H70" s="121">
        <f t="shared" si="21"/>
        <v>0.8</v>
      </c>
      <c r="I70" s="151"/>
    </row>
    <row r="71" spans="1:9" x14ac:dyDescent="0.35">
      <c r="A71" t="s">
        <v>84</v>
      </c>
      <c r="B71" s="28" t="s">
        <v>73</v>
      </c>
      <c r="C71" s="76">
        <v>0.8</v>
      </c>
      <c r="D71" s="90"/>
      <c r="E71" s="91"/>
      <c r="F71" s="92"/>
      <c r="G71" s="122"/>
      <c r="H71" s="121">
        <f t="shared" si="21"/>
        <v>0.8</v>
      </c>
      <c r="I71" s="151"/>
    </row>
    <row r="72" spans="1:9" x14ac:dyDescent="0.35">
      <c r="A72" t="s">
        <v>84</v>
      </c>
      <c r="B72" s="28" t="s">
        <v>74</v>
      </c>
      <c r="C72" s="76">
        <v>0.8</v>
      </c>
      <c r="D72" s="90"/>
      <c r="E72" s="91"/>
      <c r="F72" s="92"/>
      <c r="G72" s="122"/>
      <c r="H72" s="121">
        <f t="shared" si="21"/>
        <v>0.8</v>
      </c>
      <c r="I72" s="151"/>
    </row>
    <row r="73" spans="1:9" x14ac:dyDescent="0.35">
      <c r="A73" t="s">
        <v>84</v>
      </c>
      <c r="B73" s="28" t="s">
        <v>75</v>
      </c>
      <c r="C73" s="76">
        <v>0.8</v>
      </c>
      <c r="D73" s="90"/>
      <c r="E73" s="91"/>
      <c r="F73" s="92"/>
      <c r="G73" s="122"/>
      <c r="H73" s="121">
        <f t="shared" si="21"/>
        <v>0.8</v>
      </c>
      <c r="I73" s="151"/>
    </row>
    <row r="74" spans="1:9" x14ac:dyDescent="0.35">
      <c r="A74" t="s">
        <v>84</v>
      </c>
      <c r="B74" s="28" t="s">
        <v>76</v>
      </c>
      <c r="C74" s="76">
        <v>0.8</v>
      </c>
      <c r="D74" s="90"/>
      <c r="E74" s="91"/>
      <c r="F74" s="92"/>
      <c r="G74" s="122"/>
      <c r="H74" s="121">
        <f t="shared" si="21"/>
        <v>0.8</v>
      </c>
      <c r="I74" s="151"/>
    </row>
    <row r="75" spans="1:9" ht="15" thickBot="1" x14ac:dyDescent="0.4">
      <c r="A75" t="s">
        <v>84</v>
      </c>
      <c r="B75" s="29" t="s">
        <v>77</v>
      </c>
      <c r="C75" s="126">
        <v>0.8</v>
      </c>
      <c r="D75" s="103"/>
      <c r="E75" s="105"/>
      <c r="F75" s="107"/>
      <c r="G75" s="127"/>
      <c r="H75" s="128">
        <f t="shared" si="21"/>
        <v>0.8</v>
      </c>
      <c r="I75" s="151"/>
    </row>
    <row r="76" spans="1:9" ht="15" thickBot="1" x14ac:dyDescent="0.4">
      <c r="B76" s="30"/>
      <c r="C76" s="31"/>
      <c r="D76" s="31"/>
      <c r="E76" s="31"/>
      <c r="F76" s="31"/>
      <c r="G76" s="31"/>
      <c r="H76" s="31"/>
    </row>
    <row r="77" spans="1:9" ht="15" thickBot="1" x14ac:dyDescent="0.4">
      <c r="A77" t="s">
        <v>86</v>
      </c>
      <c r="B77" s="123" t="s">
        <v>63</v>
      </c>
      <c r="C77" s="115">
        <f>SUM(C78:C104)</f>
        <v>730.399999999996</v>
      </c>
      <c r="D77" s="115">
        <f t="shared" ref="D77" si="22">SUM(D78:D104)</f>
        <v>0</v>
      </c>
      <c r="E77" s="115">
        <f t="shared" ref="E77" si="23">SUM(E78:E104)</f>
        <v>0</v>
      </c>
      <c r="F77" s="115">
        <f t="shared" ref="F77" si="24">SUM(F78:F104)</f>
        <v>0</v>
      </c>
      <c r="G77" s="115">
        <f t="shared" ref="G77" si="25">SUM(G78:G104)</f>
        <v>0</v>
      </c>
      <c r="H77" s="115">
        <f>SUM(H78:H104)</f>
        <v>730.399999999996</v>
      </c>
      <c r="I77" s="150" t="s">
        <v>87</v>
      </c>
    </row>
    <row r="78" spans="1:9" x14ac:dyDescent="0.35">
      <c r="A78" t="s">
        <v>86</v>
      </c>
      <c r="B78" s="124" t="s">
        <v>65</v>
      </c>
      <c r="C78" s="116">
        <v>0.8</v>
      </c>
      <c r="D78" s="117"/>
      <c r="E78" s="118"/>
      <c r="F78" s="119"/>
      <c r="G78" s="120"/>
      <c r="H78" s="125">
        <f>SUM(C78:G78)</f>
        <v>0.8</v>
      </c>
      <c r="I78" s="151"/>
    </row>
    <row r="79" spans="1:9" x14ac:dyDescent="0.35">
      <c r="A79" t="s">
        <v>86</v>
      </c>
      <c r="B79" s="28" t="s">
        <v>66</v>
      </c>
      <c r="C79" s="76">
        <v>0.8</v>
      </c>
      <c r="D79" s="90"/>
      <c r="E79" s="91"/>
      <c r="F79" s="92"/>
      <c r="G79" s="122"/>
      <c r="H79" s="121">
        <f t="shared" ref="H79:H90" si="26">SUM(C79:G79)</f>
        <v>0.8</v>
      </c>
      <c r="I79" s="151"/>
    </row>
    <row r="80" spans="1:9" x14ac:dyDescent="0.35">
      <c r="A80" t="s">
        <v>86</v>
      </c>
      <c r="B80" s="28" t="s">
        <v>67</v>
      </c>
      <c r="C80" s="76">
        <v>0.8</v>
      </c>
      <c r="D80" s="90"/>
      <c r="E80" s="91"/>
      <c r="F80" s="92"/>
      <c r="G80" s="122"/>
      <c r="H80" s="121">
        <f t="shared" si="26"/>
        <v>0.8</v>
      </c>
      <c r="I80" s="151"/>
    </row>
    <row r="81" spans="1:9" x14ac:dyDescent="0.35">
      <c r="A81" t="s">
        <v>86</v>
      </c>
      <c r="B81" s="28" t="s">
        <v>68</v>
      </c>
      <c r="C81" s="76">
        <v>0.8</v>
      </c>
      <c r="D81" s="90"/>
      <c r="E81" s="91"/>
      <c r="F81" s="92"/>
      <c r="G81" s="122"/>
      <c r="H81" s="121">
        <f t="shared" si="26"/>
        <v>0.8</v>
      </c>
      <c r="I81" s="151"/>
    </row>
    <row r="82" spans="1:9" x14ac:dyDescent="0.35">
      <c r="A82" t="s">
        <v>86</v>
      </c>
      <c r="B82" s="28" t="s">
        <v>69</v>
      </c>
      <c r="C82" s="76">
        <v>0.8</v>
      </c>
      <c r="D82" s="95"/>
      <c r="E82" s="96"/>
      <c r="F82" s="92"/>
      <c r="G82" s="122"/>
      <c r="H82" s="121">
        <f t="shared" si="26"/>
        <v>0.8</v>
      </c>
      <c r="I82" s="151"/>
    </row>
    <row r="83" spans="1:9" x14ac:dyDescent="0.35">
      <c r="A83" t="s">
        <v>86</v>
      </c>
      <c r="B83" s="28" t="s">
        <v>70</v>
      </c>
      <c r="C83" s="76">
        <v>0.8</v>
      </c>
      <c r="D83" s="90"/>
      <c r="E83" s="91"/>
      <c r="F83" s="92"/>
      <c r="G83" s="122"/>
      <c r="H83" s="121">
        <f t="shared" si="26"/>
        <v>0.8</v>
      </c>
      <c r="I83" s="151"/>
    </row>
    <row r="84" spans="1:9" x14ac:dyDescent="0.35">
      <c r="A84" t="s">
        <v>86</v>
      </c>
      <c r="B84" s="28" t="s">
        <v>71</v>
      </c>
      <c r="C84" s="76">
        <v>0.8</v>
      </c>
      <c r="D84" s="90"/>
      <c r="E84" s="91"/>
      <c r="F84" s="92"/>
      <c r="G84" s="122"/>
      <c r="H84" s="121">
        <f t="shared" si="26"/>
        <v>0.8</v>
      </c>
      <c r="I84" s="151"/>
    </row>
    <row r="85" spans="1:9" x14ac:dyDescent="0.35">
      <c r="A85" t="s">
        <v>86</v>
      </c>
      <c r="B85" s="28" t="s">
        <v>72</v>
      </c>
      <c r="C85" s="76">
        <v>0.8</v>
      </c>
      <c r="D85" s="90"/>
      <c r="E85" s="91"/>
      <c r="F85" s="92"/>
      <c r="G85" s="122"/>
      <c r="H85" s="121">
        <f t="shared" si="26"/>
        <v>0.8</v>
      </c>
      <c r="I85" s="151"/>
    </row>
    <row r="86" spans="1:9" x14ac:dyDescent="0.35">
      <c r="A86" t="s">
        <v>86</v>
      </c>
      <c r="B86" s="28" t="s">
        <v>73</v>
      </c>
      <c r="C86" s="76">
        <v>0.8</v>
      </c>
      <c r="D86" s="90"/>
      <c r="E86" s="91"/>
      <c r="F86" s="92"/>
      <c r="G86" s="122"/>
      <c r="H86" s="121">
        <f t="shared" si="26"/>
        <v>0.8</v>
      </c>
      <c r="I86" s="151"/>
    </row>
    <row r="87" spans="1:9" x14ac:dyDescent="0.35">
      <c r="A87" t="s">
        <v>86</v>
      </c>
      <c r="B87" s="28" t="s">
        <v>74</v>
      </c>
      <c r="C87" s="76">
        <v>0.8</v>
      </c>
      <c r="D87" s="90"/>
      <c r="E87" s="91"/>
      <c r="F87" s="92"/>
      <c r="G87" s="122"/>
      <c r="H87" s="121">
        <f t="shared" si="26"/>
        <v>0.8</v>
      </c>
      <c r="I87" s="151"/>
    </row>
    <row r="88" spans="1:9" x14ac:dyDescent="0.35">
      <c r="A88" t="s">
        <v>86</v>
      </c>
      <c r="B88" s="28" t="s">
        <v>75</v>
      </c>
      <c r="C88" s="76">
        <v>0.8</v>
      </c>
      <c r="D88" s="90"/>
      <c r="E88" s="91"/>
      <c r="F88" s="92"/>
      <c r="G88" s="122"/>
      <c r="H88" s="121">
        <f t="shared" si="26"/>
        <v>0.8</v>
      </c>
      <c r="I88" s="151"/>
    </row>
    <row r="89" spans="1:9" x14ac:dyDescent="0.35">
      <c r="A89" t="s">
        <v>86</v>
      </c>
      <c r="B89" s="28" t="s">
        <v>76</v>
      </c>
      <c r="C89" s="76">
        <v>0.8</v>
      </c>
      <c r="D89" s="90"/>
      <c r="E89" s="91"/>
      <c r="F89" s="92"/>
      <c r="G89" s="122"/>
      <c r="H89" s="121">
        <f t="shared" si="26"/>
        <v>0.8</v>
      </c>
      <c r="I89" s="151"/>
    </row>
    <row r="90" spans="1:9" ht="15" thickBot="1" x14ac:dyDescent="0.4">
      <c r="A90" t="s">
        <v>86</v>
      </c>
      <c r="B90" s="29" t="s">
        <v>77</v>
      </c>
      <c r="C90" s="126">
        <v>0.8</v>
      </c>
      <c r="D90" s="103"/>
      <c r="E90" s="105"/>
      <c r="F90" s="107"/>
      <c r="G90" s="127"/>
      <c r="H90" s="128">
        <f t="shared" si="26"/>
        <v>0.8</v>
      </c>
      <c r="I90" s="151"/>
    </row>
    <row r="91" spans="1:9" ht="15" thickBot="1" x14ac:dyDescent="0.4">
      <c r="B91" s="30"/>
      <c r="C91" s="31"/>
      <c r="D91" s="31"/>
      <c r="E91" s="31"/>
      <c r="F91" s="31"/>
      <c r="G91" s="31"/>
      <c r="H91" s="31"/>
    </row>
    <row r="92" spans="1:9" ht="15" thickBot="1" x14ac:dyDescent="0.4">
      <c r="A92" t="s">
        <v>88</v>
      </c>
      <c r="B92" s="123" t="s">
        <v>63</v>
      </c>
      <c r="C92" s="115">
        <f>SUM(C93:C119)</f>
        <v>710.39999999999657</v>
      </c>
      <c r="D92" s="115">
        <f t="shared" ref="D92" si="27">SUM(D93:D119)</f>
        <v>0</v>
      </c>
      <c r="E92" s="115">
        <f t="shared" ref="E92" si="28">SUM(E93:E119)</f>
        <v>0</v>
      </c>
      <c r="F92" s="115">
        <f t="shared" ref="F92" si="29">SUM(F93:F119)</f>
        <v>0</v>
      </c>
      <c r="G92" s="115">
        <f t="shared" ref="G92" si="30">SUM(G93:G119)</f>
        <v>0</v>
      </c>
      <c r="H92" s="115">
        <f>SUM(H93:H119)</f>
        <v>710.39999999999657</v>
      </c>
      <c r="I92" s="150" t="s">
        <v>89</v>
      </c>
    </row>
    <row r="93" spans="1:9" x14ac:dyDescent="0.35">
      <c r="A93" t="s">
        <v>88</v>
      </c>
      <c r="B93" s="124" t="s">
        <v>65</v>
      </c>
      <c r="C93" s="116">
        <v>0.8</v>
      </c>
      <c r="D93" s="117"/>
      <c r="E93" s="118"/>
      <c r="F93" s="119"/>
      <c r="G93" s="120"/>
      <c r="H93" s="125">
        <f>SUM(C93:G93)</f>
        <v>0.8</v>
      </c>
      <c r="I93" s="151"/>
    </row>
    <row r="94" spans="1:9" x14ac:dyDescent="0.35">
      <c r="A94" t="s">
        <v>88</v>
      </c>
      <c r="B94" s="28" t="s">
        <v>66</v>
      </c>
      <c r="C94" s="76">
        <v>0.8</v>
      </c>
      <c r="D94" s="90"/>
      <c r="E94" s="91"/>
      <c r="F94" s="92"/>
      <c r="G94" s="122"/>
      <c r="H94" s="121">
        <f t="shared" ref="H94:H105" si="31">SUM(C94:G94)</f>
        <v>0.8</v>
      </c>
      <c r="I94" s="151"/>
    </row>
    <row r="95" spans="1:9" x14ac:dyDescent="0.35">
      <c r="A95" t="s">
        <v>88</v>
      </c>
      <c r="B95" s="28" t="s">
        <v>67</v>
      </c>
      <c r="C95" s="76">
        <v>0.8</v>
      </c>
      <c r="D95" s="90"/>
      <c r="E95" s="91"/>
      <c r="F95" s="92"/>
      <c r="G95" s="122"/>
      <c r="H95" s="121">
        <f t="shared" si="31"/>
        <v>0.8</v>
      </c>
      <c r="I95" s="151"/>
    </row>
    <row r="96" spans="1:9" x14ac:dyDescent="0.35">
      <c r="A96" t="s">
        <v>88</v>
      </c>
      <c r="B96" s="28" t="s">
        <v>68</v>
      </c>
      <c r="C96" s="76">
        <v>0.8</v>
      </c>
      <c r="D96" s="90"/>
      <c r="E96" s="91"/>
      <c r="F96" s="92"/>
      <c r="G96" s="122"/>
      <c r="H96" s="121">
        <f t="shared" si="31"/>
        <v>0.8</v>
      </c>
      <c r="I96" s="151"/>
    </row>
    <row r="97" spans="1:9" x14ac:dyDescent="0.35">
      <c r="A97" t="s">
        <v>88</v>
      </c>
      <c r="B97" s="28" t="s">
        <v>69</v>
      </c>
      <c r="C97" s="76">
        <v>0.8</v>
      </c>
      <c r="D97" s="95"/>
      <c r="E97" s="96"/>
      <c r="F97" s="92"/>
      <c r="G97" s="122"/>
      <c r="H97" s="121">
        <f t="shared" si="31"/>
        <v>0.8</v>
      </c>
      <c r="I97" s="151"/>
    </row>
    <row r="98" spans="1:9" x14ac:dyDescent="0.35">
      <c r="A98" t="s">
        <v>88</v>
      </c>
      <c r="B98" s="28" t="s">
        <v>70</v>
      </c>
      <c r="C98" s="76">
        <v>0.8</v>
      </c>
      <c r="D98" s="90"/>
      <c r="E98" s="91"/>
      <c r="F98" s="92"/>
      <c r="G98" s="122"/>
      <c r="H98" s="121">
        <f t="shared" si="31"/>
        <v>0.8</v>
      </c>
      <c r="I98" s="151"/>
    </row>
    <row r="99" spans="1:9" x14ac:dyDescent="0.35">
      <c r="A99" t="s">
        <v>88</v>
      </c>
      <c r="B99" s="28" t="s">
        <v>71</v>
      </c>
      <c r="C99" s="76">
        <v>0.8</v>
      </c>
      <c r="D99" s="90"/>
      <c r="E99" s="91"/>
      <c r="F99" s="92"/>
      <c r="G99" s="122"/>
      <c r="H99" s="121">
        <f t="shared" si="31"/>
        <v>0.8</v>
      </c>
      <c r="I99" s="151"/>
    </row>
    <row r="100" spans="1:9" x14ac:dyDescent="0.35">
      <c r="A100" t="s">
        <v>88</v>
      </c>
      <c r="B100" s="28" t="s">
        <v>72</v>
      </c>
      <c r="C100" s="76">
        <v>0.8</v>
      </c>
      <c r="D100" s="90"/>
      <c r="E100" s="91"/>
      <c r="F100" s="92"/>
      <c r="G100" s="122"/>
      <c r="H100" s="121">
        <f t="shared" si="31"/>
        <v>0.8</v>
      </c>
      <c r="I100" s="151"/>
    </row>
    <row r="101" spans="1:9" x14ac:dyDescent="0.35">
      <c r="A101" t="s">
        <v>88</v>
      </c>
      <c r="B101" s="28" t="s">
        <v>73</v>
      </c>
      <c r="C101" s="76">
        <v>0.8</v>
      </c>
      <c r="D101" s="90"/>
      <c r="E101" s="91"/>
      <c r="F101" s="92"/>
      <c r="G101" s="122"/>
      <c r="H101" s="121">
        <f t="shared" si="31"/>
        <v>0.8</v>
      </c>
      <c r="I101" s="151"/>
    </row>
    <row r="102" spans="1:9" x14ac:dyDescent="0.35">
      <c r="A102" t="s">
        <v>88</v>
      </c>
      <c r="B102" s="28" t="s">
        <v>74</v>
      </c>
      <c r="C102" s="76">
        <v>0.8</v>
      </c>
      <c r="D102" s="90"/>
      <c r="E102" s="91"/>
      <c r="F102" s="92"/>
      <c r="G102" s="122"/>
      <c r="H102" s="121">
        <f t="shared" si="31"/>
        <v>0.8</v>
      </c>
      <c r="I102" s="151"/>
    </row>
    <row r="103" spans="1:9" x14ac:dyDescent="0.35">
      <c r="A103" t="s">
        <v>88</v>
      </c>
      <c r="B103" s="28" t="s">
        <v>75</v>
      </c>
      <c r="C103" s="76">
        <v>0.8</v>
      </c>
      <c r="D103" s="90"/>
      <c r="E103" s="91"/>
      <c r="F103" s="92"/>
      <c r="G103" s="122"/>
      <c r="H103" s="121">
        <f t="shared" si="31"/>
        <v>0.8</v>
      </c>
      <c r="I103" s="151"/>
    </row>
    <row r="104" spans="1:9" x14ac:dyDescent="0.35">
      <c r="A104" t="s">
        <v>88</v>
      </c>
      <c r="B104" s="28" t="s">
        <v>76</v>
      </c>
      <c r="C104" s="76">
        <v>0.8</v>
      </c>
      <c r="D104" s="90"/>
      <c r="E104" s="91"/>
      <c r="F104" s="92"/>
      <c r="G104" s="122"/>
      <c r="H104" s="121">
        <f t="shared" si="31"/>
        <v>0.8</v>
      </c>
      <c r="I104" s="151"/>
    </row>
    <row r="105" spans="1:9" ht="15" thickBot="1" x14ac:dyDescent="0.4">
      <c r="A105" t="s">
        <v>88</v>
      </c>
      <c r="B105" s="29" t="s">
        <v>77</v>
      </c>
      <c r="C105" s="126">
        <v>0.8</v>
      </c>
      <c r="D105" s="103"/>
      <c r="E105" s="105"/>
      <c r="F105" s="107"/>
      <c r="G105" s="127"/>
      <c r="H105" s="128">
        <f t="shared" si="31"/>
        <v>0.8</v>
      </c>
      <c r="I105" s="151"/>
    </row>
    <row r="106" spans="1:9" ht="15" thickBot="1" x14ac:dyDescent="0.4">
      <c r="B106" s="30"/>
      <c r="C106" s="31"/>
      <c r="D106" s="31"/>
      <c r="E106" s="31"/>
      <c r="F106" s="31"/>
      <c r="G106" s="31"/>
      <c r="H106" s="31"/>
    </row>
    <row r="107" spans="1:9" ht="15" thickBot="1" x14ac:dyDescent="0.4">
      <c r="A107" t="s">
        <v>90</v>
      </c>
      <c r="B107" s="123" t="s">
        <v>63</v>
      </c>
      <c r="C107" s="115">
        <f>SUM(C108:C134)</f>
        <v>690.39999999999714</v>
      </c>
      <c r="D107" s="115">
        <f t="shared" ref="D107" si="32">SUM(D108:D134)</f>
        <v>0</v>
      </c>
      <c r="E107" s="115">
        <f t="shared" ref="E107" si="33">SUM(E108:E134)</f>
        <v>0</v>
      </c>
      <c r="F107" s="115">
        <f t="shared" ref="F107" si="34">SUM(F108:F134)</f>
        <v>0</v>
      </c>
      <c r="G107" s="115">
        <f t="shared" ref="G107" si="35">SUM(G108:G134)</f>
        <v>0</v>
      </c>
      <c r="H107" s="115">
        <f>SUM(H108:H134)</f>
        <v>690.39999999999714</v>
      </c>
      <c r="I107" s="150" t="s">
        <v>91</v>
      </c>
    </row>
    <row r="108" spans="1:9" x14ac:dyDescent="0.35">
      <c r="A108" t="s">
        <v>90</v>
      </c>
      <c r="B108" s="124" t="s">
        <v>65</v>
      </c>
      <c r="C108" s="116">
        <v>0.8</v>
      </c>
      <c r="D108" s="117"/>
      <c r="E108" s="118"/>
      <c r="F108" s="119"/>
      <c r="G108" s="120"/>
      <c r="H108" s="125">
        <f>SUM(C108:G108)</f>
        <v>0.8</v>
      </c>
      <c r="I108" s="151"/>
    </row>
    <row r="109" spans="1:9" x14ac:dyDescent="0.35">
      <c r="A109" t="s">
        <v>90</v>
      </c>
      <c r="B109" s="28" t="s">
        <v>66</v>
      </c>
      <c r="C109" s="76">
        <v>0.8</v>
      </c>
      <c r="D109" s="90"/>
      <c r="E109" s="91"/>
      <c r="F109" s="92"/>
      <c r="G109" s="122"/>
      <c r="H109" s="121">
        <f t="shared" ref="H109:H120" si="36">SUM(C109:G109)</f>
        <v>0.8</v>
      </c>
      <c r="I109" s="151"/>
    </row>
    <row r="110" spans="1:9" x14ac:dyDescent="0.35">
      <c r="A110" t="s">
        <v>90</v>
      </c>
      <c r="B110" s="28" t="s">
        <v>67</v>
      </c>
      <c r="C110" s="76">
        <v>0.8</v>
      </c>
      <c r="D110" s="90"/>
      <c r="E110" s="91"/>
      <c r="F110" s="92"/>
      <c r="G110" s="122"/>
      <c r="H110" s="121">
        <f t="shared" si="36"/>
        <v>0.8</v>
      </c>
      <c r="I110" s="151"/>
    </row>
    <row r="111" spans="1:9" x14ac:dyDescent="0.35">
      <c r="A111" t="s">
        <v>90</v>
      </c>
      <c r="B111" s="28" t="s">
        <v>68</v>
      </c>
      <c r="C111" s="76">
        <v>0.8</v>
      </c>
      <c r="D111" s="90"/>
      <c r="E111" s="91"/>
      <c r="F111" s="92"/>
      <c r="G111" s="122"/>
      <c r="H111" s="121">
        <f t="shared" si="36"/>
        <v>0.8</v>
      </c>
      <c r="I111" s="151"/>
    </row>
    <row r="112" spans="1:9" x14ac:dyDescent="0.35">
      <c r="A112" t="s">
        <v>90</v>
      </c>
      <c r="B112" s="28" t="s">
        <v>69</v>
      </c>
      <c r="C112" s="76">
        <v>0.8</v>
      </c>
      <c r="D112" s="95"/>
      <c r="E112" s="96"/>
      <c r="F112" s="92"/>
      <c r="G112" s="122"/>
      <c r="H112" s="121">
        <f t="shared" si="36"/>
        <v>0.8</v>
      </c>
      <c r="I112" s="151"/>
    </row>
    <row r="113" spans="1:9" x14ac:dyDescent="0.35">
      <c r="A113" t="s">
        <v>90</v>
      </c>
      <c r="B113" s="28" t="s">
        <v>70</v>
      </c>
      <c r="C113" s="76">
        <v>0.8</v>
      </c>
      <c r="D113" s="90"/>
      <c r="E113" s="91"/>
      <c r="F113" s="92"/>
      <c r="G113" s="122"/>
      <c r="H113" s="121">
        <f t="shared" si="36"/>
        <v>0.8</v>
      </c>
      <c r="I113" s="151"/>
    </row>
    <row r="114" spans="1:9" x14ac:dyDescent="0.35">
      <c r="A114" t="s">
        <v>90</v>
      </c>
      <c r="B114" s="28" t="s">
        <v>71</v>
      </c>
      <c r="C114" s="76">
        <v>0.8</v>
      </c>
      <c r="D114" s="90"/>
      <c r="E114" s="91"/>
      <c r="F114" s="92"/>
      <c r="G114" s="122"/>
      <c r="H114" s="121">
        <f t="shared" si="36"/>
        <v>0.8</v>
      </c>
      <c r="I114" s="151"/>
    </row>
    <row r="115" spans="1:9" x14ac:dyDescent="0.35">
      <c r="A115" t="s">
        <v>90</v>
      </c>
      <c r="B115" s="28" t="s">
        <v>72</v>
      </c>
      <c r="C115" s="76">
        <v>0.8</v>
      </c>
      <c r="D115" s="90"/>
      <c r="E115" s="91"/>
      <c r="F115" s="92"/>
      <c r="G115" s="122"/>
      <c r="H115" s="121">
        <f t="shared" si="36"/>
        <v>0.8</v>
      </c>
      <c r="I115" s="151"/>
    </row>
    <row r="116" spans="1:9" x14ac:dyDescent="0.35">
      <c r="A116" t="s">
        <v>90</v>
      </c>
      <c r="B116" s="28" t="s">
        <v>73</v>
      </c>
      <c r="C116" s="76">
        <v>0.8</v>
      </c>
      <c r="D116" s="90"/>
      <c r="E116" s="91"/>
      <c r="F116" s="92"/>
      <c r="G116" s="122"/>
      <c r="H116" s="121">
        <f t="shared" si="36"/>
        <v>0.8</v>
      </c>
      <c r="I116" s="151"/>
    </row>
    <row r="117" spans="1:9" x14ac:dyDescent="0.35">
      <c r="A117" t="s">
        <v>90</v>
      </c>
      <c r="B117" s="28" t="s">
        <v>74</v>
      </c>
      <c r="C117" s="76">
        <v>0.8</v>
      </c>
      <c r="D117" s="90"/>
      <c r="E117" s="91"/>
      <c r="F117" s="92"/>
      <c r="G117" s="122"/>
      <c r="H117" s="121">
        <f t="shared" si="36"/>
        <v>0.8</v>
      </c>
      <c r="I117" s="151"/>
    </row>
    <row r="118" spans="1:9" x14ac:dyDescent="0.35">
      <c r="A118" t="s">
        <v>90</v>
      </c>
      <c r="B118" s="28" t="s">
        <v>75</v>
      </c>
      <c r="C118" s="76">
        <v>0.8</v>
      </c>
      <c r="D118" s="90"/>
      <c r="E118" s="91"/>
      <c r="F118" s="92"/>
      <c r="G118" s="122"/>
      <c r="H118" s="121">
        <f t="shared" si="36"/>
        <v>0.8</v>
      </c>
      <c r="I118" s="151"/>
    </row>
    <row r="119" spans="1:9" x14ac:dyDescent="0.35">
      <c r="A119" t="s">
        <v>90</v>
      </c>
      <c r="B119" s="28" t="s">
        <v>76</v>
      </c>
      <c r="C119" s="76">
        <v>0.8</v>
      </c>
      <c r="D119" s="90"/>
      <c r="E119" s="91"/>
      <c r="F119" s="92"/>
      <c r="G119" s="122"/>
      <c r="H119" s="121">
        <f t="shared" si="36"/>
        <v>0.8</v>
      </c>
      <c r="I119" s="151"/>
    </row>
    <row r="120" spans="1:9" ht="15" thickBot="1" x14ac:dyDescent="0.4">
      <c r="A120" t="s">
        <v>90</v>
      </c>
      <c r="B120" s="29" t="s">
        <v>77</v>
      </c>
      <c r="C120" s="126">
        <v>0.8</v>
      </c>
      <c r="D120" s="103"/>
      <c r="E120" s="105"/>
      <c r="F120" s="107"/>
      <c r="G120" s="127"/>
      <c r="H120" s="128">
        <f t="shared" si="36"/>
        <v>0.8</v>
      </c>
      <c r="I120" s="151"/>
    </row>
    <row r="121" spans="1:9" ht="15" thickBot="1" x14ac:dyDescent="0.4">
      <c r="B121" s="30"/>
      <c r="C121" s="31"/>
      <c r="D121" s="31"/>
      <c r="E121" s="31"/>
      <c r="F121" s="31"/>
      <c r="G121" s="31"/>
      <c r="H121" s="31"/>
    </row>
    <row r="122" spans="1:9" ht="15" thickBot="1" x14ac:dyDescent="0.4">
      <c r="A122" t="s">
        <v>92</v>
      </c>
      <c r="B122" s="123" t="s">
        <v>63</v>
      </c>
      <c r="C122" s="115">
        <f>SUM(C123:C149)</f>
        <v>670.3999999999977</v>
      </c>
      <c r="D122" s="115">
        <f t="shared" ref="D122" si="37">SUM(D123:D149)</f>
        <v>0</v>
      </c>
      <c r="E122" s="115">
        <f t="shared" ref="E122" si="38">SUM(E123:E149)</f>
        <v>0</v>
      </c>
      <c r="F122" s="115">
        <f t="shared" ref="F122" si="39">SUM(F123:F149)</f>
        <v>0</v>
      </c>
      <c r="G122" s="115">
        <f t="shared" ref="G122" si="40">SUM(G123:G149)</f>
        <v>0</v>
      </c>
      <c r="H122" s="115">
        <f>SUM(H123:H149)</f>
        <v>670.3999999999977</v>
      </c>
      <c r="I122" s="150" t="s">
        <v>93</v>
      </c>
    </row>
    <row r="123" spans="1:9" x14ac:dyDescent="0.35">
      <c r="A123" t="s">
        <v>92</v>
      </c>
      <c r="B123" s="124" t="s">
        <v>65</v>
      </c>
      <c r="C123" s="116">
        <v>0.8</v>
      </c>
      <c r="D123" s="117"/>
      <c r="E123" s="118"/>
      <c r="F123" s="119"/>
      <c r="G123" s="120"/>
      <c r="H123" s="125">
        <f>SUM(C123:G123)</f>
        <v>0.8</v>
      </c>
      <c r="I123" s="151"/>
    </row>
    <row r="124" spans="1:9" x14ac:dyDescent="0.35">
      <c r="A124" t="s">
        <v>92</v>
      </c>
      <c r="B124" s="28" t="s">
        <v>66</v>
      </c>
      <c r="C124" s="76">
        <v>0.8</v>
      </c>
      <c r="D124" s="90"/>
      <c r="E124" s="91"/>
      <c r="F124" s="92"/>
      <c r="G124" s="122"/>
      <c r="H124" s="121">
        <f t="shared" ref="H124:H135" si="41">SUM(C124:G124)</f>
        <v>0.8</v>
      </c>
      <c r="I124" s="151"/>
    </row>
    <row r="125" spans="1:9" x14ac:dyDescent="0.35">
      <c r="A125" t="s">
        <v>92</v>
      </c>
      <c r="B125" s="28" t="s">
        <v>67</v>
      </c>
      <c r="C125" s="76">
        <v>0.8</v>
      </c>
      <c r="D125" s="90"/>
      <c r="E125" s="91"/>
      <c r="F125" s="92"/>
      <c r="G125" s="122"/>
      <c r="H125" s="121">
        <f t="shared" si="41"/>
        <v>0.8</v>
      </c>
      <c r="I125" s="151"/>
    </row>
    <row r="126" spans="1:9" x14ac:dyDescent="0.35">
      <c r="A126" t="s">
        <v>92</v>
      </c>
      <c r="B126" s="28" t="s">
        <v>68</v>
      </c>
      <c r="C126" s="76">
        <v>0.8</v>
      </c>
      <c r="D126" s="90"/>
      <c r="E126" s="91"/>
      <c r="F126" s="92"/>
      <c r="G126" s="122"/>
      <c r="H126" s="121">
        <f t="shared" si="41"/>
        <v>0.8</v>
      </c>
      <c r="I126" s="151"/>
    </row>
    <row r="127" spans="1:9" x14ac:dyDescent="0.35">
      <c r="A127" t="s">
        <v>92</v>
      </c>
      <c r="B127" s="28" t="s">
        <v>69</v>
      </c>
      <c r="C127" s="76">
        <v>0.8</v>
      </c>
      <c r="D127" s="95"/>
      <c r="E127" s="96"/>
      <c r="F127" s="92"/>
      <c r="G127" s="122"/>
      <c r="H127" s="121">
        <f t="shared" si="41"/>
        <v>0.8</v>
      </c>
      <c r="I127" s="151"/>
    </row>
    <row r="128" spans="1:9" x14ac:dyDescent="0.35">
      <c r="A128" t="s">
        <v>92</v>
      </c>
      <c r="B128" s="28" t="s">
        <v>70</v>
      </c>
      <c r="C128" s="76">
        <v>0.8</v>
      </c>
      <c r="D128" s="90"/>
      <c r="E128" s="91"/>
      <c r="F128" s="92"/>
      <c r="G128" s="122"/>
      <c r="H128" s="121">
        <f t="shared" si="41"/>
        <v>0.8</v>
      </c>
      <c r="I128" s="151"/>
    </row>
    <row r="129" spans="1:9" x14ac:dyDescent="0.35">
      <c r="A129" t="s">
        <v>92</v>
      </c>
      <c r="B129" s="28" t="s">
        <v>71</v>
      </c>
      <c r="C129" s="76">
        <v>0.8</v>
      </c>
      <c r="D129" s="90"/>
      <c r="E129" s="91"/>
      <c r="F129" s="92"/>
      <c r="G129" s="122"/>
      <c r="H129" s="121">
        <f t="shared" si="41"/>
        <v>0.8</v>
      </c>
      <c r="I129" s="151"/>
    </row>
    <row r="130" spans="1:9" x14ac:dyDescent="0.35">
      <c r="A130" t="s">
        <v>92</v>
      </c>
      <c r="B130" s="28" t="s">
        <v>72</v>
      </c>
      <c r="C130" s="76">
        <v>0.8</v>
      </c>
      <c r="D130" s="90"/>
      <c r="E130" s="91"/>
      <c r="F130" s="92"/>
      <c r="G130" s="122"/>
      <c r="H130" s="121">
        <f t="shared" si="41"/>
        <v>0.8</v>
      </c>
      <c r="I130" s="151"/>
    </row>
    <row r="131" spans="1:9" x14ac:dyDescent="0.35">
      <c r="A131" t="s">
        <v>92</v>
      </c>
      <c r="B131" s="28" t="s">
        <v>73</v>
      </c>
      <c r="C131" s="76">
        <v>0.8</v>
      </c>
      <c r="D131" s="90"/>
      <c r="E131" s="91"/>
      <c r="F131" s="92"/>
      <c r="G131" s="122"/>
      <c r="H131" s="121">
        <f t="shared" si="41"/>
        <v>0.8</v>
      </c>
      <c r="I131" s="151"/>
    </row>
    <row r="132" spans="1:9" x14ac:dyDescent="0.35">
      <c r="A132" t="s">
        <v>92</v>
      </c>
      <c r="B132" s="28" t="s">
        <v>74</v>
      </c>
      <c r="C132" s="76">
        <v>0.8</v>
      </c>
      <c r="D132" s="90"/>
      <c r="E132" s="91"/>
      <c r="F132" s="92"/>
      <c r="G132" s="122"/>
      <c r="H132" s="121">
        <f t="shared" si="41"/>
        <v>0.8</v>
      </c>
      <c r="I132" s="151"/>
    </row>
    <row r="133" spans="1:9" x14ac:dyDescent="0.35">
      <c r="A133" t="s">
        <v>92</v>
      </c>
      <c r="B133" s="28" t="s">
        <v>75</v>
      </c>
      <c r="C133" s="76">
        <v>0.8</v>
      </c>
      <c r="D133" s="90"/>
      <c r="E133" s="91"/>
      <c r="F133" s="92"/>
      <c r="G133" s="122"/>
      <c r="H133" s="121">
        <f t="shared" si="41"/>
        <v>0.8</v>
      </c>
      <c r="I133" s="151"/>
    </row>
    <row r="134" spans="1:9" x14ac:dyDescent="0.35">
      <c r="A134" t="s">
        <v>92</v>
      </c>
      <c r="B134" s="28" t="s">
        <v>76</v>
      </c>
      <c r="C134" s="76">
        <v>0.8</v>
      </c>
      <c r="D134" s="90"/>
      <c r="E134" s="91"/>
      <c r="F134" s="92"/>
      <c r="G134" s="122"/>
      <c r="H134" s="121">
        <f t="shared" si="41"/>
        <v>0.8</v>
      </c>
      <c r="I134" s="151"/>
    </row>
    <row r="135" spans="1:9" ht="15" thickBot="1" x14ac:dyDescent="0.4">
      <c r="A135" t="s">
        <v>92</v>
      </c>
      <c r="B135" s="29" t="s">
        <v>77</v>
      </c>
      <c r="C135" s="126">
        <v>0.8</v>
      </c>
      <c r="D135" s="103"/>
      <c r="E135" s="105"/>
      <c r="F135" s="107"/>
      <c r="G135" s="127"/>
      <c r="H135" s="128">
        <f t="shared" si="41"/>
        <v>0.8</v>
      </c>
      <c r="I135" s="151"/>
    </row>
    <row r="136" spans="1:9" ht="15" thickBot="1" x14ac:dyDescent="0.4">
      <c r="B136" s="30"/>
      <c r="C136" s="31"/>
      <c r="D136" s="31"/>
      <c r="E136" s="31"/>
      <c r="F136" s="31"/>
      <c r="G136" s="31"/>
      <c r="H136" s="31"/>
    </row>
    <row r="137" spans="1:9" ht="15" thickBot="1" x14ac:dyDescent="0.4">
      <c r="A137" t="s">
        <v>94</v>
      </c>
      <c r="B137" s="123" t="s">
        <v>63</v>
      </c>
      <c r="C137" s="115">
        <f>SUM(C138:C164)</f>
        <v>650.39999999999827</v>
      </c>
      <c r="D137" s="115">
        <f t="shared" ref="D137" si="42">SUM(D138:D164)</f>
        <v>0</v>
      </c>
      <c r="E137" s="115">
        <f t="shared" ref="E137" si="43">SUM(E138:E164)</f>
        <v>0</v>
      </c>
      <c r="F137" s="115">
        <f t="shared" ref="F137" si="44">SUM(F138:F164)</f>
        <v>0</v>
      </c>
      <c r="G137" s="115">
        <f t="shared" ref="G137" si="45">SUM(G138:G164)</f>
        <v>0</v>
      </c>
      <c r="H137" s="115">
        <f>SUM(H138:H164)</f>
        <v>650.39999999999827</v>
      </c>
      <c r="I137" s="150" t="s">
        <v>95</v>
      </c>
    </row>
    <row r="138" spans="1:9" x14ac:dyDescent="0.35">
      <c r="A138" t="s">
        <v>94</v>
      </c>
      <c r="B138" s="124" t="s">
        <v>65</v>
      </c>
      <c r="C138" s="116">
        <v>0.8</v>
      </c>
      <c r="D138" s="117"/>
      <c r="E138" s="118"/>
      <c r="F138" s="119"/>
      <c r="G138" s="120"/>
      <c r="H138" s="125">
        <f>SUM(C138:G138)</f>
        <v>0.8</v>
      </c>
      <c r="I138" s="151"/>
    </row>
    <row r="139" spans="1:9" x14ac:dyDescent="0.35">
      <c r="A139" t="s">
        <v>94</v>
      </c>
      <c r="B139" s="28" t="s">
        <v>66</v>
      </c>
      <c r="C139" s="76">
        <v>0.8</v>
      </c>
      <c r="D139" s="90"/>
      <c r="E139" s="91"/>
      <c r="F139" s="92"/>
      <c r="G139" s="122"/>
      <c r="H139" s="121">
        <f t="shared" ref="H139:H150" si="46">SUM(C139:G139)</f>
        <v>0.8</v>
      </c>
      <c r="I139" s="151"/>
    </row>
    <row r="140" spans="1:9" x14ac:dyDescent="0.35">
      <c r="A140" t="s">
        <v>94</v>
      </c>
      <c r="B140" s="28" t="s">
        <v>67</v>
      </c>
      <c r="C140" s="76">
        <v>0.8</v>
      </c>
      <c r="D140" s="90"/>
      <c r="E140" s="91"/>
      <c r="F140" s="92"/>
      <c r="G140" s="122"/>
      <c r="H140" s="121">
        <f t="shared" si="46"/>
        <v>0.8</v>
      </c>
      <c r="I140" s="151"/>
    </row>
    <row r="141" spans="1:9" x14ac:dyDescent="0.35">
      <c r="A141" t="s">
        <v>94</v>
      </c>
      <c r="B141" s="28" t="s">
        <v>68</v>
      </c>
      <c r="C141" s="76">
        <v>0.8</v>
      </c>
      <c r="D141" s="90"/>
      <c r="E141" s="91"/>
      <c r="F141" s="92"/>
      <c r="G141" s="122"/>
      <c r="H141" s="121">
        <f t="shared" si="46"/>
        <v>0.8</v>
      </c>
      <c r="I141" s="151"/>
    </row>
    <row r="142" spans="1:9" x14ac:dyDescent="0.35">
      <c r="A142" t="s">
        <v>94</v>
      </c>
      <c r="B142" s="28" t="s">
        <v>69</v>
      </c>
      <c r="C142" s="76">
        <v>0.8</v>
      </c>
      <c r="D142" s="95"/>
      <c r="E142" s="96"/>
      <c r="F142" s="92"/>
      <c r="G142" s="122"/>
      <c r="H142" s="121">
        <f t="shared" si="46"/>
        <v>0.8</v>
      </c>
      <c r="I142" s="151"/>
    </row>
    <row r="143" spans="1:9" x14ac:dyDescent="0.35">
      <c r="A143" t="s">
        <v>94</v>
      </c>
      <c r="B143" s="28" t="s">
        <v>70</v>
      </c>
      <c r="C143" s="76">
        <v>0.8</v>
      </c>
      <c r="D143" s="90"/>
      <c r="E143" s="91"/>
      <c r="F143" s="92"/>
      <c r="G143" s="122"/>
      <c r="H143" s="121">
        <f t="shared" si="46"/>
        <v>0.8</v>
      </c>
      <c r="I143" s="151"/>
    </row>
    <row r="144" spans="1:9" x14ac:dyDescent="0.35">
      <c r="A144" t="s">
        <v>94</v>
      </c>
      <c r="B144" s="28" t="s">
        <v>71</v>
      </c>
      <c r="C144" s="76">
        <v>0.8</v>
      </c>
      <c r="D144" s="90"/>
      <c r="E144" s="91"/>
      <c r="F144" s="92"/>
      <c r="G144" s="122"/>
      <c r="H144" s="121">
        <f t="shared" si="46"/>
        <v>0.8</v>
      </c>
      <c r="I144" s="151"/>
    </row>
    <row r="145" spans="1:9" x14ac:dyDescent="0.35">
      <c r="A145" t="s">
        <v>94</v>
      </c>
      <c r="B145" s="28" t="s">
        <v>72</v>
      </c>
      <c r="C145" s="76">
        <v>0.8</v>
      </c>
      <c r="D145" s="90"/>
      <c r="E145" s="91"/>
      <c r="F145" s="92"/>
      <c r="G145" s="122"/>
      <c r="H145" s="121">
        <f t="shared" si="46"/>
        <v>0.8</v>
      </c>
      <c r="I145" s="151"/>
    </row>
    <row r="146" spans="1:9" x14ac:dyDescent="0.35">
      <c r="A146" t="s">
        <v>94</v>
      </c>
      <c r="B146" s="28" t="s">
        <v>73</v>
      </c>
      <c r="C146" s="76">
        <v>0.8</v>
      </c>
      <c r="D146" s="90"/>
      <c r="E146" s="91"/>
      <c r="F146" s="92"/>
      <c r="G146" s="122"/>
      <c r="H146" s="121">
        <f t="shared" si="46"/>
        <v>0.8</v>
      </c>
      <c r="I146" s="151"/>
    </row>
    <row r="147" spans="1:9" x14ac:dyDescent="0.35">
      <c r="A147" t="s">
        <v>94</v>
      </c>
      <c r="B147" s="28" t="s">
        <v>74</v>
      </c>
      <c r="C147" s="76">
        <v>0.8</v>
      </c>
      <c r="D147" s="90"/>
      <c r="E147" s="91"/>
      <c r="F147" s="92"/>
      <c r="G147" s="122"/>
      <c r="H147" s="121">
        <f t="shared" si="46"/>
        <v>0.8</v>
      </c>
      <c r="I147" s="151"/>
    </row>
    <row r="148" spans="1:9" x14ac:dyDescent="0.35">
      <c r="A148" t="s">
        <v>94</v>
      </c>
      <c r="B148" s="28" t="s">
        <v>75</v>
      </c>
      <c r="C148" s="76">
        <v>0.8</v>
      </c>
      <c r="D148" s="90"/>
      <c r="E148" s="91"/>
      <c r="F148" s="92"/>
      <c r="G148" s="122"/>
      <c r="H148" s="121">
        <f t="shared" si="46"/>
        <v>0.8</v>
      </c>
      <c r="I148" s="151"/>
    </row>
    <row r="149" spans="1:9" x14ac:dyDescent="0.35">
      <c r="A149" t="s">
        <v>94</v>
      </c>
      <c r="B149" s="28" t="s">
        <v>76</v>
      </c>
      <c r="C149" s="76">
        <v>0.8</v>
      </c>
      <c r="D149" s="90"/>
      <c r="E149" s="91"/>
      <c r="F149" s="92"/>
      <c r="G149" s="122"/>
      <c r="H149" s="121">
        <f t="shared" si="46"/>
        <v>0.8</v>
      </c>
      <c r="I149" s="151"/>
    </row>
    <row r="150" spans="1:9" ht="15" thickBot="1" x14ac:dyDescent="0.4">
      <c r="A150" t="s">
        <v>94</v>
      </c>
      <c r="B150" s="29" t="s">
        <v>77</v>
      </c>
      <c r="C150" s="126">
        <v>0.8</v>
      </c>
      <c r="D150" s="103"/>
      <c r="E150" s="105"/>
      <c r="F150" s="107"/>
      <c r="G150" s="127"/>
      <c r="H150" s="128">
        <f t="shared" si="46"/>
        <v>0.8</v>
      </c>
      <c r="I150" s="151"/>
    </row>
    <row r="151" spans="1:9" ht="15" thickBot="1" x14ac:dyDescent="0.4">
      <c r="B151" s="30"/>
      <c r="C151" s="31"/>
      <c r="D151" s="31"/>
      <c r="E151" s="31"/>
      <c r="F151" s="31"/>
      <c r="G151" s="31"/>
      <c r="H151" s="31"/>
    </row>
    <row r="152" spans="1:9" ht="15" thickBot="1" x14ac:dyDescent="0.4">
      <c r="A152" t="s">
        <v>96</v>
      </c>
      <c r="B152" s="123" t="s">
        <v>63</v>
      </c>
      <c r="C152" s="115">
        <f>SUM(C153:C179)</f>
        <v>630.39999999999884</v>
      </c>
      <c r="D152" s="115">
        <f t="shared" ref="D152" si="47">SUM(D153:D179)</f>
        <v>0</v>
      </c>
      <c r="E152" s="115">
        <f t="shared" ref="E152" si="48">SUM(E153:E179)</f>
        <v>0</v>
      </c>
      <c r="F152" s="115">
        <f t="shared" ref="F152" si="49">SUM(F153:F179)</f>
        <v>0</v>
      </c>
      <c r="G152" s="115">
        <f t="shared" ref="G152" si="50">SUM(G153:G179)</f>
        <v>0</v>
      </c>
      <c r="H152" s="115">
        <f>SUM(H153:H179)</f>
        <v>630.39999999999884</v>
      </c>
      <c r="I152" s="150" t="s">
        <v>97</v>
      </c>
    </row>
    <row r="153" spans="1:9" x14ac:dyDescent="0.35">
      <c r="A153" t="s">
        <v>96</v>
      </c>
      <c r="B153" s="124" t="s">
        <v>65</v>
      </c>
      <c r="C153" s="116">
        <v>0.8</v>
      </c>
      <c r="D153" s="117"/>
      <c r="E153" s="118"/>
      <c r="F153" s="119"/>
      <c r="G153" s="120"/>
      <c r="H153" s="125">
        <f>SUM(C153:G153)</f>
        <v>0.8</v>
      </c>
      <c r="I153" s="151"/>
    </row>
    <row r="154" spans="1:9" x14ac:dyDescent="0.35">
      <c r="A154" t="s">
        <v>96</v>
      </c>
      <c r="B154" s="28" t="s">
        <v>66</v>
      </c>
      <c r="C154" s="76">
        <v>0.8</v>
      </c>
      <c r="D154" s="90"/>
      <c r="E154" s="91"/>
      <c r="F154" s="92"/>
      <c r="G154" s="122"/>
      <c r="H154" s="121">
        <f t="shared" ref="H154:H165" si="51">SUM(C154:G154)</f>
        <v>0.8</v>
      </c>
      <c r="I154" s="151"/>
    </row>
    <row r="155" spans="1:9" x14ac:dyDescent="0.35">
      <c r="A155" t="s">
        <v>96</v>
      </c>
      <c r="B155" s="28" t="s">
        <v>67</v>
      </c>
      <c r="C155" s="76">
        <v>0.8</v>
      </c>
      <c r="D155" s="90"/>
      <c r="E155" s="91"/>
      <c r="F155" s="92"/>
      <c r="G155" s="122"/>
      <c r="H155" s="121">
        <f t="shared" si="51"/>
        <v>0.8</v>
      </c>
      <c r="I155" s="151"/>
    </row>
    <row r="156" spans="1:9" x14ac:dyDescent="0.35">
      <c r="A156" t="s">
        <v>96</v>
      </c>
      <c r="B156" s="28" t="s">
        <v>68</v>
      </c>
      <c r="C156" s="76">
        <v>0.8</v>
      </c>
      <c r="D156" s="90"/>
      <c r="E156" s="91"/>
      <c r="F156" s="92"/>
      <c r="G156" s="122"/>
      <c r="H156" s="121">
        <f t="shared" si="51"/>
        <v>0.8</v>
      </c>
      <c r="I156" s="151"/>
    </row>
    <row r="157" spans="1:9" x14ac:dyDescent="0.35">
      <c r="A157" t="s">
        <v>96</v>
      </c>
      <c r="B157" s="28" t="s">
        <v>69</v>
      </c>
      <c r="C157" s="76">
        <v>0.8</v>
      </c>
      <c r="D157" s="95"/>
      <c r="E157" s="96"/>
      <c r="F157" s="92"/>
      <c r="G157" s="122"/>
      <c r="H157" s="121">
        <f t="shared" si="51"/>
        <v>0.8</v>
      </c>
      <c r="I157" s="151"/>
    </row>
    <row r="158" spans="1:9" x14ac:dyDescent="0.35">
      <c r="A158" t="s">
        <v>96</v>
      </c>
      <c r="B158" s="28" t="s">
        <v>70</v>
      </c>
      <c r="C158" s="76">
        <v>0.8</v>
      </c>
      <c r="D158" s="90"/>
      <c r="E158" s="91"/>
      <c r="F158" s="92"/>
      <c r="G158" s="122"/>
      <c r="H158" s="121">
        <f t="shared" si="51"/>
        <v>0.8</v>
      </c>
      <c r="I158" s="151"/>
    </row>
    <row r="159" spans="1:9" x14ac:dyDescent="0.35">
      <c r="A159" t="s">
        <v>96</v>
      </c>
      <c r="B159" s="28" t="s">
        <v>71</v>
      </c>
      <c r="C159" s="76">
        <v>0.8</v>
      </c>
      <c r="D159" s="90"/>
      <c r="E159" s="91"/>
      <c r="F159" s="92"/>
      <c r="G159" s="122"/>
      <c r="H159" s="121">
        <f t="shared" si="51"/>
        <v>0.8</v>
      </c>
      <c r="I159" s="151"/>
    </row>
    <row r="160" spans="1:9" x14ac:dyDescent="0.35">
      <c r="A160" t="s">
        <v>96</v>
      </c>
      <c r="B160" s="28" t="s">
        <v>72</v>
      </c>
      <c r="C160" s="76">
        <v>0.8</v>
      </c>
      <c r="D160" s="90"/>
      <c r="E160" s="91"/>
      <c r="F160" s="92"/>
      <c r="G160" s="122"/>
      <c r="H160" s="121">
        <f t="shared" si="51"/>
        <v>0.8</v>
      </c>
      <c r="I160" s="151"/>
    </row>
    <row r="161" spans="1:9" x14ac:dyDescent="0.35">
      <c r="A161" t="s">
        <v>96</v>
      </c>
      <c r="B161" s="28" t="s">
        <v>73</v>
      </c>
      <c r="C161" s="76">
        <v>0.8</v>
      </c>
      <c r="D161" s="90"/>
      <c r="E161" s="91"/>
      <c r="F161" s="92"/>
      <c r="G161" s="122"/>
      <c r="H161" s="121">
        <f t="shared" si="51"/>
        <v>0.8</v>
      </c>
      <c r="I161" s="151"/>
    </row>
    <row r="162" spans="1:9" x14ac:dyDescent="0.35">
      <c r="A162" t="s">
        <v>96</v>
      </c>
      <c r="B162" s="28" t="s">
        <v>74</v>
      </c>
      <c r="C162" s="76">
        <v>0.8</v>
      </c>
      <c r="D162" s="90"/>
      <c r="E162" s="91"/>
      <c r="F162" s="92"/>
      <c r="G162" s="122"/>
      <c r="H162" s="121">
        <f t="shared" si="51"/>
        <v>0.8</v>
      </c>
      <c r="I162" s="151"/>
    </row>
    <row r="163" spans="1:9" x14ac:dyDescent="0.35">
      <c r="A163" t="s">
        <v>96</v>
      </c>
      <c r="B163" s="28" t="s">
        <v>75</v>
      </c>
      <c r="C163" s="76">
        <v>0.8</v>
      </c>
      <c r="D163" s="90"/>
      <c r="E163" s="91"/>
      <c r="F163" s="92"/>
      <c r="G163" s="122"/>
      <c r="H163" s="121">
        <f t="shared" si="51"/>
        <v>0.8</v>
      </c>
      <c r="I163" s="151"/>
    </row>
    <row r="164" spans="1:9" x14ac:dyDescent="0.35">
      <c r="A164" t="s">
        <v>96</v>
      </c>
      <c r="B164" s="28" t="s">
        <v>76</v>
      </c>
      <c r="C164" s="76">
        <v>0.8</v>
      </c>
      <c r="D164" s="90"/>
      <c r="E164" s="91"/>
      <c r="F164" s="92"/>
      <c r="G164" s="122"/>
      <c r="H164" s="121">
        <f t="shared" si="51"/>
        <v>0.8</v>
      </c>
      <c r="I164" s="151"/>
    </row>
    <row r="165" spans="1:9" ht="15" thickBot="1" x14ac:dyDescent="0.4">
      <c r="A165" t="s">
        <v>96</v>
      </c>
      <c r="B165" s="29" t="s">
        <v>77</v>
      </c>
      <c r="C165" s="126">
        <v>0.8</v>
      </c>
      <c r="D165" s="103"/>
      <c r="E165" s="105"/>
      <c r="F165" s="107"/>
      <c r="G165" s="127"/>
      <c r="H165" s="128">
        <f t="shared" si="51"/>
        <v>0.8</v>
      </c>
      <c r="I165" s="151"/>
    </row>
    <row r="166" spans="1:9" ht="15" thickBot="1" x14ac:dyDescent="0.4">
      <c r="B166" s="30"/>
      <c r="C166" s="31"/>
      <c r="D166" s="31"/>
      <c r="E166" s="31"/>
      <c r="F166" s="31"/>
      <c r="G166" s="31"/>
      <c r="H166" s="31"/>
    </row>
    <row r="167" spans="1:9" ht="15" thickBot="1" x14ac:dyDescent="0.4">
      <c r="A167" t="s">
        <v>98</v>
      </c>
      <c r="B167" s="123" t="s">
        <v>63</v>
      </c>
      <c r="C167" s="115">
        <f>SUM(C168:C194)</f>
        <v>610.39999999999941</v>
      </c>
      <c r="D167" s="115">
        <f t="shared" ref="D167" si="52">SUM(D168:D194)</f>
        <v>0</v>
      </c>
      <c r="E167" s="115">
        <f t="shared" ref="E167" si="53">SUM(E168:E194)</f>
        <v>0</v>
      </c>
      <c r="F167" s="115">
        <f t="shared" ref="F167" si="54">SUM(F168:F194)</f>
        <v>0</v>
      </c>
      <c r="G167" s="115">
        <f t="shared" ref="G167" si="55">SUM(G168:G194)</f>
        <v>0</v>
      </c>
      <c r="H167" s="115">
        <f>SUM(H168:H194)</f>
        <v>610.39999999999941</v>
      </c>
      <c r="I167" s="150" t="s">
        <v>99</v>
      </c>
    </row>
    <row r="168" spans="1:9" x14ac:dyDescent="0.35">
      <c r="A168" t="s">
        <v>98</v>
      </c>
      <c r="B168" s="124" t="s">
        <v>65</v>
      </c>
      <c r="C168" s="116">
        <v>0.8</v>
      </c>
      <c r="D168" s="117"/>
      <c r="E168" s="118"/>
      <c r="F168" s="119"/>
      <c r="G168" s="120"/>
      <c r="H168" s="125">
        <f>SUM(C168:G168)</f>
        <v>0.8</v>
      </c>
      <c r="I168" s="151"/>
    </row>
    <row r="169" spans="1:9" x14ac:dyDescent="0.35">
      <c r="A169" t="s">
        <v>98</v>
      </c>
      <c r="B169" s="28" t="s">
        <v>66</v>
      </c>
      <c r="C169" s="76">
        <v>0.8</v>
      </c>
      <c r="D169" s="90"/>
      <c r="E169" s="91"/>
      <c r="F169" s="92"/>
      <c r="G169" s="122"/>
      <c r="H169" s="121">
        <f t="shared" ref="H169:H180" si="56">SUM(C169:G169)</f>
        <v>0.8</v>
      </c>
      <c r="I169" s="151"/>
    </row>
    <row r="170" spans="1:9" x14ac:dyDescent="0.35">
      <c r="A170" t="s">
        <v>98</v>
      </c>
      <c r="B170" s="28" t="s">
        <v>67</v>
      </c>
      <c r="C170" s="76">
        <v>0.8</v>
      </c>
      <c r="D170" s="90"/>
      <c r="E170" s="91"/>
      <c r="F170" s="92"/>
      <c r="G170" s="122"/>
      <c r="H170" s="121">
        <f t="shared" si="56"/>
        <v>0.8</v>
      </c>
      <c r="I170" s="151"/>
    </row>
    <row r="171" spans="1:9" x14ac:dyDescent="0.35">
      <c r="A171" t="s">
        <v>98</v>
      </c>
      <c r="B171" s="28" t="s">
        <v>68</v>
      </c>
      <c r="C171" s="76">
        <v>0.8</v>
      </c>
      <c r="D171" s="90"/>
      <c r="E171" s="91"/>
      <c r="F171" s="92"/>
      <c r="G171" s="122"/>
      <c r="H171" s="121">
        <f t="shared" si="56"/>
        <v>0.8</v>
      </c>
      <c r="I171" s="151"/>
    </row>
    <row r="172" spans="1:9" x14ac:dyDescent="0.35">
      <c r="A172" t="s">
        <v>98</v>
      </c>
      <c r="B172" s="28" t="s">
        <v>69</v>
      </c>
      <c r="C172" s="76">
        <v>0.8</v>
      </c>
      <c r="D172" s="95"/>
      <c r="E172" s="96"/>
      <c r="F172" s="92"/>
      <c r="G172" s="122"/>
      <c r="H172" s="121">
        <f t="shared" si="56"/>
        <v>0.8</v>
      </c>
      <c r="I172" s="151"/>
    </row>
    <row r="173" spans="1:9" x14ac:dyDescent="0.35">
      <c r="A173" t="s">
        <v>98</v>
      </c>
      <c r="B173" s="28" t="s">
        <v>70</v>
      </c>
      <c r="C173" s="76">
        <v>0.8</v>
      </c>
      <c r="D173" s="90"/>
      <c r="E173" s="91"/>
      <c r="F173" s="92"/>
      <c r="G173" s="122"/>
      <c r="H173" s="121">
        <f t="shared" si="56"/>
        <v>0.8</v>
      </c>
      <c r="I173" s="151"/>
    </row>
    <row r="174" spans="1:9" x14ac:dyDescent="0.35">
      <c r="A174" t="s">
        <v>98</v>
      </c>
      <c r="B174" s="28" t="s">
        <v>71</v>
      </c>
      <c r="C174" s="76">
        <v>0.8</v>
      </c>
      <c r="D174" s="90"/>
      <c r="E174" s="91"/>
      <c r="F174" s="92"/>
      <c r="G174" s="122"/>
      <c r="H174" s="121">
        <f t="shared" si="56"/>
        <v>0.8</v>
      </c>
      <c r="I174" s="151"/>
    </row>
    <row r="175" spans="1:9" x14ac:dyDescent="0.35">
      <c r="A175" t="s">
        <v>98</v>
      </c>
      <c r="B175" s="28" t="s">
        <v>72</v>
      </c>
      <c r="C175" s="76">
        <v>0.8</v>
      </c>
      <c r="D175" s="90"/>
      <c r="E175" s="91"/>
      <c r="F175" s="92"/>
      <c r="G175" s="122"/>
      <c r="H175" s="121">
        <f t="shared" si="56"/>
        <v>0.8</v>
      </c>
      <c r="I175" s="151"/>
    </row>
    <row r="176" spans="1:9" x14ac:dyDescent="0.35">
      <c r="A176" t="s">
        <v>98</v>
      </c>
      <c r="B176" s="28" t="s">
        <v>73</v>
      </c>
      <c r="C176" s="76">
        <v>0.8</v>
      </c>
      <c r="D176" s="90"/>
      <c r="E176" s="91"/>
      <c r="F176" s="92"/>
      <c r="G176" s="122"/>
      <c r="H176" s="121">
        <f t="shared" si="56"/>
        <v>0.8</v>
      </c>
      <c r="I176" s="151"/>
    </row>
    <row r="177" spans="1:9" x14ac:dyDescent="0.35">
      <c r="A177" t="s">
        <v>98</v>
      </c>
      <c r="B177" s="28" t="s">
        <v>74</v>
      </c>
      <c r="C177" s="76">
        <v>0.8</v>
      </c>
      <c r="D177" s="90"/>
      <c r="E177" s="91"/>
      <c r="F177" s="92"/>
      <c r="G177" s="122"/>
      <c r="H177" s="121">
        <f t="shared" si="56"/>
        <v>0.8</v>
      </c>
      <c r="I177" s="151"/>
    </row>
    <row r="178" spans="1:9" x14ac:dyDescent="0.35">
      <c r="A178" t="s">
        <v>98</v>
      </c>
      <c r="B178" s="28" t="s">
        <v>75</v>
      </c>
      <c r="C178" s="76">
        <v>0.8</v>
      </c>
      <c r="D178" s="90"/>
      <c r="E178" s="91"/>
      <c r="F178" s="92"/>
      <c r="G178" s="122"/>
      <c r="H178" s="121">
        <f t="shared" si="56"/>
        <v>0.8</v>
      </c>
      <c r="I178" s="151"/>
    </row>
    <row r="179" spans="1:9" x14ac:dyDescent="0.35">
      <c r="A179" t="s">
        <v>98</v>
      </c>
      <c r="B179" s="28" t="s">
        <v>76</v>
      </c>
      <c r="C179" s="76">
        <v>0.8</v>
      </c>
      <c r="D179" s="90"/>
      <c r="E179" s="91"/>
      <c r="F179" s="92"/>
      <c r="G179" s="122"/>
      <c r="H179" s="121">
        <f t="shared" si="56"/>
        <v>0.8</v>
      </c>
      <c r="I179" s="151"/>
    </row>
    <row r="180" spans="1:9" ht="15" thickBot="1" x14ac:dyDescent="0.4">
      <c r="A180" t="s">
        <v>98</v>
      </c>
      <c r="B180" s="29" t="s">
        <v>77</v>
      </c>
      <c r="C180" s="126">
        <v>0.8</v>
      </c>
      <c r="D180" s="103"/>
      <c r="E180" s="105"/>
      <c r="F180" s="107"/>
      <c r="G180" s="127"/>
      <c r="H180" s="128">
        <f t="shared" si="56"/>
        <v>0.8</v>
      </c>
      <c r="I180" s="151"/>
    </row>
    <row r="181" spans="1:9" ht="15" thickBot="1" x14ac:dyDescent="0.4">
      <c r="B181" s="30"/>
      <c r="C181" s="31"/>
      <c r="D181" s="31"/>
      <c r="E181" s="31"/>
      <c r="F181" s="31"/>
      <c r="G181" s="31"/>
      <c r="H181" s="31"/>
    </row>
    <row r="182" spans="1:9" ht="15" thickBot="1" x14ac:dyDescent="0.4">
      <c r="A182" t="s">
        <v>100</v>
      </c>
      <c r="B182" s="123" t="s">
        <v>63</v>
      </c>
      <c r="C182" s="115">
        <f>SUM(C183:C209)</f>
        <v>590.4</v>
      </c>
      <c r="D182" s="115">
        <f t="shared" ref="D182" si="57">SUM(D183:D209)</f>
        <v>0</v>
      </c>
      <c r="E182" s="115">
        <f t="shared" ref="E182" si="58">SUM(E183:E209)</f>
        <v>0</v>
      </c>
      <c r="F182" s="115">
        <f t="shared" ref="F182" si="59">SUM(F183:F209)</f>
        <v>0</v>
      </c>
      <c r="G182" s="115">
        <f t="shared" ref="G182" si="60">SUM(G183:G209)</f>
        <v>0</v>
      </c>
      <c r="H182" s="115">
        <f>SUM(H183:H209)</f>
        <v>590.4</v>
      </c>
      <c r="I182" s="150" t="s">
        <v>101</v>
      </c>
    </row>
    <row r="183" spans="1:9" x14ac:dyDescent="0.35">
      <c r="A183" t="s">
        <v>100</v>
      </c>
      <c r="B183" s="124" t="s">
        <v>65</v>
      </c>
      <c r="C183" s="116">
        <v>0.8</v>
      </c>
      <c r="D183" s="117"/>
      <c r="E183" s="118"/>
      <c r="F183" s="119"/>
      <c r="G183" s="120"/>
      <c r="H183" s="125">
        <f>SUM(C183:G183)</f>
        <v>0.8</v>
      </c>
      <c r="I183" s="151"/>
    </row>
    <row r="184" spans="1:9" x14ac:dyDescent="0.35">
      <c r="A184" t="s">
        <v>100</v>
      </c>
      <c r="B184" s="28" t="s">
        <v>66</v>
      </c>
      <c r="C184" s="76">
        <v>0.8</v>
      </c>
      <c r="D184" s="90"/>
      <c r="E184" s="91"/>
      <c r="F184" s="92"/>
      <c r="G184" s="122"/>
      <c r="H184" s="121">
        <f t="shared" ref="H184:H195" si="61">SUM(C184:G184)</f>
        <v>0.8</v>
      </c>
      <c r="I184" s="151"/>
    </row>
    <row r="185" spans="1:9" x14ac:dyDescent="0.35">
      <c r="A185" t="s">
        <v>100</v>
      </c>
      <c r="B185" s="28" t="s">
        <v>67</v>
      </c>
      <c r="C185" s="76">
        <v>0.8</v>
      </c>
      <c r="D185" s="90"/>
      <c r="E185" s="91"/>
      <c r="F185" s="92"/>
      <c r="G185" s="122"/>
      <c r="H185" s="121">
        <f t="shared" si="61"/>
        <v>0.8</v>
      </c>
      <c r="I185" s="151"/>
    </row>
    <row r="186" spans="1:9" x14ac:dyDescent="0.35">
      <c r="A186" t="s">
        <v>100</v>
      </c>
      <c r="B186" s="28" t="s">
        <v>68</v>
      </c>
      <c r="C186" s="76">
        <v>0.8</v>
      </c>
      <c r="D186" s="90"/>
      <c r="E186" s="91"/>
      <c r="F186" s="92"/>
      <c r="G186" s="122"/>
      <c r="H186" s="121">
        <f t="shared" si="61"/>
        <v>0.8</v>
      </c>
      <c r="I186" s="151"/>
    </row>
    <row r="187" spans="1:9" x14ac:dyDescent="0.35">
      <c r="A187" t="s">
        <v>100</v>
      </c>
      <c r="B187" s="28" t="s">
        <v>69</v>
      </c>
      <c r="C187" s="76">
        <v>0.8</v>
      </c>
      <c r="D187" s="95"/>
      <c r="E187" s="96"/>
      <c r="F187" s="92"/>
      <c r="G187" s="122"/>
      <c r="H187" s="121">
        <f t="shared" si="61"/>
        <v>0.8</v>
      </c>
      <c r="I187" s="151"/>
    </row>
    <row r="188" spans="1:9" x14ac:dyDescent="0.35">
      <c r="A188" t="s">
        <v>100</v>
      </c>
      <c r="B188" s="28" t="s">
        <v>70</v>
      </c>
      <c r="C188" s="76">
        <v>0.8</v>
      </c>
      <c r="D188" s="90"/>
      <c r="E188" s="91"/>
      <c r="F188" s="92"/>
      <c r="G188" s="122"/>
      <c r="H188" s="121">
        <f t="shared" si="61"/>
        <v>0.8</v>
      </c>
      <c r="I188" s="151"/>
    </row>
    <row r="189" spans="1:9" x14ac:dyDescent="0.35">
      <c r="A189" t="s">
        <v>100</v>
      </c>
      <c r="B189" s="28" t="s">
        <v>71</v>
      </c>
      <c r="C189" s="76">
        <v>0.8</v>
      </c>
      <c r="D189" s="90"/>
      <c r="E189" s="91"/>
      <c r="F189" s="92"/>
      <c r="G189" s="122"/>
      <c r="H189" s="121">
        <f t="shared" si="61"/>
        <v>0.8</v>
      </c>
      <c r="I189" s="151"/>
    </row>
    <row r="190" spans="1:9" x14ac:dyDescent="0.35">
      <c r="A190" t="s">
        <v>100</v>
      </c>
      <c r="B190" s="28" t="s">
        <v>72</v>
      </c>
      <c r="C190" s="76">
        <v>0.8</v>
      </c>
      <c r="D190" s="90"/>
      <c r="E190" s="91"/>
      <c r="F190" s="92"/>
      <c r="G190" s="122"/>
      <c r="H190" s="121">
        <f t="shared" si="61"/>
        <v>0.8</v>
      </c>
      <c r="I190" s="151"/>
    </row>
    <row r="191" spans="1:9" x14ac:dyDescent="0.35">
      <c r="A191" t="s">
        <v>100</v>
      </c>
      <c r="B191" s="28" t="s">
        <v>73</v>
      </c>
      <c r="C191" s="76">
        <v>0.8</v>
      </c>
      <c r="D191" s="90"/>
      <c r="E191" s="91"/>
      <c r="F191" s="92"/>
      <c r="G191" s="122"/>
      <c r="H191" s="121">
        <f t="shared" si="61"/>
        <v>0.8</v>
      </c>
      <c r="I191" s="151"/>
    </row>
    <row r="192" spans="1:9" x14ac:dyDescent="0.35">
      <c r="A192" t="s">
        <v>100</v>
      </c>
      <c r="B192" s="28" t="s">
        <v>74</v>
      </c>
      <c r="C192" s="76">
        <v>0.8</v>
      </c>
      <c r="D192" s="90"/>
      <c r="E192" s="91"/>
      <c r="F192" s="92"/>
      <c r="G192" s="122"/>
      <c r="H192" s="121">
        <f t="shared" si="61"/>
        <v>0.8</v>
      </c>
      <c r="I192" s="151"/>
    </row>
    <row r="193" spans="1:9" x14ac:dyDescent="0.35">
      <c r="A193" t="s">
        <v>100</v>
      </c>
      <c r="B193" s="28" t="s">
        <v>75</v>
      </c>
      <c r="C193" s="76">
        <v>0.8</v>
      </c>
      <c r="D193" s="90"/>
      <c r="E193" s="91"/>
      <c r="F193" s="92"/>
      <c r="G193" s="122"/>
      <c r="H193" s="121">
        <f t="shared" si="61"/>
        <v>0.8</v>
      </c>
      <c r="I193" s="151"/>
    </row>
    <row r="194" spans="1:9" x14ac:dyDescent="0.35">
      <c r="A194" t="s">
        <v>100</v>
      </c>
      <c r="B194" s="28" t="s">
        <v>76</v>
      </c>
      <c r="C194" s="76">
        <v>0.8</v>
      </c>
      <c r="D194" s="90"/>
      <c r="E194" s="91"/>
      <c r="F194" s="92"/>
      <c r="G194" s="122"/>
      <c r="H194" s="121">
        <f t="shared" si="61"/>
        <v>0.8</v>
      </c>
      <c r="I194" s="151"/>
    </row>
    <row r="195" spans="1:9" ht="15" thickBot="1" x14ac:dyDescent="0.4">
      <c r="A195" t="s">
        <v>100</v>
      </c>
      <c r="B195" s="29" t="s">
        <v>77</v>
      </c>
      <c r="C195" s="126">
        <v>0.8</v>
      </c>
      <c r="D195" s="103"/>
      <c r="E195" s="105"/>
      <c r="F195" s="107"/>
      <c r="G195" s="127"/>
      <c r="H195" s="128">
        <f t="shared" si="61"/>
        <v>0.8</v>
      </c>
      <c r="I195" s="151"/>
    </row>
    <row r="196" spans="1:9" ht="15" thickBot="1" x14ac:dyDescent="0.4">
      <c r="B196" s="30"/>
      <c r="C196" s="31"/>
      <c r="D196" s="31"/>
      <c r="E196" s="31"/>
      <c r="F196" s="31"/>
      <c r="G196" s="31"/>
      <c r="H196" s="31"/>
    </row>
    <row r="197" spans="1:9" ht="15" thickBot="1" x14ac:dyDescent="0.4">
      <c r="A197" t="s">
        <v>102</v>
      </c>
      <c r="B197" s="123" t="s">
        <v>63</v>
      </c>
      <c r="C197" s="115">
        <f>SUM(C198:C224)</f>
        <v>570.40000000000055</v>
      </c>
      <c r="D197" s="115">
        <f t="shared" ref="D197" si="62">SUM(D198:D224)</f>
        <v>0</v>
      </c>
      <c r="E197" s="115">
        <f t="shared" ref="E197" si="63">SUM(E198:E224)</f>
        <v>0</v>
      </c>
      <c r="F197" s="115">
        <f t="shared" ref="F197" si="64">SUM(F198:F224)</f>
        <v>0</v>
      </c>
      <c r="G197" s="115">
        <f t="shared" ref="G197" si="65">SUM(G198:G224)</f>
        <v>0</v>
      </c>
      <c r="H197" s="115">
        <f>SUM(H198:H224)</f>
        <v>570.40000000000055</v>
      </c>
      <c r="I197" s="150" t="s">
        <v>103</v>
      </c>
    </row>
    <row r="198" spans="1:9" x14ac:dyDescent="0.35">
      <c r="A198" t="s">
        <v>102</v>
      </c>
      <c r="B198" s="124" t="s">
        <v>65</v>
      </c>
      <c r="C198" s="116">
        <v>0.8</v>
      </c>
      <c r="D198" s="117"/>
      <c r="E198" s="118"/>
      <c r="F198" s="119"/>
      <c r="G198" s="120"/>
      <c r="H198" s="125">
        <f>SUM(C198:G198)</f>
        <v>0.8</v>
      </c>
      <c r="I198" s="151"/>
    </row>
    <row r="199" spans="1:9" x14ac:dyDescent="0.35">
      <c r="A199" t="s">
        <v>102</v>
      </c>
      <c r="B199" s="28" t="s">
        <v>66</v>
      </c>
      <c r="C199" s="76">
        <v>0.8</v>
      </c>
      <c r="D199" s="90"/>
      <c r="E199" s="91"/>
      <c r="F199" s="92"/>
      <c r="G199" s="122"/>
      <c r="H199" s="121">
        <f t="shared" ref="H199:H210" si="66">SUM(C199:G199)</f>
        <v>0.8</v>
      </c>
      <c r="I199" s="151"/>
    </row>
    <row r="200" spans="1:9" x14ac:dyDescent="0.35">
      <c r="A200" t="s">
        <v>102</v>
      </c>
      <c r="B200" s="28" t="s">
        <v>67</v>
      </c>
      <c r="C200" s="76">
        <v>0.8</v>
      </c>
      <c r="D200" s="90"/>
      <c r="E200" s="91"/>
      <c r="F200" s="92"/>
      <c r="G200" s="122"/>
      <c r="H200" s="121">
        <f t="shared" si="66"/>
        <v>0.8</v>
      </c>
      <c r="I200" s="151"/>
    </row>
    <row r="201" spans="1:9" x14ac:dyDescent="0.35">
      <c r="A201" t="s">
        <v>102</v>
      </c>
      <c r="B201" s="28" t="s">
        <v>68</v>
      </c>
      <c r="C201" s="76">
        <v>0.8</v>
      </c>
      <c r="D201" s="90"/>
      <c r="E201" s="91"/>
      <c r="F201" s="92"/>
      <c r="G201" s="122"/>
      <c r="H201" s="121">
        <f t="shared" si="66"/>
        <v>0.8</v>
      </c>
      <c r="I201" s="151"/>
    </row>
    <row r="202" spans="1:9" x14ac:dyDescent="0.35">
      <c r="A202" t="s">
        <v>102</v>
      </c>
      <c r="B202" s="28" t="s">
        <v>69</v>
      </c>
      <c r="C202" s="76">
        <v>0.8</v>
      </c>
      <c r="D202" s="95"/>
      <c r="E202" s="96"/>
      <c r="F202" s="92"/>
      <c r="G202" s="122"/>
      <c r="H202" s="121">
        <f t="shared" si="66"/>
        <v>0.8</v>
      </c>
      <c r="I202" s="151"/>
    </row>
    <row r="203" spans="1:9" x14ac:dyDescent="0.35">
      <c r="A203" t="s">
        <v>102</v>
      </c>
      <c r="B203" s="28" t="s">
        <v>70</v>
      </c>
      <c r="C203" s="76">
        <v>0.8</v>
      </c>
      <c r="D203" s="90"/>
      <c r="E203" s="91"/>
      <c r="F203" s="92"/>
      <c r="G203" s="122"/>
      <c r="H203" s="121">
        <f t="shared" si="66"/>
        <v>0.8</v>
      </c>
      <c r="I203" s="151"/>
    </row>
    <row r="204" spans="1:9" x14ac:dyDescent="0.35">
      <c r="A204" t="s">
        <v>102</v>
      </c>
      <c r="B204" s="28" t="s">
        <v>71</v>
      </c>
      <c r="C204" s="76">
        <v>0.8</v>
      </c>
      <c r="D204" s="90"/>
      <c r="E204" s="91"/>
      <c r="F204" s="92"/>
      <c r="G204" s="122"/>
      <c r="H204" s="121">
        <f t="shared" si="66"/>
        <v>0.8</v>
      </c>
      <c r="I204" s="151"/>
    </row>
    <row r="205" spans="1:9" x14ac:dyDescent="0.35">
      <c r="A205" t="s">
        <v>102</v>
      </c>
      <c r="B205" s="28" t="s">
        <v>72</v>
      </c>
      <c r="C205" s="76">
        <v>0.8</v>
      </c>
      <c r="D205" s="90"/>
      <c r="E205" s="91"/>
      <c r="F205" s="92"/>
      <c r="G205" s="122"/>
      <c r="H205" s="121">
        <f t="shared" si="66"/>
        <v>0.8</v>
      </c>
      <c r="I205" s="151"/>
    </row>
    <row r="206" spans="1:9" x14ac:dyDescent="0.35">
      <c r="A206" t="s">
        <v>102</v>
      </c>
      <c r="B206" s="28" t="s">
        <v>73</v>
      </c>
      <c r="C206" s="76">
        <v>0.8</v>
      </c>
      <c r="D206" s="90"/>
      <c r="E206" s="91"/>
      <c r="F206" s="92"/>
      <c r="G206" s="122"/>
      <c r="H206" s="121">
        <f t="shared" si="66"/>
        <v>0.8</v>
      </c>
      <c r="I206" s="151"/>
    </row>
    <row r="207" spans="1:9" x14ac:dyDescent="0.35">
      <c r="A207" t="s">
        <v>102</v>
      </c>
      <c r="B207" s="28" t="s">
        <v>74</v>
      </c>
      <c r="C207" s="76">
        <v>0.8</v>
      </c>
      <c r="D207" s="90"/>
      <c r="E207" s="91"/>
      <c r="F207" s="92"/>
      <c r="G207" s="122"/>
      <c r="H207" s="121">
        <f t="shared" si="66"/>
        <v>0.8</v>
      </c>
      <c r="I207" s="151"/>
    </row>
    <row r="208" spans="1:9" x14ac:dyDescent="0.35">
      <c r="A208" t="s">
        <v>102</v>
      </c>
      <c r="B208" s="28" t="s">
        <v>75</v>
      </c>
      <c r="C208" s="76">
        <v>0.8</v>
      </c>
      <c r="D208" s="90"/>
      <c r="E208" s="91"/>
      <c r="F208" s="92"/>
      <c r="G208" s="122"/>
      <c r="H208" s="121">
        <f t="shared" si="66"/>
        <v>0.8</v>
      </c>
      <c r="I208" s="151"/>
    </row>
    <row r="209" spans="1:9" x14ac:dyDescent="0.35">
      <c r="A209" t="s">
        <v>102</v>
      </c>
      <c r="B209" s="28" t="s">
        <v>76</v>
      </c>
      <c r="C209" s="76">
        <v>0.8</v>
      </c>
      <c r="D209" s="90"/>
      <c r="E209" s="91"/>
      <c r="F209" s="92"/>
      <c r="G209" s="122"/>
      <c r="H209" s="121">
        <f t="shared" si="66"/>
        <v>0.8</v>
      </c>
      <c r="I209" s="151"/>
    </row>
    <row r="210" spans="1:9" ht="15" thickBot="1" x14ac:dyDescent="0.4">
      <c r="A210" t="s">
        <v>102</v>
      </c>
      <c r="B210" s="29" t="s">
        <v>77</v>
      </c>
      <c r="C210" s="126">
        <v>0.8</v>
      </c>
      <c r="D210" s="103"/>
      <c r="E210" s="105"/>
      <c r="F210" s="107"/>
      <c r="G210" s="127"/>
      <c r="H210" s="128">
        <f t="shared" si="66"/>
        <v>0.8</v>
      </c>
      <c r="I210" s="151"/>
    </row>
    <row r="211" spans="1:9" ht="15" thickBot="1" x14ac:dyDescent="0.4">
      <c r="B211" s="30"/>
      <c r="C211" s="31"/>
      <c r="D211" s="31"/>
      <c r="E211" s="31"/>
      <c r="F211" s="31"/>
      <c r="G211" s="31"/>
      <c r="H211" s="31"/>
    </row>
    <row r="212" spans="1:9" ht="15" thickBot="1" x14ac:dyDescent="0.4">
      <c r="A212" t="s">
        <v>104</v>
      </c>
      <c r="B212" s="123" t="s">
        <v>63</v>
      </c>
      <c r="C212" s="115">
        <f>SUM(C213:C239)</f>
        <v>550.40000000000111</v>
      </c>
      <c r="D212" s="115">
        <f t="shared" ref="D212" si="67">SUM(D213:D239)</f>
        <v>0</v>
      </c>
      <c r="E212" s="115">
        <f t="shared" ref="E212" si="68">SUM(E213:E239)</f>
        <v>0</v>
      </c>
      <c r="F212" s="115">
        <f t="shared" ref="F212" si="69">SUM(F213:F239)</f>
        <v>0</v>
      </c>
      <c r="G212" s="115">
        <f t="shared" ref="G212" si="70">SUM(G213:G239)</f>
        <v>0</v>
      </c>
      <c r="H212" s="115">
        <f>SUM(H213:H239)</f>
        <v>550.40000000000111</v>
      </c>
      <c r="I212" s="150" t="s">
        <v>105</v>
      </c>
    </row>
    <row r="213" spans="1:9" x14ac:dyDescent="0.35">
      <c r="A213" t="s">
        <v>104</v>
      </c>
      <c r="B213" s="124" t="s">
        <v>65</v>
      </c>
      <c r="C213" s="116">
        <v>0.8</v>
      </c>
      <c r="D213" s="117"/>
      <c r="E213" s="118"/>
      <c r="F213" s="119"/>
      <c r="G213" s="120"/>
      <c r="H213" s="125">
        <f>SUM(C213:G213)</f>
        <v>0.8</v>
      </c>
      <c r="I213" s="151"/>
    </row>
    <row r="214" spans="1:9" x14ac:dyDescent="0.35">
      <c r="A214" t="s">
        <v>104</v>
      </c>
      <c r="B214" s="28" t="s">
        <v>66</v>
      </c>
      <c r="C214" s="76">
        <v>0.8</v>
      </c>
      <c r="D214" s="90"/>
      <c r="E214" s="91"/>
      <c r="F214" s="92"/>
      <c r="G214" s="122"/>
      <c r="H214" s="121">
        <f t="shared" ref="H214:H225" si="71">SUM(C214:G214)</f>
        <v>0.8</v>
      </c>
      <c r="I214" s="151"/>
    </row>
    <row r="215" spans="1:9" x14ac:dyDescent="0.35">
      <c r="A215" t="s">
        <v>104</v>
      </c>
      <c r="B215" s="28" t="s">
        <v>67</v>
      </c>
      <c r="C215" s="76">
        <v>0.8</v>
      </c>
      <c r="D215" s="90"/>
      <c r="E215" s="91"/>
      <c r="F215" s="92"/>
      <c r="G215" s="122"/>
      <c r="H215" s="121">
        <f t="shared" si="71"/>
        <v>0.8</v>
      </c>
      <c r="I215" s="151"/>
    </row>
    <row r="216" spans="1:9" x14ac:dyDescent="0.35">
      <c r="A216" t="s">
        <v>104</v>
      </c>
      <c r="B216" s="28" t="s">
        <v>68</v>
      </c>
      <c r="C216" s="76">
        <v>0.8</v>
      </c>
      <c r="D216" s="90"/>
      <c r="E216" s="91"/>
      <c r="F216" s="92"/>
      <c r="G216" s="122"/>
      <c r="H216" s="121">
        <f t="shared" si="71"/>
        <v>0.8</v>
      </c>
      <c r="I216" s="151"/>
    </row>
    <row r="217" spans="1:9" x14ac:dyDescent="0.35">
      <c r="A217" t="s">
        <v>104</v>
      </c>
      <c r="B217" s="28" t="s">
        <v>69</v>
      </c>
      <c r="C217" s="76">
        <v>0.8</v>
      </c>
      <c r="D217" s="95"/>
      <c r="E217" s="96"/>
      <c r="F217" s="92"/>
      <c r="G217" s="122"/>
      <c r="H217" s="121">
        <f t="shared" si="71"/>
        <v>0.8</v>
      </c>
      <c r="I217" s="151"/>
    </row>
    <row r="218" spans="1:9" x14ac:dyDescent="0.35">
      <c r="A218" t="s">
        <v>104</v>
      </c>
      <c r="B218" s="28" t="s">
        <v>70</v>
      </c>
      <c r="C218" s="76">
        <v>0.8</v>
      </c>
      <c r="D218" s="90"/>
      <c r="E218" s="91"/>
      <c r="F218" s="92"/>
      <c r="G218" s="122"/>
      <c r="H218" s="121">
        <f t="shared" si="71"/>
        <v>0.8</v>
      </c>
      <c r="I218" s="151"/>
    </row>
    <row r="219" spans="1:9" x14ac:dyDescent="0.35">
      <c r="A219" t="s">
        <v>104</v>
      </c>
      <c r="B219" s="28" t="s">
        <v>71</v>
      </c>
      <c r="C219" s="76">
        <v>0.8</v>
      </c>
      <c r="D219" s="90"/>
      <c r="E219" s="91"/>
      <c r="F219" s="92"/>
      <c r="G219" s="122"/>
      <c r="H219" s="121">
        <f t="shared" si="71"/>
        <v>0.8</v>
      </c>
      <c r="I219" s="151"/>
    </row>
    <row r="220" spans="1:9" x14ac:dyDescent="0.35">
      <c r="A220" t="s">
        <v>104</v>
      </c>
      <c r="B220" s="28" t="s">
        <v>72</v>
      </c>
      <c r="C220" s="76">
        <v>0.8</v>
      </c>
      <c r="D220" s="90"/>
      <c r="E220" s="91"/>
      <c r="F220" s="92"/>
      <c r="G220" s="122"/>
      <c r="H220" s="121">
        <f t="shared" si="71"/>
        <v>0.8</v>
      </c>
      <c r="I220" s="151"/>
    </row>
    <row r="221" spans="1:9" x14ac:dyDescent="0.35">
      <c r="A221" t="s">
        <v>104</v>
      </c>
      <c r="B221" s="28" t="s">
        <v>73</v>
      </c>
      <c r="C221" s="76">
        <v>0.8</v>
      </c>
      <c r="D221" s="90"/>
      <c r="E221" s="91"/>
      <c r="F221" s="92"/>
      <c r="G221" s="122"/>
      <c r="H221" s="121">
        <f t="shared" si="71"/>
        <v>0.8</v>
      </c>
      <c r="I221" s="151"/>
    </row>
    <row r="222" spans="1:9" x14ac:dyDescent="0.35">
      <c r="A222" t="s">
        <v>104</v>
      </c>
      <c r="B222" s="28" t="s">
        <v>74</v>
      </c>
      <c r="C222" s="76">
        <v>0.8</v>
      </c>
      <c r="D222" s="90"/>
      <c r="E222" s="91"/>
      <c r="F222" s="92"/>
      <c r="G222" s="122"/>
      <c r="H222" s="121">
        <f t="shared" si="71"/>
        <v>0.8</v>
      </c>
      <c r="I222" s="151"/>
    </row>
    <row r="223" spans="1:9" x14ac:dyDescent="0.35">
      <c r="A223" t="s">
        <v>104</v>
      </c>
      <c r="B223" s="28" t="s">
        <v>75</v>
      </c>
      <c r="C223" s="76">
        <v>0.8</v>
      </c>
      <c r="D223" s="90"/>
      <c r="E223" s="91"/>
      <c r="F223" s="92"/>
      <c r="G223" s="122"/>
      <c r="H223" s="121">
        <f t="shared" si="71"/>
        <v>0.8</v>
      </c>
      <c r="I223" s="151"/>
    </row>
    <row r="224" spans="1:9" x14ac:dyDescent="0.35">
      <c r="A224" t="s">
        <v>104</v>
      </c>
      <c r="B224" s="28" t="s">
        <v>76</v>
      </c>
      <c r="C224" s="76">
        <v>0.8</v>
      </c>
      <c r="D224" s="90"/>
      <c r="E224" s="91"/>
      <c r="F224" s="92"/>
      <c r="G224" s="122"/>
      <c r="H224" s="121">
        <f t="shared" si="71"/>
        <v>0.8</v>
      </c>
      <c r="I224" s="151"/>
    </row>
    <row r="225" spans="1:9" ht="15" thickBot="1" x14ac:dyDescent="0.4">
      <c r="A225" t="s">
        <v>104</v>
      </c>
      <c r="B225" s="29" t="s">
        <v>77</v>
      </c>
      <c r="C225" s="126">
        <v>0.8</v>
      </c>
      <c r="D225" s="103"/>
      <c r="E225" s="105"/>
      <c r="F225" s="107"/>
      <c r="G225" s="127"/>
      <c r="H225" s="128">
        <f t="shared" si="71"/>
        <v>0.8</v>
      </c>
      <c r="I225" s="151"/>
    </row>
    <row r="226" spans="1:9" ht="15" thickBot="1" x14ac:dyDescent="0.4">
      <c r="B226" s="30"/>
      <c r="C226" s="31"/>
      <c r="D226" s="31"/>
      <c r="E226" s="31"/>
      <c r="F226" s="31"/>
      <c r="G226" s="31"/>
      <c r="H226" s="31"/>
    </row>
    <row r="227" spans="1:9" ht="15" thickBot="1" x14ac:dyDescent="0.4">
      <c r="A227" t="s">
        <v>106</v>
      </c>
      <c r="B227" s="123" t="s">
        <v>63</v>
      </c>
      <c r="C227" s="115">
        <f>SUM(C228:C254)</f>
        <v>530.40000000000168</v>
      </c>
      <c r="D227" s="115">
        <f t="shared" ref="D227" si="72">SUM(D228:D254)</f>
        <v>0</v>
      </c>
      <c r="E227" s="115">
        <f t="shared" ref="E227" si="73">SUM(E228:E254)</f>
        <v>0</v>
      </c>
      <c r="F227" s="115">
        <f t="shared" ref="F227" si="74">SUM(F228:F254)</f>
        <v>0</v>
      </c>
      <c r="G227" s="115">
        <f t="shared" ref="G227" si="75">SUM(G228:G254)</f>
        <v>0</v>
      </c>
      <c r="H227" s="115">
        <f>SUM(H228:H254)</f>
        <v>530.40000000000168</v>
      </c>
      <c r="I227" s="150" t="s">
        <v>107</v>
      </c>
    </row>
    <row r="228" spans="1:9" x14ac:dyDescent="0.35">
      <c r="A228" t="s">
        <v>106</v>
      </c>
      <c r="B228" s="124" t="s">
        <v>65</v>
      </c>
      <c r="C228" s="116">
        <v>0.8</v>
      </c>
      <c r="D228" s="117"/>
      <c r="E228" s="118"/>
      <c r="F228" s="119"/>
      <c r="G228" s="120"/>
      <c r="H228" s="125">
        <f>SUM(C228:G228)</f>
        <v>0.8</v>
      </c>
      <c r="I228" s="151"/>
    </row>
    <row r="229" spans="1:9" x14ac:dyDescent="0.35">
      <c r="A229" t="s">
        <v>106</v>
      </c>
      <c r="B229" s="28" t="s">
        <v>66</v>
      </c>
      <c r="C229" s="76">
        <v>0.8</v>
      </c>
      <c r="D229" s="90"/>
      <c r="E229" s="91"/>
      <c r="F229" s="92"/>
      <c r="G229" s="122"/>
      <c r="H229" s="121">
        <f t="shared" ref="H229:H240" si="76">SUM(C229:G229)</f>
        <v>0.8</v>
      </c>
      <c r="I229" s="151"/>
    </row>
    <row r="230" spans="1:9" x14ac:dyDescent="0.35">
      <c r="A230" t="s">
        <v>106</v>
      </c>
      <c r="B230" s="28" t="s">
        <v>67</v>
      </c>
      <c r="C230" s="76">
        <v>0.8</v>
      </c>
      <c r="D230" s="90"/>
      <c r="E230" s="91"/>
      <c r="F230" s="92"/>
      <c r="G230" s="122"/>
      <c r="H230" s="121">
        <f t="shared" si="76"/>
        <v>0.8</v>
      </c>
      <c r="I230" s="151"/>
    </row>
    <row r="231" spans="1:9" x14ac:dyDescent="0.35">
      <c r="A231" t="s">
        <v>106</v>
      </c>
      <c r="B231" s="28" t="s">
        <v>68</v>
      </c>
      <c r="C231" s="76">
        <v>0.8</v>
      </c>
      <c r="D231" s="90"/>
      <c r="E231" s="91"/>
      <c r="F231" s="92"/>
      <c r="G231" s="122"/>
      <c r="H231" s="121">
        <f t="shared" si="76"/>
        <v>0.8</v>
      </c>
      <c r="I231" s="151"/>
    </row>
    <row r="232" spans="1:9" x14ac:dyDescent="0.35">
      <c r="A232" t="s">
        <v>106</v>
      </c>
      <c r="B232" s="28" t="s">
        <v>69</v>
      </c>
      <c r="C232" s="76">
        <v>0.8</v>
      </c>
      <c r="D232" s="95"/>
      <c r="E232" s="96"/>
      <c r="F232" s="92"/>
      <c r="G232" s="122"/>
      <c r="H232" s="121">
        <f t="shared" si="76"/>
        <v>0.8</v>
      </c>
      <c r="I232" s="151"/>
    </row>
    <row r="233" spans="1:9" x14ac:dyDescent="0.35">
      <c r="A233" t="s">
        <v>106</v>
      </c>
      <c r="B233" s="28" t="s">
        <v>70</v>
      </c>
      <c r="C233" s="76">
        <v>0.8</v>
      </c>
      <c r="D233" s="90"/>
      <c r="E233" s="91"/>
      <c r="F233" s="92"/>
      <c r="G233" s="122"/>
      <c r="H233" s="121">
        <f t="shared" si="76"/>
        <v>0.8</v>
      </c>
      <c r="I233" s="151"/>
    </row>
    <row r="234" spans="1:9" x14ac:dyDescent="0.35">
      <c r="A234" t="s">
        <v>106</v>
      </c>
      <c r="B234" s="28" t="s">
        <v>71</v>
      </c>
      <c r="C234" s="76">
        <v>0.8</v>
      </c>
      <c r="D234" s="90"/>
      <c r="E234" s="91"/>
      <c r="F234" s="92"/>
      <c r="G234" s="122"/>
      <c r="H234" s="121">
        <f t="shared" si="76"/>
        <v>0.8</v>
      </c>
      <c r="I234" s="151"/>
    </row>
    <row r="235" spans="1:9" x14ac:dyDescent="0.35">
      <c r="A235" t="s">
        <v>106</v>
      </c>
      <c r="B235" s="28" t="s">
        <v>72</v>
      </c>
      <c r="C235" s="76">
        <v>0.8</v>
      </c>
      <c r="D235" s="90"/>
      <c r="E235" s="91"/>
      <c r="F235" s="92"/>
      <c r="G235" s="122"/>
      <c r="H235" s="121">
        <f t="shared" si="76"/>
        <v>0.8</v>
      </c>
      <c r="I235" s="151"/>
    </row>
    <row r="236" spans="1:9" x14ac:dyDescent="0.35">
      <c r="A236" t="s">
        <v>106</v>
      </c>
      <c r="B236" s="28" t="s">
        <v>73</v>
      </c>
      <c r="C236" s="76">
        <v>0.8</v>
      </c>
      <c r="D236" s="90"/>
      <c r="E236" s="91"/>
      <c r="F236" s="92"/>
      <c r="G236" s="122"/>
      <c r="H236" s="121">
        <f t="shared" si="76"/>
        <v>0.8</v>
      </c>
      <c r="I236" s="151"/>
    </row>
    <row r="237" spans="1:9" x14ac:dyDescent="0.35">
      <c r="A237" t="s">
        <v>106</v>
      </c>
      <c r="B237" s="28" t="s">
        <v>74</v>
      </c>
      <c r="C237" s="76">
        <v>0.8</v>
      </c>
      <c r="D237" s="90"/>
      <c r="E237" s="91"/>
      <c r="F237" s="92"/>
      <c r="G237" s="122"/>
      <c r="H237" s="121">
        <f t="shared" si="76"/>
        <v>0.8</v>
      </c>
      <c r="I237" s="151"/>
    </row>
    <row r="238" spans="1:9" x14ac:dyDescent="0.35">
      <c r="A238" t="s">
        <v>106</v>
      </c>
      <c r="B238" s="28" t="s">
        <v>75</v>
      </c>
      <c r="C238" s="76">
        <v>0.8</v>
      </c>
      <c r="D238" s="90"/>
      <c r="E238" s="91"/>
      <c r="F238" s="92"/>
      <c r="G238" s="122"/>
      <c r="H238" s="121">
        <f t="shared" si="76"/>
        <v>0.8</v>
      </c>
      <c r="I238" s="151"/>
    </row>
    <row r="239" spans="1:9" x14ac:dyDescent="0.35">
      <c r="A239" t="s">
        <v>106</v>
      </c>
      <c r="B239" s="28" t="s">
        <v>76</v>
      </c>
      <c r="C239" s="76">
        <v>0.8</v>
      </c>
      <c r="D239" s="90"/>
      <c r="E239" s="91"/>
      <c r="F239" s="92"/>
      <c r="G239" s="122"/>
      <c r="H239" s="121">
        <f t="shared" si="76"/>
        <v>0.8</v>
      </c>
      <c r="I239" s="151"/>
    </row>
    <row r="240" spans="1:9" ht="15" thickBot="1" x14ac:dyDescent="0.4">
      <c r="A240" t="s">
        <v>106</v>
      </c>
      <c r="B240" s="29" t="s">
        <v>77</v>
      </c>
      <c r="C240" s="126">
        <v>0.8</v>
      </c>
      <c r="D240" s="103"/>
      <c r="E240" s="105"/>
      <c r="F240" s="107"/>
      <c r="G240" s="127"/>
      <c r="H240" s="128">
        <f t="shared" si="76"/>
        <v>0.8</v>
      </c>
      <c r="I240" s="151"/>
    </row>
    <row r="241" spans="1:9" ht="15" thickBot="1" x14ac:dyDescent="0.4">
      <c r="B241" s="30"/>
      <c r="C241" s="31"/>
      <c r="D241" s="31"/>
      <c r="E241" s="31"/>
      <c r="F241" s="31"/>
      <c r="G241" s="31"/>
      <c r="H241" s="31"/>
    </row>
    <row r="242" spans="1:9" ht="15" thickBot="1" x14ac:dyDescent="0.4">
      <c r="A242" t="s">
        <v>108</v>
      </c>
      <c r="B242" s="123" t="s">
        <v>63</v>
      </c>
      <c r="C242" s="115">
        <f>SUM(C243:C269)</f>
        <v>510.40000000000225</v>
      </c>
      <c r="D242" s="115">
        <f t="shared" ref="D242" si="77">SUM(D243:D269)</f>
        <v>0</v>
      </c>
      <c r="E242" s="115">
        <f t="shared" ref="E242" si="78">SUM(E243:E269)</f>
        <v>0</v>
      </c>
      <c r="F242" s="115">
        <f t="shared" ref="F242" si="79">SUM(F243:F269)</f>
        <v>0</v>
      </c>
      <c r="G242" s="115">
        <f t="shared" ref="G242" si="80">SUM(G243:G269)</f>
        <v>0</v>
      </c>
      <c r="H242" s="115">
        <f>SUM(H243:H269)</f>
        <v>510.40000000000225</v>
      </c>
      <c r="I242" s="150" t="s">
        <v>109</v>
      </c>
    </row>
    <row r="243" spans="1:9" x14ac:dyDescent="0.35">
      <c r="A243" t="s">
        <v>108</v>
      </c>
      <c r="B243" s="124" t="s">
        <v>65</v>
      </c>
      <c r="C243" s="116">
        <v>0.8</v>
      </c>
      <c r="D243" s="117"/>
      <c r="E243" s="118"/>
      <c r="F243" s="119"/>
      <c r="G243" s="120"/>
      <c r="H243" s="125">
        <f>SUM(C243:G243)</f>
        <v>0.8</v>
      </c>
      <c r="I243" s="151"/>
    </row>
    <row r="244" spans="1:9" x14ac:dyDescent="0.35">
      <c r="A244" t="s">
        <v>108</v>
      </c>
      <c r="B244" s="28" t="s">
        <v>66</v>
      </c>
      <c r="C244" s="76">
        <v>0.8</v>
      </c>
      <c r="D244" s="90"/>
      <c r="E244" s="91"/>
      <c r="F244" s="92"/>
      <c r="G244" s="122"/>
      <c r="H244" s="121">
        <f t="shared" ref="H244:H255" si="81">SUM(C244:G244)</f>
        <v>0.8</v>
      </c>
      <c r="I244" s="151"/>
    </row>
    <row r="245" spans="1:9" x14ac:dyDescent="0.35">
      <c r="A245" t="s">
        <v>108</v>
      </c>
      <c r="B245" s="28" t="s">
        <v>67</v>
      </c>
      <c r="C245" s="76">
        <v>0.8</v>
      </c>
      <c r="D245" s="90"/>
      <c r="E245" s="91"/>
      <c r="F245" s="92"/>
      <c r="G245" s="122"/>
      <c r="H245" s="121">
        <f t="shared" si="81"/>
        <v>0.8</v>
      </c>
      <c r="I245" s="151"/>
    </row>
    <row r="246" spans="1:9" x14ac:dyDescent="0.35">
      <c r="A246" t="s">
        <v>108</v>
      </c>
      <c r="B246" s="28" t="s">
        <v>68</v>
      </c>
      <c r="C246" s="76">
        <v>0.8</v>
      </c>
      <c r="D246" s="90"/>
      <c r="E246" s="91"/>
      <c r="F246" s="92"/>
      <c r="G246" s="122"/>
      <c r="H246" s="121">
        <f t="shared" si="81"/>
        <v>0.8</v>
      </c>
      <c r="I246" s="151"/>
    </row>
    <row r="247" spans="1:9" x14ac:dyDescent="0.35">
      <c r="A247" t="s">
        <v>108</v>
      </c>
      <c r="B247" s="28" t="s">
        <v>69</v>
      </c>
      <c r="C247" s="76">
        <v>0.8</v>
      </c>
      <c r="D247" s="95"/>
      <c r="E247" s="96"/>
      <c r="F247" s="92"/>
      <c r="G247" s="122"/>
      <c r="H247" s="121">
        <f t="shared" si="81"/>
        <v>0.8</v>
      </c>
      <c r="I247" s="151"/>
    </row>
    <row r="248" spans="1:9" x14ac:dyDescent="0.35">
      <c r="A248" t="s">
        <v>108</v>
      </c>
      <c r="B248" s="28" t="s">
        <v>70</v>
      </c>
      <c r="C248" s="76">
        <v>0.8</v>
      </c>
      <c r="D248" s="90"/>
      <c r="E248" s="91"/>
      <c r="F248" s="92"/>
      <c r="G248" s="122"/>
      <c r="H248" s="121">
        <f t="shared" si="81"/>
        <v>0.8</v>
      </c>
      <c r="I248" s="151"/>
    </row>
    <row r="249" spans="1:9" x14ac:dyDescent="0.35">
      <c r="A249" t="s">
        <v>108</v>
      </c>
      <c r="B249" s="28" t="s">
        <v>71</v>
      </c>
      <c r="C249" s="76">
        <v>0.8</v>
      </c>
      <c r="D249" s="90"/>
      <c r="E249" s="91"/>
      <c r="F249" s="92"/>
      <c r="G249" s="122"/>
      <c r="H249" s="121">
        <f t="shared" si="81"/>
        <v>0.8</v>
      </c>
      <c r="I249" s="151"/>
    </row>
    <row r="250" spans="1:9" x14ac:dyDescent="0.35">
      <c r="A250" t="s">
        <v>108</v>
      </c>
      <c r="B250" s="28" t="s">
        <v>72</v>
      </c>
      <c r="C250" s="76">
        <v>0.8</v>
      </c>
      <c r="D250" s="90"/>
      <c r="E250" s="91"/>
      <c r="F250" s="92"/>
      <c r="G250" s="122"/>
      <c r="H250" s="121">
        <f t="shared" si="81"/>
        <v>0.8</v>
      </c>
      <c r="I250" s="151"/>
    </row>
    <row r="251" spans="1:9" x14ac:dyDescent="0.35">
      <c r="A251" t="s">
        <v>108</v>
      </c>
      <c r="B251" s="28" t="s">
        <v>73</v>
      </c>
      <c r="C251" s="76">
        <v>0.8</v>
      </c>
      <c r="D251" s="90"/>
      <c r="E251" s="91"/>
      <c r="F251" s="92"/>
      <c r="G251" s="122"/>
      <c r="H251" s="121">
        <f t="shared" si="81"/>
        <v>0.8</v>
      </c>
      <c r="I251" s="151"/>
    </row>
    <row r="252" spans="1:9" x14ac:dyDescent="0.35">
      <c r="A252" t="s">
        <v>108</v>
      </c>
      <c r="B252" s="28" t="s">
        <v>74</v>
      </c>
      <c r="C252" s="76">
        <v>0.8</v>
      </c>
      <c r="D252" s="90"/>
      <c r="E252" s="91"/>
      <c r="F252" s="92"/>
      <c r="G252" s="122"/>
      <c r="H252" s="121">
        <f t="shared" si="81"/>
        <v>0.8</v>
      </c>
      <c r="I252" s="151"/>
    </row>
    <row r="253" spans="1:9" x14ac:dyDescent="0.35">
      <c r="A253" t="s">
        <v>108</v>
      </c>
      <c r="B253" s="28" t="s">
        <v>75</v>
      </c>
      <c r="C253" s="76">
        <v>0.8</v>
      </c>
      <c r="D253" s="90"/>
      <c r="E253" s="91"/>
      <c r="F253" s="92"/>
      <c r="G253" s="122"/>
      <c r="H253" s="121">
        <f t="shared" si="81"/>
        <v>0.8</v>
      </c>
      <c r="I253" s="151"/>
    </row>
    <row r="254" spans="1:9" x14ac:dyDescent="0.35">
      <c r="A254" t="s">
        <v>108</v>
      </c>
      <c r="B254" s="28" t="s">
        <v>76</v>
      </c>
      <c r="C254" s="76">
        <v>0.8</v>
      </c>
      <c r="D254" s="90"/>
      <c r="E254" s="91"/>
      <c r="F254" s="92"/>
      <c r="G254" s="122"/>
      <c r="H254" s="121">
        <f t="shared" si="81"/>
        <v>0.8</v>
      </c>
      <c r="I254" s="151"/>
    </row>
    <row r="255" spans="1:9" ht="15" thickBot="1" x14ac:dyDescent="0.4">
      <c r="A255" t="s">
        <v>108</v>
      </c>
      <c r="B255" s="29" t="s">
        <v>77</v>
      </c>
      <c r="C255" s="126">
        <v>0.8</v>
      </c>
      <c r="D255" s="103"/>
      <c r="E255" s="105"/>
      <c r="F255" s="107"/>
      <c r="G255" s="127"/>
      <c r="H255" s="128">
        <f t="shared" si="81"/>
        <v>0.8</v>
      </c>
      <c r="I255" s="151"/>
    </row>
    <row r="256" spans="1:9" ht="15" thickBot="1" x14ac:dyDescent="0.4">
      <c r="B256" s="30"/>
      <c r="C256" s="31"/>
      <c r="D256" s="31"/>
      <c r="E256" s="31"/>
      <c r="F256" s="31"/>
      <c r="G256" s="31"/>
      <c r="H256" s="31"/>
    </row>
    <row r="257" spans="1:9" ht="15" thickBot="1" x14ac:dyDescent="0.4">
      <c r="A257" t="s">
        <v>110</v>
      </c>
      <c r="B257" s="123" t="s">
        <v>63</v>
      </c>
      <c r="C257" s="115">
        <f>SUM(C258:C284)</f>
        <v>490.40000000000214</v>
      </c>
      <c r="D257" s="115">
        <f t="shared" ref="D257" si="82">SUM(D258:D284)</f>
        <v>0</v>
      </c>
      <c r="E257" s="115">
        <f t="shared" ref="E257" si="83">SUM(E258:E284)</f>
        <v>0</v>
      </c>
      <c r="F257" s="115">
        <f t="shared" ref="F257" si="84">SUM(F258:F284)</f>
        <v>0</v>
      </c>
      <c r="G257" s="115">
        <f t="shared" ref="G257" si="85">SUM(G258:G284)</f>
        <v>0</v>
      </c>
      <c r="H257" s="115">
        <f>SUM(H258:H284)</f>
        <v>490.40000000000214</v>
      </c>
      <c r="I257" s="150" t="s">
        <v>111</v>
      </c>
    </row>
    <row r="258" spans="1:9" x14ac:dyDescent="0.35">
      <c r="A258" t="s">
        <v>110</v>
      </c>
      <c r="B258" s="124" t="s">
        <v>65</v>
      </c>
      <c r="C258" s="116">
        <v>0.8</v>
      </c>
      <c r="D258" s="117"/>
      <c r="E258" s="118"/>
      <c r="F258" s="119"/>
      <c r="G258" s="120"/>
      <c r="H258" s="125">
        <f>SUM(C258:G258)</f>
        <v>0.8</v>
      </c>
      <c r="I258" s="151"/>
    </row>
    <row r="259" spans="1:9" x14ac:dyDescent="0.35">
      <c r="A259" t="s">
        <v>110</v>
      </c>
      <c r="B259" s="28" t="s">
        <v>66</v>
      </c>
      <c r="C259" s="76">
        <v>0.8</v>
      </c>
      <c r="D259" s="90"/>
      <c r="E259" s="91"/>
      <c r="F259" s="92"/>
      <c r="G259" s="122"/>
      <c r="H259" s="121">
        <f t="shared" ref="H259:H270" si="86">SUM(C259:G259)</f>
        <v>0.8</v>
      </c>
      <c r="I259" s="151"/>
    </row>
    <row r="260" spans="1:9" x14ac:dyDescent="0.35">
      <c r="A260" t="s">
        <v>110</v>
      </c>
      <c r="B260" s="28" t="s">
        <v>67</v>
      </c>
      <c r="C260" s="76">
        <v>0.8</v>
      </c>
      <c r="D260" s="90"/>
      <c r="E260" s="91"/>
      <c r="F260" s="92"/>
      <c r="G260" s="122"/>
      <c r="H260" s="121">
        <f t="shared" si="86"/>
        <v>0.8</v>
      </c>
      <c r="I260" s="151"/>
    </row>
    <row r="261" spans="1:9" x14ac:dyDescent="0.35">
      <c r="A261" t="s">
        <v>110</v>
      </c>
      <c r="B261" s="28" t="s">
        <v>68</v>
      </c>
      <c r="C261" s="76">
        <v>0.8</v>
      </c>
      <c r="D261" s="90"/>
      <c r="E261" s="91"/>
      <c r="F261" s="92"/>
      <c r="G261" s="122"/>
      <c r="H261" s="121">
        <f t="shared" si="86"/>
        <v>0.8</v>
      </c>
      <c r="I261" s="151"/>
    </row>
    <row r="262" spans="1:9" x14ac:dyDescent="0.35">
      <c r="A262" t="s">
        <v>110</v>
      </c>
      <c r="B262" s="28" t="s">
        <v>69</v>
      </c>
      <c r="C262" s="76">
        <v>0.8</v>
      </c>
      <c r="D262" s="95"/>
      <c r="E262" s="96"/>
      <c r="F262" s="92"/>
      <c r="G262" s="122"/>
      <c r="H262" s="121">
        <f t="shared" si="86"/>
        <v>0.8</v>
      </c>
      <c r="I262" s="151"/>
    </row>
    <row r="263" spans="1:9" x14ac:dyDescent="0.35">
      <c r="A263" t="s">
        <v>110</v>
      </c>
      <c r="B263" s="28" t="s">
        <v>70</v>
      </c>
      <c r="C263" s="76">
        <v>0.8</v>
      </c>
      <c r="D263" s="90"/>
      <c r="E263" s="91"/>
      <c r="F263" s="92"/>
      <c r="G263" s="122"/>
      <c r="H263" s="121">
        <f t="shared" si="86"/>
        <v>0.8</v>
      </c>
      <c r="I263" s="151"/>
    </row>
    <row r="264" spans="1:9" x14ac:dyDescent="0.35">
      <c r="A264" t="s">
        <v>110</v>
      </c>
      <c r="B264" s="28" t="s">
        <v>71</v>
      </c>
      <c r="C264" s="76">
        <v>0.8</v>
      </c>
      <c r="D264" s="90"/>
      <c r="E264" s="91"/>
      <c r="F264" s="92"/>
      <c r="G264" s="122"/>
      <c r="H264" s="121">
        <f t="shared" si="86"/>
        <v>0.8</v>
      </c>
      <c r="I264" s="151"/>
    </row>
    <row r="265" spans="1:9" x14ac:dyDescent="0.35">
      <c r="A265" t="s">
        <v>110</v>
      </c>
      <c r="B265" s="28" t="s">
        <v>72</v>
      </c>
      <c r="C265" s="76">
        <v>0.8</v>
      </c>
      <c r="D265" s="90"/>
      <c r="E265" s="91"/>
      <c r="F265" s="92"/>
      <c r="G265" s="122"/>
      <c r="H265" s="121">
        <f t="shared" si="86"/>
        <v>0.8</v>
      </c>
      <c r="I265" s="151"/>
    </row>
    <row r="266" spans="1:9" x14ac:dyDescent="0.35">
      <c r="A266" t="s">
        <v>110</v>
      </c>
      <c r="B266" s="28" t="s">
        <v>73</v>
      </c>
      <c r="C266" s="76">
        <v>0.8</v>
      </c>
      <c r="D266" s="90"/>
      <c r="E266" s="91"/>
      <c r="F266" s="92"/>
      <c r="G266" s="122"/>
      <c r="H266" s="121">
        <f t="shared" si="86"/>
        <v>0.8</v>
      </c>
      <c r="I266" s="151"/>
    </row>
    <row r="267" spans="1:9" x14ac:dyDescent="0.35">
      <c r="A267" t="s">
        <v>110</v>
      </c>
      <c r="B267" s="28" t="s">
        <v>74</v>
      </c>
      <c r="C267" s="76">
        <v>0.8</v>
      </c>
      <c r="D267" s="90"/>
      <c r="E267" s="91"/>
      <c r="F267" s="92"/>
      <c r="G267" s="122"/>
      <c r="H267" s="121">
        <f t="shared" si="86"/>
        <v>0.8</v>
      </c>
      <c r="I267" s="151"/>
    </row>
    <row r="268" spans="1:9" x14ac:dyDescent="0.35">
      <c r="A268" t="s">
        <v>110</v>
      </c>
      <c r="B268" s="28" t="s">
        <v>75</v>
      </c>
      <c r="C268" s="76">
        <v>0.8</v>
      </c>
      <c r="D268" s="90"/>
      <c r="E268" s="91"/>
      <c r="F268" s="92"/>
      <c r="G268" s="122"/>
      <c r="H268" s="121">
        <f t="shared" si="86"/>
        <v>0.8</v>
      </c>
      <c r="I268" s="151"/>
    </row>
    <row r="269" spans="1:9" x14ac:dyDescent="0.35">
      <c r="A269" t="s">
        <v>110</v>
      </c>
      <c r="B269" s="28" t="s">
        <v>76</v>
      </c>
      <c r="C269" s="76">
        <v>0.8</v>
      </c>
      <c r="D269" s="90"/>
      <c r="E269" s="91"/>
      <c r="F269" s="92"/>
      <c r="G269" s="122"/>
      <c r="H269" s="121">
        <f t="shared" si="86"/>
        <v>0.8</v>
      </c>
      <c r="I269" s="151"/>
    </row>
    <row r="270" spans="1:9" ht="15" thickBot="1" x14ac:dyDescent="0.4">
      <c r="A270" t="s">
        <v>110</v>
      </c>
      <c r="B270" s="29" t="s">
        <v>77</v>
      </c>
      <c r="C270" s="126">
        <v>0.8</v>
      </c>
      <c r="D270" s="103"/>
      <c r="E270" s="105"/>
      <c r="F270" s="107"/>
      <c r="G270" s="127"/>
      <c r="H270" s="128">
        <f t="shared" si="86"/>
        <v>0.8</v>
      </c>
      <c r="I270" s="151"/>
    </row>
    <row r="271" spans="1:9" ht="15" thickBot="1" x14ac:dyDescent="0.4">
      <c r="B271" s="30"/>
      <c r="C271" s="31"/>
      <c r="D271" s="31"/>
      <c r="E271" s="31"/>
      <c r="F271" s="31"/>
      <c r="G271" s="31"/>
      <c r="H271" s="31"/>
    </row>
    <row r="272" spans="1:9" ht="15" thickBot="1" x14ac:dyDescent="0.4">
      <c r="A272" t="s">
        <v>112</v>
      </c>
      <c r="B272" s="123" t="s">
        <v>63</v>
      </c>
      <c r="C272" s="115">
        <f>SUM(C273:C299)</f>
        <v>470.40000000000202</v>
      </c>
      <c r="D272" s="115">
        <f t="shared" ref="D272" si="87">SUM(D273:D299)</f>
        <v>0</v>
      </c>
      <c r="E272" s="115">
        <f t="shared" ref="E272" si="88">SUM(E273:E299)</f>
        <v>0</v>
      </c>
      <c r="F272" s="115">
        <f t="shared" ref="F272" si="89">SUM(F273:F299)</f>
        <v>0</v>
      </c>
      <c r="G272" s="115">
        <f t="shared" ref="G272" si="90">SUM(G273:G299)</f>
        <v>0</v>
      </c>
      <c r="H272" s="115">
        <f>SUM(H273:H299)</f>
        <v>470.40000000000202</v>
      </c>
      <c r="I272" s="150" t="s">
        <v>113</v>
      </c>
    </row>
    <row r="273" spans="1:9" x14ac:dyDescent="0.35">
      <c r="A273" t="s">
        <v>112</v>
      </c>
      <c r="B273" s="124" t="s">
        <v>65</v>
      </c>
      <c r="C273" s="116">
        <v>0.8</v>
      </c>
      <c r="D273" s="117"/>
      <c r="E273" s="118"/>
      <c r="F273" s="119"/>
      <c r="G273" s="120"/>
      <c r="H273" s="125">
        <f>SUM(C273:G273)</f>
        <v>0.8</v>
      </c>
      <c r="I273" s="151"/>
    </row>
    <row r="274" spans="1:9" x14ac:dyDescent="0.35">
      <c r="A274" t="s">
        <v>112</v>
      </c>
      <c r="B274" s="28" t="s">
        <v>66</v>
      </c>
      <c r="C274" s="76">
        <v>0.8</v>
      </c>
      <c r="D274" s="90"/>
      <c r="E274" s="91"/>
      <c r="F274" s="92"/>
      <c r="G274" s="122"/>
      <c r="H274" s="121">
        <f t="shared" ref="H274:H285" si="91">SUM(C274:G274)</f>
        <v>0.8</v>
      </c>
      <c r="I274" s="151"/>
    </row>
    <row r="275" spans="1:9" x14ac:dyDescent="0.35">
      <c r="A275" t="s">
        <v>112</v>
      </c>
      <c r="B275" s="28" t="s">
        <v>67</v>
      </c>
      <c r="C275" s="76">
        <v>0.8</v>
      </c>
      <c r="D275" s="90"/>
      <c r="E275" s="91"/>
      <c r="F275" s="92"/>
      <c r="G275" s="122"/>
      <c r="H275" s="121">
        <f t="shared" si="91"/>
        <v>0.8</v>
      </c>
      <c r="I275" s="151"/>
    </row>
    <row r="276" spans="1:9" x14ac:dyDescent="0.35">
      <c r="A276" t="s">
        <v>112</v>
      </c>
      <c r="B276" s="28" t="s">
        <v>68</v>
      </c>
      <c r="C276" s="76">
        <v>0.8</v>
      </c>
      <c r="D276" s="90"/>
      <c r="E276" s="91"/>
      <c r="F276" s="92"/>
      <c r="G276" s="122"/>
      <c r="H276" s="121">
        <f t="shared" si="91"/>
        <v>0.8</v>
      </c>
      <c r="I276" s="151"/>
    </row>
    <row r="277" spans="1:9" x14ac:dyDescent="0.35">
      <c r="A277" t="s">
        <v>112</v>
      </c>
      <c r="B277" s="28" t="s">
        <v>69</v>
      </c>
      <c r="C277" s="76">
        <v>0.8</v>
      </c>
      <c r="D277" s="95"/>
      <c r="E277" s="96"/>
      <c r="F277" s="92"/>
      <c r="G277" s="122"/>
      <c r="H277" s="121">
        <f t="shared" si="91"/>
        <v>0.8</v>
      </c>
      <c r="I277" s="151"/>
    </row>
    <row r="278" spans="1:9" x14ac:dyDescent="0.35">
      <c r="A278" t="s">
        <v>112</v>
      </c>
      <c r="B278" s="28" t="s">
        <v>70</v>
      </c>
      <c r="C278" s="76">
        <v>0.8</v>
      </c>
      <c r="D278" s="90"/>
      <c r="E278" s="91"/>
      <c r="F278" s="92"/>
      <c r="G278" s="122"/>
      <c r="H278" s="121">
        <f t="shared" si="91"/>
        <v>0.8</v>
      </c>
      <c r="I278" s="151"/>
    </row>
    <row r="279" spans="1:9" x14ac:dyDescent="0.35">
      <c r="A279" t="s">
        <v>112</v>
      </c>
      <c r="B279" s="28" t="s">
        <v>71</v>
      </c>
      <c r="C279" s="76">
        <v>0.8</v>
      </c>
      <c r="D279" s="90"/>
      <c r="E279" s="91"/>
      <c r="F279" s="92"/>
      <c r="G279" s="122"/>
      <c r="H279" s="121">
        <f t="shared" si="91"/>
        <v>0.8</v>
      </c>
      <c r="I279" s="151"/>
    </row>
    <row r="280" spans="1:9" x14ac:dyDescent="0.35">
      <c r="A280" t="s">
        <v>112</v>
      </c>
      <c r="B280" s="28" t="s">
        <v>72</v>
      </c>
      <c r="C280" s="76">
        <v>0.8</v>
      </c>
      <c r="D280" s="90"/>
      <c r="E280" s="91"/>
      <c r="F280" s="92"/>
      <c r="G280" s="122"/>
      <c r="H280" s="121">
        <f t="shared" si="91"/>
        <v>0.8</v>
      </c>
      <c r="I280" s="151"/>
    </row>
    <row r="281" spans="1:9" x14ac:dyDescent="0.35">
      <c r="A281" t="s">
        <v>112</v>
      </c>
      <c r="B281" s="28" t="s">
        <v>73</v>
      </c>
      <c r="C281" s="76">
        <v>0.8</v>
      </c>
      <c r="D281" s="90"/>
      <c r="E281" s="91"/>
      <c r="F281" s="92"/>
      <c r="G281" s="122"/>
      <c r="H281" s="121">
        <f t="shared" si="91"/>
        <v>0.8</v>
      </c>
      <c r="I281" s="151"/>
    </row>
    <row r="282" spans="1:9" x14ac:dyDescent="0.35">
      <c r="A282" t="s">
        <v>112</v>
      </c>
      <c r="B282" s="28" t="s">
        <v>74</v>
      </c>
      <c r="C282" s="76">
        <v>0.8</v>
      </c>
      <c r="D282" s="90"/>
      <c r="E282" s="91"/>
      <c r="F282" s="92"/>
      <c r="G282" s="122"/>
      <c r="H282" s="121">
        <f t="shared" si="91"/>
        <v>0.8</v>
      </c>
      <c r="I282" s="151"/>
    </row>
    <row r="283" spans="1:9" x14ac:dyDescent="0.35">
      <c r="A283" t="s">
        <v>112</v>
      </c>
      <c r="B283" s="28" t="s">
        <v>75</v>
      </c>
      <c r="C283" s="76">
        <v>0.8</v>
      </c>
      <c r="D283" s="90"/>
      <c r="E283" s="91"/>
      <c r="F283" s="92"/>
      <c r="G283" s="122"/>
      <c r="H283" s="121">
        <f t="shared" si="91"/>
        <v>0.8</v>
      </c>
      <c r="I283" s="151"/>
    </row>
    <row r="284" spans="1:9" x14ac:dyDescent="0.35">
      <c r="A284" t="s">
        <v>112</v>
      </c>
      <c r="B284" s="28" t="s">
        <v>76</v>
      </c>
      <c r="C284" s="76">
        <v>0.8</v>
      </c>
      <c r="D284" s="90"/>
      <c r="E284" s="91"/>
      <c r="F284" s="92"/>
      <c r="G284" s="122"/>
      <c r="H284" s="121">
        <f t="shared" si="91"/>
        <v>0.8</v>
      </c>
      <c r="I284" s="151"/>
    </row>
    <row r="285" spans="1:9" ht="15" thickBot="1" x14ac:dyDescent="0.4">
      <c r="A285" t="s">
        <v>112</v>
      </c>
      <c r="B285" s="29" t="s">
        <v>77</v>
      </c>
      <c r="C285" s="126">
        <v>0.8</v>
      </c>
      <c r="D285" s="103"/>
      <c r="E285" s="105"/>
      <c r="F285" s="107"/>
      <c r="G285" s="127"/>
      <c r="H285" s="128">
        <f t="shared" si="91"/>
        <v>0.8</v>
      </c>
      <c r="I285" s="151"/>
    </row>
    <row r="286" spans="1:9" ht="15" thickBot="1" x14ac:dyDescent="0.4">
      <c r="B286" s="30"/>
      <c r="C286" s="31"/>
      <c r="D286" s="31"/>
      <c r="E286" s="31"/>
      <c r="F286" s="31"/>
      <c r="G286" s="31"/>
      <c r="H286" s="31"/>
    </row>
    <row r="287" spans="1:9" ht="15" thickBot="1" x14ac:dyDescent="0.4">
      <c r="A287" t="s">
        <v>114</v>
      </c>
      <c r="B287" s="123" t="s">
        <v>63</v>
      </c>
      <c r="C287" s="115">
        <f>SUM(C288:C314)</f>
        <v>450.40000000000191</v>
      </c>
      <c r="D287" s="115">
        <f t="shared" ref="D287" si="92">SUM(D288:D314)</f>
        <v>0</v>
      </c>
      <c r="E287" s="115">
        <f t="shared" ref="E287" si="93">SUM(E288:E314)</f>
        <v>0</v>
      </c>
      <c r="F287" s="115">
        <f t="shared" ref="F287" si="94">SUM(F288:F314)</f>
        <v>0</v>
      </c>
      <c r="G287" s="115">
        <f t="shared" ref="G287" si="95">SUM(G288:G314)</f>
        <v>0</v>
      </c>
      <c r="H287" s="115">
        <f>SUM(H288:H314)</f>
        <v>450.40000000000191</v>
      </c>
      <c r="I287" s="150" t="s">
        <v>115</v>
      </c>
    </row>
    <row r="288" spans="1:9" x14ac:dyDescent="0.35">
      <c r="A288" t="s">
        <v>114</v>
      </c>
      <c r="B288" s="124" t="s">
        <v>65</v>
      </c>
      <c r="C288" s="116">
        <v>0.8</v>
      </c>
      <c r="D288" s="117"/>
      <c r="E288" s="118"/>
      <c r="F288" s="119"/>
      <c r="G288" s="120"/>
      <c r="H288" s="125">
        <f>SUM(C288:G288)</f>
        <v>0.8</v>
      </c>
      <c r="I288" s="151"/>
    </row>
    <row r="289" spans="1:9" x14ac:dyDescent="0.35">
      <c r="A289" t="s">
        <v>114</v>
      </c>
      <c r="B289" s="28" t="s">
        <v>66</v>
      </c>
      <c r="C289" s="76">
        <v>0.8</v>
      </c>
      <c r="D289" s="90"/>
      <c r="E289" s="91"/>
      <c r="F289" s="92"/>
      <c r="G289" s="122"/>
      <c r="H289" s="121">
        <f t="shared" ref="H289:H300" si="96">SUM(C289:G289)</f>
        <v>0.8</v>
      </c>
      <c r="I289" s="151"/>
    </row>
    <row r="290" spans="1:9" x14ac:dyDescent="0.35">
      <c r="A290" t="s">
        <v>114</v>
      </c>
      <c r="B290" s="28" t="s">
        <v>67</v>
      </c>
      <c r="C290" s="76">
        <v>0.8</v>
      </c>
      <c r="D290" s="90"/>
      <c r="E290" s="91"/>
      <c r="F290" s="92"/>
      <c r="G290" s="122"/>
      <c r="H290" s="121">
        <f t="shared" si="96"/>
        <v>0.8</v>
      </c>
      <c r="I290" s="151"/>
    </row>
    <row r="291" spans="1:9" x14ac:dyDescent="0.35">
      <c r="A291" t="s">
        <v>114</v>
      </c>
      <c r="B291" s="28" t="s">
        <v>68</v>
      </c>
      <c r="C291" s="76">
        <v>0.8</v>
      </c>
      <c r="D291" s="90"/>
      <c r="E291" s="91"/>
      <c r="F291" s="92"/>
      <c r="G291" s="122"/>
      <c r="H291" s="121">
        <f t="shared" si="96"/>
        <v>0.8</v>
      </c>
      <c r="I291" s="151"/>
    </row>
    <row r="292" spans="1:9" x14ac:dyDescent="0.35">
      <c r="A292" t="s">
        <v>114</v>
      </c>
      <c r="B292" s="28" t="s">
        <v>69</v>
      </c>
      <c r="C292" s="76">
        <v>0.8</v>
      </c>
      <c r="D292" s="95"/>
      <c r="E292" s="96"/>
      <c r="F292" s="92"/>
      <c r="G292" s="122"/>
      <c r="H292" s="121">
        <f t="shared" si="96"/>
        <v>0.8</v>
      </c>
      <c r="I292" s="151"/>
    </row>
    <row r="293" spans="1:9" x14ac:dyDescent="0.35">
      <c r="A293" t="s">
        <v>114</v>
      </c>
      <c r="B293" s="28" t="s">
        <v>70</v>
      </c>
      <c r="C293" s="76">
        <v>0.8</v>
      </c>
      <c r="D293" s="90"/>
      <c r="E293" s="91"/>
      <c r="F293" s="92"/>
      <c r="G293" s="122"/>
      <c r="H293" s="121">
        <f t="shared" si="96"/>
        <v>0.8</v>
      </c>
      <c r="I293" s="151"/>
    </row>
    <row r="294" spans="1:9" x14ac:dyDescent="0.35">
      <c r="A294" t="s">
        <v>114</v>
      </c>
      <c r="B294" s="28" t="s">
        <v>71</v>
      </c>
      <c r="C294" s="76">
        <v>0.8</v>
      </c>
      <c r="D294" s="90"/>
      <c r="E294" s="91"/>
      <c r="F294" s="92"/>
      <c r="G294" s="122"/>
      <c r="H294" s="121">
        <f t="shared" si="96"/>
        <v>0.8</v>
      </c>
      <c r="I294" s="151"/>
    </row>
    <row r="295" spans="1:9" x14ac:dyDescent="0.35">
      <c r="A295" t="s">
        <v>114</v>
      </c>
      <c r="B295" s="28" t="s">
        <v>72</v>
      </c>
      <c r="C295" s="76">
        <v>0.8</v>
      </c>
      <c r="D295" s="90"/>
      <c r="E295" s="91"/>
      <c r="F295" s="92"/>
      <c r="G295" s="122"/>
      <c r="H295" s="121">
        <f t="shared" si="96"/>
        <v>0.8</v>
      </c>
      <c r="I295" s="151"/>
    </row>
    <row r="296" spans="1:9" x14ac:dyDescent="0.35">
      <c r="A296" t="s">
        <v>114</v>
      </c>
      <c r="B296" s="28" t="s">
        <v>73</v>
      </c>
      <c r="C296" s="76">
        <v>0.8</v>
      </c>
      <c r="D296" s="90"/>
      <c r="E296" s="91"/>
      <c r="F296" s="92"/>
      <c r="G296" s="122"/>
      <c r="H296" s="121">
        <f t="shared" si="96"/>
        <v>0.8</v>
      </c>
      <c r="I296" s="151"/>
    </row>
    <row r="297" spans="1:9" x14ac:dyDescent="0.35">
      <c r="A297" t="s">
        <v>114</v>
      </c>
      <c r="B297" s="28" t="s">
        <v>74</v>
      </c>
      <c r="C297" s="76">
        <v>0.8</v>
      </c>
      <c r="D297" s="90"/>
      <c r="E297" s="91"/>
      <c r="F297" s="92"/>
      <c r="G297" s="122"/>
      <c r="H297" s="121">
        <f t="shared" si="96"/>
        <v>0.8</v>
      </c>
      <c r="I297" s="151"/>
    </row>
    <row r="298" spans="1:9" x14ac:dyDescent="0.35">
      <c r="A298" t="s">
        <v>114</v>
      </c>
      <c r="B298" s="28" t="s">
        <v>75</v>
      </c>
      <c r="C298" s="76">
        <v>0.8</v>
      </c>
      <c r="D298" s="90"/>
      <c r="E298" s="91"/>
      <c r="F298" s="92"/>
      <c r="G298" s="122"/>
      <c r="H298" s="121">
        <f t="shared" si="96"/>
        <v>0.8</v>
      </c>
      <c r="I298" s="151"/>
    </row>
    <row r="299" spans="1:9" x14ac:dyDescent="0.35">
      <c r="A299" t="s">
        <v>114</v>
      </c>
      <c r="B299" s="28" t="s">
        <v>76</v>
      </c>
      <c r="C299" s="76">
        <v>0.8</v>
      </c>
      <c r="D299" s="90"/>
      <c r="E299" s="91"/>
      <c r="F299" s="92"/>
      <c r="G299" s="122"/>
      <c r="H299" s="121">
        <f t="shared" si="96"/>
        <v>0.8</v>
      </c>
      <c r="I299" s="151"/>
    </row>
    <row r="300" spans="1:9" ht="15" thickBot="1" x14ac:dyDescent="0.4">
      <c r="A300" t="s">
        <v>114</v>
      </c>
      <c r="B300" s="29" t="s">
        <v>77</v>
      </c>
      <c r="C300" s="126">
        <v>0.8</v>
      </c>
      <c r="D300" s="103"/>
      <c r="E300" s="105"/>
      <c r="F300" s="107"/>
      <c r="G300" s="127"/>
      <c r="H300" s="128">
        <f t="shared" si="96"/>
        <v>0.8</v>
      </c>
      <c r="I300" s="151"/>
    </row>
    <row r="301" spans="1:9" ht="15" thickBot="1" x14ac:dyDescent="0.4">
      <c r="B301" s="30"/>
      <c r="C301" s="31"/>
      <c r="D301" s="31"/>
      <c r="E301" s="31"/>
      <c r="F301" s="31"/>
      <c r="G301" s="31"/>
      <c r="H301" s="31"/>
    </row>
    <row r="302" spans="1:9" ht="15" thickBot="1" x14ac:dyDescent="0.4">
      <c r="A302" t="s">
        <v>116</v>
      </c>
      <c r="B302" s="123" t="s">
        <v>63</v>
      </c>
      <c r="C302" s="115">
        <f>SUM(C303:C329)</f>
        <v>430.4000000000018</v>
      </c>
      <c r="D302" s="115">
        <f t="shared" ref="D302" si="97">SUM(D303:D329)</f>
        <v>0</v>
      </c>
      <c r="E302" s="115">
        <f t="shared" ref="E302" si="98">SUM(E303:E329)</f>
        <v>0</v>
      </c>
      <c r="F302" s="115">
        <f t="shared" ref="F302" si="99">SUM(F303:F329)</f>
        <v>0</v>
      </c>
      <c r="G302" s="115">
        <f t="shared" ref="G302" si="100">SUM(G303:G329)</f>
        <v>0</v>
      </c>
      <c r="H302" s="115">
        <f>SUM(H303:H329)</f>
        <v>430.4000000000018</v>
      </c>
      <c r="I302" s="150" t="s">
        <v>117</v>
      </c>
    </row>
    <row r="303" spans="1:9" x14ac:dyDescent="0.35">
      <c r="A303" t="s">
        <v>116</v>
      </c>
      <c r="B303" s="124" t="s">
        <v>65</v>
      </c>
      <c r="C303" s="116">
        <v>0.8</v>
      </c>
      <c r="D303" s="117"/>
      <c r="E303" s="118"/>
      <c r="F303" s="119"/>
      <c r="G303" s="120"/>
      <c r="H303" s="125">
        <f>SUM(C303:G303)</f>
        <v>0.8</v>
      </c>
      <c r="I303" s="151"/>
    </row>
    <row r="304" spans="1:9" x14ac:dyDescent="0.35">
      <c r="A304" t="s">
        <v>116</v>
      </c>
      <c r="B304" s="28" t="s">
        <v>66</v>
      </c>
      <c r="C304" s="76">
        <v>0.8</v>
      </c>
      <c r="D304" s="90"/>
      <c r="E304" s="91"/>
      <c r="F304" s="92"/>
      <c r="G304" s="122"/>
      <c r="H304" s="121">
        <f t="shared" ref="H304:H315" si="101">SUM(C304:G304)</f>
        <v>0.8</v>
      </c>
      <c r="I304" s="151"/>
    </row>
    <row r="305" spans="1:9" x14ac:dyDescent="0.35">
      <c r="A305" t="s">
        <v>116</v>
      </c>
      <c r="B305" s="28" t="s">
        <v>67</v>
      </c>
      <c r="C305" s="76">
        <v>0.8</v>
      </c>
      <c r="D305" s="90"/>
      <c r="E305" s="91"/>
      <c r="F305" s="92"/>
      <c r="G305" s="122"/>
      <c r="H305" s="121">
        <f t="shared" si="101"/>
        <v>0.8</v>
      </c>
      <c r="I305" s="151"/>
    </row>
    <row r="306" spans="1:9" x14ac:dyDescent="0.35">
      <c r="A306" t="s">
        <v>116</v>
      </c>
      <c r="B306" s="28" t="s">
        <v>68</v>
      </c>
      <c r="C306" s="76">
        <v>0.8</v>
      </c>
      <c r="D306" s="90"/>
      <c r="E306" s="91"/>
      <c r="F306" s="92"/>
      <c r="G306" s="122"/>
      <c r="H306" s="121">
        <f t="shared" si="101"/>
        <v>0.8</v>
      </c>
      <c r="I306" s="151"/>
    </row>
    <row r="307" spans="1:9" x14ac:dyDescent="0.35">
      <c r="A307" t="s">
        <v>116</v>
      </c>
      <c r="B307" s="28" t="s">
        <v>69</v>
      </c>
      <c r="C307" s="76">
        <v>0.8</v>
      </c>
      <c r="D307" s="95"/>
      <c r="E307" s="96"/>
      <c r="F307" s="92"/>
      <c r="G307" s="122"/>
      <c r="H307" s="121">
        <f t="shared" si="101"/>
        <v>0.8</v>
      </c>
      <c r="I307" s="151"/>
    </row>
    <row r="308" spans="1:9" x14ac:dyDescent="0.35">
      <c r="A308" t="s">
        <v>116</v>
      </c>
      <c r="B308" s="28" t="s">
        <v>70</v>
      </c>
      <c r="C308" s="76">
        <v>0.8</v>
      </c>
      <c r="D308" s="90"/>
      <c r="E308" s="91"/>
      <c r="F308" s="92"/>
      <c r="G308" s="122"/>
      <c r="H308" s="121">
        <f t="shared" si="101"/>
        <v>0.8</v>
      </c>
      <c r="I308" s="151"/>
    </row>
    <row r="309" spans="1:9" x14ac:dyDescent="0.35">
      <c r="A309" t="s">
        <v>116</v>
      </c>
      <c r="B309" s="28" t="s">
        <v>71</v>
      </c>
      <c r="C309" s="76">
        <v>0.8</v>
      </c>
      <c r="D309" s="90"/>
      <c r="E309" s="91"/>
      <c r="F309" s="92"/>
      <c r="G309" s="122"/>
      <c r="H309" s="121">
        <f t="shared" si="101"/>
        <v>0.8</v>
      </c>
      <c r="I309" s="151"/>
    </row>
    <row r="310" spans="1:9" x14ac:dyDescent="0.35">
      <c r="A310" t="s">
        <v>116</v>
      </c>
      <c r="B310" s="28" t="s">
        <v>72</v>
      </c>
      <c r="C310" s="76">
        <v>0.8</v>
      </c>
      <c r="D310" s="90"/>
      <c r="E310" s="91"/>
      <c r="F310" s="92"/>
      <c r="G310" s="122"/>
      <c r="H310" s="121">
        <f t="shared" si="101"/>
        <v>0.8</v>
      </c>
      <c r="I310" s="151"/>
    </row>
    <row r="311" spans="1:9" x14ac:dyDescent="0.35">
      <c r="A311" t="s">
        <v>116</v>
      </c>
      <c r="B311" s="28" t="s">
        <v>73</v>
      </c>
      <c r="C311" s="76">
        <v>0.8</v>
      </c>
      <c r="D311" s="90"/>
      <c r="E311" s="91"/>
      <c r="F311" s="92"/>
      <c r="G311" s="122"/>
      <c r="H311" s="121">
        <f t="shared" si="101"/>
        <v>0.8</v>
      </c>
      <c r="I311" s="151"/>
    </row>
    <row r="312" spans="1:9" x14ac:dyDescent="0.35">
      <c r="A312" t="s">
        <v>116</v>
      </c>
      <c r="B312" s="28" t="s">
        <v>74</v>
      </c>
      <c r="C312" s="76">
        <v>0.8</v>
      </c>
      <c r="D312" s="90"/>
      <c r="E312" s="91"/>
      <c r="F312" s="92"/>
      <c r="G312" s="122"/>
      <c r="H312" s="121">
        <f t="shared" si="101"/>
        <v>0.8</v>
      </c>
      <c r="I312" s="151"/>
    </row>
    <row r="313" spans="1:9" x14ac:dyDescent="0.35">
      <c r="A313" t="s">
        <v>116</v>
      </c>
      <c r="B313" s="28" t="s">
        <v>75</v>
      </c>
      <c r="C313" s="76">
        <v>0.8</v>
      </c>
      <c r="D313" s="90"/>
      <c r="E313" s="91"/>
      <c r="F313" s="92"/>
      <c r="G313" s="122"/>
      <c r="H313" s="121">
        <f t="shared" si="101"/>
        <v>0.8</v>
      </c>
      <c r="I313" s="151"/>
    </row>
    <row r="314" spans="1:9" x14ac:dyDescent="0.35">
      <c r="A314" t="s">
        <v>116</v>
      </c>
      <c r="B314" s="28" t="s">
        <v>76</v>
      </c>
      <c r="C314" s="76">
        <v>0.8</v>
      </c>
      <c r="D314" s="90"/>
      <c r="E314" s="91"/>
      <c r="F314" s="92"/>
      <c r="G314" s="122"/>
      <c r="H314" s="121">
        <f t="shared" si="101"/>
        <v>0.8</v>
      </c>
      <c r="I314" s="151"/>
    </row>
    <row r="315" spans="1:9" ht="15" thickBot="1" x14ac:dyDescent="0.4">
      <c r="A315" t="s">
        <v>116</v>
      </c>
      <c r="B315" s="29" t="s">
        <v>77</v>
      </c>
      <c r="C315" s="126">
        <v>0.8</v>
      </c>
      <c r="D315" s="103"/>
      <c r="E315" s="105"/>
      <c r="F315" s="107"/>
      <c r="G315" s="127"/>
      <c r="H315" s="128">
        <f t="shared" si="101"/>
        <v>0.8</v>
      </c>
      <c r="I315" s="151"/>
    </row>
    <row r="316" spans="1:9" ht="15" thickBot="1" x14ac:dyDescent="0.4">
      <c r="B316" s="30"/>
      <c r="C316" s="31"/>
      <c r="D316" s="31"/>
      <c r="E316" s="31"/>
      <c r="F316" s="31"/>
      <c r="G316" s="31"/>
      <c r="H316" s="31"/>
    </row>
    <row r="317" spans="1:9" ht="15" thickBot="1" x14ac:dyDescent="0.4">
      <c r="A317" t="s">
        <v>118</v>
      </c>
      <c r="B317" s="123" t="s">
        <v>63</v>
      </c>
      <c r="C317" s="115">
        <f>SUM(C318:C344)</f>
        <v>410.40000000000168</v>
      </c>
      <c r="D317" s="115">
        <f t="shared" ref="D317" si="102">SUM(D318:D344)</f>
        <v>0</v>
      </c>
      <c r="E317" s="115">
        <f t="shared" ref="E317" si="103">SUM(E318:E344)</f>
        <v>0</v>
      </c>
      <c r="F317" s="115">
        <f t="shared" ref="F317" si="104">SUM(F318:F344)</f>
        <v>0</v>
      </c>
      <c r="G317" s="115">
        <f t="shared" ref="G317" si="105">SUM(G318:G344)</f>
        <v>0</v>
      </c>
      <c r="H317" s="115">
        <f>SUM(H318:H344)</f>
        <v>410.40000000000168</v>
      </c>
      <c r="I317" s="150" t="s">
        <v>119</v>
      </c>
    </row>
    <row r="318" spans="1:9" x14ac:dyDescent="0.35">
      <c r="A318" t="s">
        <v>118</v>
      </c>
      <c r="B318" s="124" t="s">
        <v>65</v>
      </c>
      <c r="C318" s="116">
        <v>0.8</v>
      </c>
      <c r="D318" s="117"/>
      <c r="E318" s="118"/>
      <c r="F318" s="119"/>
      <c r="G318" s="120"/>
      <c r="H318" s="125">
        <f>SUM(C318:G318)</f>
        <v>0.8</v>
      </c>
      <c r="I318" s="151"/>
    </row>
    <row r="319" spans="1:9" x14ac:dyDescent="0.35">
      <c r="A319" t="s">
        <v>118</v>
      </c>
      <c r="B319" s="28" t="s">
        <v>66</v>
      </c>
      <c r="C319" s="76">
        <v>0.8</v>
      </c>
      <c r="D319" s="90"/>
      <c r="E319" s="91"/>
      <c r="F319" s="92"/>
      <c r="G319" s="122"/>
      <c r="H319" s="121">
        <f t="shared" ref="H319:H330" si="106">SUM(C319:G319)</f>
        <v>0.8</v>
      </c>
      <c r="I319" s="151"/>
    </row>
    <row r="320" spans="1:9" x14ac:dyDescent="0.35">
      <c r="A320" t="s">
        <v>118</v>
      </c>
      <c r="B320" s="28" t="s">
        <v>67</v>
      </c>
      <c r="C320" s="76">
        <v>0.8</v>
      </c>
      <c r="D320" s="90"/>
      <c r="E320" s="91"/>
      <c r="F320" s="92"/>
      <c r="G320" s="122"/>
      <c r="H320" s="121">
        <f t="shared" si="106"/>
        <v>0.8</v>
      </c>
      <c r="I320" s="151"/>
    </row>
    <row r="321" spans="1:9" x14ac:dyDescent="0.35">
      <c r="A321" t="s">
        <v>118</v>
      </c>
      <c r="B321" s="28" t="s">
        <v>68</v>
      </c>
      <c r="C321" s="76">
        <v>0.8</v>
      </c>
      <c r="D321" s="90"/>
      <c r="E321" s="91"/>
      <c r="F321" s="92"/>
      <c r="G321" s="122"/>
      <c r="H321" s="121">
        <f t="shared" si="106"/>
        <v>0.8</v>
      </c>
      <c r="I321" s="151"/>
    </row>
    <row r="322" spans="1:9" x14ac:dyDescent="0.35">
      <c r="A322" t="s">
        <v>118</v>
      </c>
      <c r="B322" s="28" t="s">
        <v>69</v>
      </c>
      <c r="C322" s="76">
        <v>0.8</v>
      </c>
      <c r="D322" s="95"/>
      <c r="E322" s="96"/>
      <c r="F322" s="92"/>
      <c r="G322" s="122"/>
      <c r="H322" s="121">
        <f t="shared" si="106"/>
        <v>0.8</v>
      </c>
      <c r="I322" s="151"/>
    </row>
    <row r="323" spans="1:9" x14ac:dyDescent="0.35">
      <c r="A323" t="s">
        <v>118</v>
      </c>
      <c r="B323" s="28" t="s">
        <v>70</v>
      </c>
      <c r="C323" s="76">
        <v>0.8</v>
      </c>
      <c r="D323" s="90"/>
      <c r="E323" s="91"/>
      <c r="F323" s="92"/>
      <c r="G323" s="122"/>
      <c r="H323" s="121">
        <f t="shared" si="106"/>
        <v>0.8</v>
      </c>
      <c r="I323" s="151"/>
    </row>
    <row r="324" spans="1:9" x14ac:dyDescent="0.35">
      <c r="A324" t="s">
        <v>118</v>
      </c>
      <c r="B324" s="28" t="s">
        <v>71</v>
      </c>
      <c r="C324" s="76">
        <v>0.8</v>
      </c>
      <c r="D324" s="90"/>
      <c r="E324" s="91"/>
      <c r="F324" s="92"/>
      <c r="G324" s="122"/>
      <c r="H324" s="121">
        <f t="shared" si="106"/>
        <v>0.8</v>
      </c>
      <c r="I324" s="151"/>
    </row>
    <row r="325" spans="1:9" x14ac:dyDescent="0.35">
      <c r="A325" t="s">
        <v>118</v>
      </c>
      <c r="B325" s="28" t="s">
        <v>72</v>
      </c>
      <c r="C325" s="76">
        <v>0.8</v>
      </c>
      <c r="D325" s="90"/>
      <c r="E325" s="91"/>
      <c r="F325" s="92"/>
      <c r="G325" s="122"/>
      <c r="H325" s="121">
        <f t="shared" si="106"/>
        <v>0.8</v>
      </c>
      <c r="I325" s="151"/>
    </row>
    <row r="326" spans="1:9" x14ac:dyDescent="0.35">
      <c r="A326" t="s">
        <v>118</v>
      </c>
      <c r="B326" s="28" t="s">
        <v>73</v>
      </c>
      <c r="C326" s="76">
        <v>0.8</v>
      </c>
      <c r="D326" s="90"/>
      <c r="E326" s="91"/>
      <c r="F326" s="92"/>
      <c r="G326" s="122"/>
      <c r="H326" s="121">
        <f t="shared" si="106"/>
        <v>0.8</v>
      </c>
      <c r="I326" s="151"/>
    </row>
    <row r="327" spans="1:9" x14ac:dyDescent="0.35">
      <c r="A327" t="s">
        <v>118</v>
      </c>
      <c r="B327" s="28" t="s">
        <v>74</v>
      </c>
      <c r="C327" s="76">
        <v>0.8</v>
      </c>
      <c r="D327" s="90"/>
      <c r="E327" s="91"/>
      <c r="F327" s="92"/>
      <c r="G327" s="122"/>
      <c r="H327" s="121">
        <f t="shared" si="106"/>
        <v>0.8</v>
      </c>
      <c r="I327" s="151"/>
    </row>
    <row r="328" spans="1:9" x14ac:dyDescent="0.35">
      <c r="A328" t="s">
        <v>118</v>
      </c>
      <c r="B328" s="28" t="s">
        <v>75</v>
      </c>
      <c r="C328" s="76">
        <v>0.8</v>
      </c>
      <c r="D328" s="90"/>
      <c r="E328" s="91"/>
      <c r="F328" s="92"/>
      <c r="G328" s="122"/>
      <c r="H328" s="121">
        <f t="shared" si="106"/>
        <v>0.8</v>
      </c>
      <c r="I328" s="151"/>
    </row>
    <row r="329" spans="1:9" x14ac:dyDescent="0.35">
      <c r="A329" t="s">
        <v>118</v>
      </c>
      <c r="B329" s="28" t="s">
        <v>76</v>
      </c>
      <c r="C329" s="76">
        <v>0.8</v>
      </c>
      <c r="D329" s="90"/>
      <c r="E329" s="91"/>
      <c r="F329" s="92"/>
      <c r="G329" s="122"/>
      <c r="H329" s="121">
        <f t="shared" si="106"/>
        <v>0.8</v>
      </c>
      <c r="I329" s="151"/>
    </row>
    <row r="330" spans="1:9" ht="15" thickBot="1" x14ac:dyDescent="0.4">
      <c r="A330" t="s">
        <v>118</v>
      </c>
      <c r="B330" s="29" t="s">
        <v>77</v>
      </c>
      <c r="C330" s="126">
        <v>0.8</v>
      </c>
      <c r="D330" s="103"/>
      <c r="E330" s="105"/>
      <c r="F330" s="107"/>
      <c r="G330" s="127"/>
      <c r="H330" s="128">
        <f t="shared" si="106"/>
        <v>0.8</v>
      </c>
      <c r="I330" s="151"/>
    </row>
    <row r="331" spans="1:9" ht="15" thickBot="1" x14ac:dyDescent="0.4">
      <c r="B331" s="30"/>
      <c r="C331" s="31"/>
      <c r="D331" s="31"/>
      <c r="E331" s="31"/>
      <c r="F331" s="31"/>
      <c r="G331" s="31"/>
      <c r="H331" s="31"/>
    </row>
    <row r="332" spans="1:9" ht="15" thickBot="1" x14ac:dyDescent="0.4">
      <c r="A332" t="s">
        <v>120</v>
      </c>
      <c r="B332" s="123" t="s">
        <v>63</v>
      </c>
      <c r="C332" s="115">
        <f>SUM(C333:C359)</f>
        <v>390.40000000000157</v>
      </c>
      <c r="D332" s="115">
        <f t="shared" ref="D332" si="107">SUM(D333:D359)</f>
        <v>0</v>
      </c>
      <c r="E332" s="115">
        <f t="shared" ref="E332" si="108">SUM(E333:E359)</f>
        <v>0</v>
      </c>
      <c r="F332" s="115">
        <f t="shared" ref="F332" si="109">SUM(F333:F359)</f>
        <v>0</v>
      </c>
      <c r="G332" s="115">
        <f t="shared" ref="G332" si="110">SUM(G333:G359)</f>
        <v>0</v>
      </c>
      <c r="H332" s="115">
        <f>SUM(H333:H359)</f>
        <v>390.40000000000157</v>
      </c>
      <c r="I332" s="150" t="s">
        <v>121</v>
      </c>
    </row>
    <row r="333" spans="1:9" x14ac:dyDescent="0.35">
      <c r="A333" t="s">
        <v>120</v>
      </c>
      <c r="B333" s="124" t="s">
        <v>65</v>
      </c>
      <c r="C333" s="116">
        <v>0.8</v>
      </c>
      <c r="D333" s="117"/>
      <c r="E333" s="118"/>
      <c r="F333" s="119"/>
      <c r="G333" s="120"/>
      <c r="H333" s="125">
        <f>SUM(C333:G333)</f>
        <v>0.8</v>
      </c>
      <c r="I333" s="151"/>
    </row>
    <row r="334" spans="1:9" x14ac:dyDescent="0.35">
      <c r="A334" t="s">
        <v>120</v>
      </c>
      <c r="B334" s="28" t="s">
        <v>66</v>
      </c>
      <c r="C334" s="76">
        <v>0.8</v>
      </c>
      <c r="D334" s="90"/>
      <c r="E334" s="91"/>
      <c r="F334" s="92"/>
      <c r="G334" s="122"/>
      <c r="H334" s="121">
        <f t="shared" ref="H334:H345" si="111">SUM(C334:G334)</f>
        <v>0.8</v>
      </c>
      <c r="I334" s="151"/>
    </row>
    <row r="335" spans="1:9" x14ac:dyDescent="0.35">
      <c r="A335" t="s">
        <v>120</v>
      </c>
      <c r="B335" s="28" t="s">
        <v>67</v>
      </c>
      <c r="C335" s="76">
        <v>0.8</v>
      </c>
      <c r="D335" s="90"/>
      <c r="E335" s="91"/>
      <c r="F335" s="92"/>
      <c r="G335" s="122"/>
      <c r="H335" s="121">
        <f t="shared" si="111"/>
        <v>0.8</v>
      </c>
      <c r="I335" s="151"/>
    </row>
    <row r="336" spans="1:9" x14ac:dyDescent="0.35">
      <c r="A336" t="s">
        <v>120</v>
      </c>
      <c r="B336" s="28" t="s">
        <v>68</v>
      </c>
      <c r="C336" s="76">
        <v>0.8</v>
      </c>
      <c r="D336" s="90"/>
      <c r="E336" s="91"/>
      <c r="F336" s="92"/>
      <c r="G336" s="122"/>
      <c r="H336" s="121">
        <f t="shared" si="111"/>
        <v>0.8</v>
      </c>
      <c r="I336" s="151"/>
    </row>
    <row r="337" spans="1:9" x14ac:dyDescent="0.35">
      <c r="A337" t="s">
        <v>120</v>
      </c>
      <c r="B337" s="28" t="s">
        <v>69</v>
      </c>
      <c r="C337" s="76">
        <v>0.8</v>
      </c>
      <c r="D337" s="95"/>
      <c r="E337" s="96"/>
      <c r="F337" s="92"/>
      <c r="G337" s="122"/>
      <c r="H337" s="121">
        <f t="shared" si="111"/>
        <v>0.8</v>
      </c>
      <c r="I337" s="151"/>
    </row>
    <row r="338" spans="1:9" x14ac:dyDescent="0.35">
      <c r="A338" t="s">
        <v>120</v>
      </c>
      <c r="B338" s="28" t="s">
        <v>70</v>
      </c>
      <c r="C338" s="76">
        <v>0.8</v>
      </c>
      <c r="D338" s="90"/>
      <c r="E338" s="91"/>
      <c r="F338" s="92"/>
      <c r="G338" s="122"/>
      <c r="H338" s="121">
        <f t="shared" si="111"/>
        <v>0.8</v>
      </c>
      <c r="I338" s="151"/>
    </row>
    <row r="339" spans="1:9" x14ac:dyDescent="0.35">
      <c r="A339" t="s">
        <v>120</v>
      </c>
      <c r="B339" s="28" t="s">
        <v>71</v>
      </c>
      <c r="C339" s="76">
        <v>0.8</v>
      </c>
      <c r="D339" s="90"/>
      <c r="E339" s="91"/>
      <c r="F339" s="92"/>
      <c r="G339" s="122"/>
      <c r="H339" s="121">
        <f t="shared" si="111"/>
        <v>0.8</v>
      </c>
      <c r="I339" s="151"/>
    </row>
    <row r="340" spans="1:9" x14ac:dyDescent="0.35">
      <c r="A340" t="s">
        <v>120</v>
      </c>
      <c r="B340" s="28" t="s">
        <v>72</v>
      </c>
      <c r="C340" s="76">
        <v>0.8</v>
      </c>
      <c r="D340" s="90"/>
      <c r="E340" s="91"/>
      <c r="F340" s="92"/>
      <c r="G340" s="122"/>
      <c r="H340" s="121">
        <f t="shared" si="111"/>
        <v>0.8</v>
      </c>
      <c r="I340" s="151"/>
    </row>
    <row r="341" spans="1:9" x14ac:dyDescent="0.35">
      <c r="A341" t="s">
        <v>120</v>
      </c>
      <c r="B341" s="28" t="s">
        <v>73</v>
      </c>
      <c r="C341" s="76">
        <v>0.8</v>
      </c>
      <c r="D341" s="90"/>
      <c r="E341" s="91"/>
      <c r="F341" s="92"/>
      <c r="G341" s="122"/>
      <c r="H341" s="121">
        <f t="shared" si="111"/>
        <v>0.8</v>
      </c>
      <c r="I341" s="151"/>
    </row>
    <row r="342" spans="1:9" x14ac:dyDescent="0.35">
      <c r="A342" t="s">
        <v>120</v>
      </c>
      <c r="B342" s="28" t="s">
        <v>74</v>
      </c>
      <c r="C342" s="76">
        <v>0.8</v>
      </c>
      <c r="D342" s="90"/>
      <c r="E342" s="91"/>
      <c r="F342" s="92"/>
      <c r="G342" s="122"/>
      <c r="H342" s="121">
        <f t="shared" si="111"/>
        <v>0.8</v>
      </c>
      <c r="I342" s="151"/>
    </row>
    <row r="343" spans="1:9" x14ac:dyDescent="0.35">
      <c r="A343" t="s">
        <v>120</v>
      </c>
      <c r="B343" s="28" t="s">
        <v>75</v>
      </c>
      <c r="C343" s="76">
        <v>0.8</v>
      </c>
      <c r="D343" s="90"/>
      <c r="E343" s="91"/>
      <c r="F343" s="92"/>
      <c r="G343" s="122"/>
      <c r="H343" s="121">
        <f t="shared" si="111"/>
        <v>0.8</v>
      </c>
      <c r="I343" s="151"/>
    </row>
    <row r="344" spans="1:9" x14ac:dyDescent="0.35">
      <c r="A344" t="s">
        <v>120</v>
      </c>
      <c r="B344" s="28" t="s">
        <v>76</v>
      </c>
      <c r="C344" s="76">
        <v>0.8</v>
      </c>
      <c r="D344" s="90"/>
      <c r="E344" s="91"/>
      <c r="F344" s="92"/>
      <c r="G344" s="122"/>
      <c r="H344" s="121">
        <f t="shared" si="111"/>
        <v>0.8</v>
      </c>
      <c r="I344" s="151"/>
    </row>
    <row r="345" spans="1:9" ht="15" thickBot="1" x14ac:dyDescent="0.4">
      <c r="A345" t="s">
        <v>120</v>
      </c>
      <c r="B345" s="29" t="s">
        <v>77</v>
      </c>
      <c r="C345" s="126">
        <v>0.8</v>
      </c>
      <c r="D345" s="103"/>
      <c r="E345" s="105"/>
      <c r="F345" s="107"/>
      <c r="G345" s="127"/>
      <c r="H345" s="128">
        <f t="shared" si="111"/>
        <v>0.8</v>
      </c>
      <c r="I345" s="151"/>
    </row>
    <row r="346" spans="1:9" ht="15" thickBot="1" x14ac:dyDescent="0.4">
      <c r="B346" s="30"/>
      <c r="C346" s="31"/>
      <c r="D346" s="31"/>
      <c r="E346" s="31"/>
      <c r="F346" s="31"/>
      <c r="G346" s="31"/>
      <c r="H346" s="31"/>
    </row>
    <row r="347" spans="1:9" ht="15" thickBot="1" x14ac:dyDescent="0.4">
      <c r="A347" t="s">
        <v>122</v>
      </c>
      <c r="B347" s="123" t="s">
        <v>63</v>
      </c>
      <c r="C347" s="115">
        <f>SUM(C348:C374)</f>
        <v>370.40000000000146</v>
      </c>
      <c r="D347" s="115">
        <f t="shared" ref="D347" si="112">SUM(D348:D374)</f>
        <v>0</v>
      </c>
      <c r="E347" s="115">
        <f t="shared" ref="E347" si="113">SUM(E348:E374)</f>
        <v>0</v>
      </c>
      <c r="F347" s="115">
        <f t="shared" ref="F347" si="114">SUM(F348:F374)</f>
        <v>0</v>
      </c>
      <c r="G347" s="115">
        <f t="shared" ref="G347" si="115">SUM(G348:G374)</f>
        <v>0</v>
      </c>
      <c r="H347" s="115">
        <f>SUM(H348:H374)</f>
        <v>370.40000000000146</v>
      </c>
      <c r="I347" s="150" t="s">
        <v>123</v>
      </c>
    </row>
    <row r="348" spans="1:9" x14ac:dyDescent="0.35">
      <c r="A348" t="s">
        <v>122</v>
      </c>
      <c r="B348" s="124" t="s">
        <v>65</v>
      </c>
      <c r="C348" s="116">
        <v>0.8</v>
      </c>
      <c r="D348" s="117"/>
      <c r="E348" s="118"/>
      <c r="F348" s="119"/>
      <c r="G348" s="120"/>
      <c r="H348" s="125">
        <f>SUM(C348:G348)</f>
        <v>0.8</v>
      </c>
      <c r="I348" s="151"/>
    </row>
    <row r="349" spans="1:9" x14ac:dyDescent="0.35">
      <c r="A349" t="s">
        <v>122</v>
      </c>
      <c r="B349" s="28" t="s">
        <v>66</v>
      </c>
      <c r="C349" s="76">
        <v>0.8</v>
      </c>
      <c r="D349" s="90"/>
      <c r="E349" s="91"/>
      <c r="F349" s="92"/>
      <c r="G349" s="122"/>
      <c r="H349" s="121">
        <f t="shared" ref="H349:H360" si="116">SUM(C349:G349)</f>
        <v>0.8</v>
      </c>
      <c r="I349" s="151"/>
    </row>
    <row r="350" spans="1:9" x14ac:dyDescent="0.35">
      <c r="A350" t="s">
        <v>122</v>
      </c>
      <c r="B350" s="28" t="s">
        <v>67</v>
      </c>
      <c r="C350" s="76">
        <v>0.8</v>
      </c>
      <c r="D350" s="90"/>
      <c r="E350" s="91"/>
      <c r="F350" s="92"/>
      <c r="G350" s="122"/>
      <c r="H350" s="121">
        <f t="shared" si="116"/>
        <v>0.8</v>
      </c>
      <c r="I350" s="151"/>
    </row>
    <row r="351" spans="1:9" x14ac:dyDescent="0.35">
      <c r="A351" t="s">
        <v>122</v>
      </c>
      <c r="B351" s="28" t="s">
        <v>68</v>
      </c>
      <c r="C351" s="76">
        <v>0.8</v>
      </c>
      <c r="D351" s="90"/>
      <c r="E351" s="91"/>
      <c r="F351" s="92"/>
      <c r="G351" s="122"/>
      <c r="H351" s="121">
        <f t="shared" si="116"/>
        <v>0.8</v>
      </c>
      <c r="I351" s="151"/>
    </row>
    <row r="352" spans="1:9" x14ac:dyDescent="0.35">
      <c r="A352" t="s">
        <v>122</v>
      </c>
      <c r="B352" s="28" t="s">
        <v>69</v>
      </c>
      <c r="C352" s="76">
        <v>0.8</v>
      </c>
      <c r="D352" s="95"/>
      <c r="E352" s="96"/>
      <c r="F352" s="92"/>
      <c r="G352" s="122"/>
      <c r="H352" s="121">
        <f t="shared" si="116"/>
        <v>0.8</v>
      </c>
      <c r="I352" s="151"/>
    </row>
    <row r="353" spans="1:9" x14ac:dyDescent="0.35">
      <c r="A353" t="s">
        <v>122</v>
      </c>
      <c r="B353" s="28" t="s">
        <v>70</v>
      </c>
      <c r="C353" s="76">
        <v>0.8</v>
      </c>
      <c r="D353" s="90"/>
      <c r="E353" s="91"/>
      <c r="F353" s="92"/>
      <c r="G353" s="122"/>
      <c r="H353" s="121">
        <f t="shared" si="116"/>
        <v>0.8</v>
      </c>
      <c r="I353" s="151"/>
    </row>
    <row r="354" spans="1:9" x14ac:dyDescent="0.35">
      <c r="A354" t="s">
        <v>122</v>
      </c>
      <c r="B354" s="28" t="s">
        <v>71</v>
      </c>
      <c r="C354" s="76">
        <v>0.8</v>
      </c>
      <c r="D354" s="90"/>
      <c r="E354" s="91"/>
      <c r="F354" s="92"/>
      <c r="G354" s="122"/>
      <c r="H354" s="121">
        <f t="shared" si="116"/>
        <v>0.8</v>
      </c>
      <c r="I354" s="151"/>
    </row>
    <row r="355" spans="1:9" x14ac:dyDescent="0.35">
      <c r="A355" t="s">
        <v>122</v>
      </c>
      <c r="B355" s="28" t="s">
        <v>72</v>
      </c>
      <c r="C355" s="76">
        <v>0.8</v>
      </c>
      <c r="D355" s="90"/>
      <c r="E355" s="91"/>
      <c r="F355" s="92"/>
      <c r="G355" s="122"/>
      <c r="H355" s="121">
        <f t="shared" si="116"/>
        <v>0.8</v>
      </c>
      <c r="I355" s="151"/>
    </row>
    <row r="356" spans="1:9" x14ac:dyDescent="0.35">
      <c r="A356" t="s">
        <v>122</v>
      </c>
      <c r="B356" s="28" t="s">
        <v>73</v>
      </c>
      <c r="C356" s="76">
        <v>0.8</v>
      </c>
      <c r="D356" s="90"/>
      <c r="E356" s="91"/>
      <c r="F356" s="92"/>
      <c r="G356" s="122"/>
      <c r="H356" s="121">
        <f t="shared" si="116"/>
        <v>0.8</v>
      </c>
      <c r="I356" s="151"/>
    </row>
    <row r="357" spans="1:9" x14ac:dyDescent="0.35">
      <c r="A357" t="s">
        <v>122</v>
      </c>
      <c r="B357" s="28" t="s">
        <v>74</v>
      </c>
      <c r="C357" s="76">
        <v>0.8</v>
      </c>
      <c r="D357" s="90"/>
      <c r="E357" s="91"/>
      <c r="F357" s="92"/>
      <c r="G357" s="122"/>
      <c r="H357" s="121">
        <f t="shared" si="116"/>
        <v>0.8</v>
      </c>
      <c r="I357" s="151"/>
    </row>
    <row r="358" spans="1:9" x14ac:dyDescent="0.35">
      <c r="A358" t="s">
        <v>122</v>
      </c>
      <c r="B358" s="28" t="s">
        <v>75</v>
      </c>
      <c r="C358" s="76">
        <v>0.8</v>
      </c>
      <c r="D358" s="90"/>
      <c r="E358" s="91"/>
      <c r="F358" s="92"/>
      <c r="G358" s="122"/>
      <c r="H358" s="121">
        <f t="shared" si="116"/>
        <v>0.8</v>
      </c>
      <c r="I358" s="151"/>
    </row>
    <row r="359" spans="1:9" x14ac:dyDescent="0.35">
      <c r="A359" t="s">
        <v>122</v>
      </c>
      <c r="B359" s="28" t="s">
        <v>76</v>
      </c>
      <c r="C359" s="76">
        <v>0.8</v>
      </c>
      <c r="D359" s="90"/>
      <c r="E359" s="91"/>
      <c r="F359" s="92"/>
      <c r="G359" s="122"/>
      <c r="H359" s="121">
        <f t="shared" si="116"/>
        <v>0.8</v>
      </c>
      <c r="I359" s="151"/>
    </row>
    <row r="360" spans="1:9" ht="15" thickBot="1" x14ac:dyDescent="0.4">
      <c r="A360" t="s">
        <v>122</v>
      </c>
      <c r="B360" s="29" t="s">
        <v>77</v>
      </c>
      <c r="C360" s="126">
        <v>0.8</v>
      </c>
      <c r="D360" s="103"/>
      <c r="E360" s="105"/>
      <c r="F360" s="107"/>
      <c r="G360" s="127"/>
      <c r="H360" s="128">
        <f t="shared" si="116"/>
        <v>0.8</v>
      </c>
      <c r="I360" s="151"/>
    </row>
    <row r="361" spans="1:9" ht="15" thickBot="1" x14ac:dyDescent="0.4">
      <c r="B361" s="30"/>
      <c r="C361" s="31"/>
      <c r="D361" s="31"/>
      <c r="E361" s="31"/>
      <c r="F361" s="31"/>
      <c r="G361" s="31"/>
      <c r="H361" s="31"/>
    </row>
    <row r="362" spans="1:9" ht="15" thickBot="1" x14ac:dyDescent="0.4">
      <c r="A362" t="s">
        <v>124</v>
      </c>
      <c r="B362" s="123" t="s">
        <v>63</v>
      </c>
      <c r="C362" s="115">
        <f>SUM(C363:C389)</f>
        <v>350.40000000000134</v>
      </c>
      <c r="D362" s="115">
        <f t="shared" ref="D362" si="117">SUM(D363:D389)</f>
        <v>0</v>
      </c>
      <c r="E362" s="115">
        <f t="shared" ref="E362" si="118">SUM(E363:E389)</f>
        <v>0</v>
      </c>
      <c r="F362" s="115">
        <f t="shared" ref="F362" si="119">SUM(F363:F389)</f>
        <v>0</v>
      </c>
      <c r="G362" s="115">
        <f t="shared" ref="G362" si="120">SUM(G363:G389)</f>
        <v>0</v>
      </c>
      <c r="H362" s="115">
        <f>SUM(H363:H389)</f>
        <v>350.40000000000134</v>
      </c>
      <c r="I362" s="150" t="s">
        <v>125</v>
      </c>
    </row>
    <row r="363" spans="1:9" x14ac:dyDescent="0.35">
      <c r="A363" t="s">
        <v>124</v>
      </c>
      <c r="B363" s="124" t="s">
        <v>65</v>
      </c>
      <c r="C363" s="116">
        <v>0.8</v>
      </c>
      <c r="D363" s="117"/>
      <c r="E363" s="118"/>
      <c r="F363" s="119"/>
      <c r="G363" s="120"/>
      <c r="H363" s="125">
        <f>SUM(C363:G363)</f>
        <v>0.8</v>
      </c>
      <c r="I363" s="151"/>
    </row>
    <row r="364" spans="1:9" x14ac:dyDescent="0.35">
      <c r="A364" t="s">
        <v>124</v>
      </c>
      <c r="B364" s="28" t="s">
        <v>66</v>
      </c>
      <c r="C364" s="76">
        <v>0.8</v>
      </c>
      <c r="D364" s="90"/>
      <c r="E364" s="91"/>
      <c r="F364" s="92"/>
      <c r="G364" s="122"/>
      <c r="H364" s="121">
        <f t="shared" ref="H364:H375" si="121">SUM(C364:G364)</f>
        <v>0.8</v>
      </c>
      <c r="I364" s="151"/>
    </row>
    <row r="365" spans="1:9" x14ac:dyDescent="0.35">
      <c r="A365" t="s">
        <v>124</v>
      </c>
      <c r="B365" s="28" t="s">
        <v>67</v>
      </c>
      <c r="C365" s="76">
        <v>0.8</v>
      </c>
      <c r="D365" s="90"/>
      <c r="E365" s="91"/>
      <c r="F365" s="92"/>
      <c r="G365" s="122"/>
      <c r="H365" s="121">
        <f t="shared" si="121"/>
        <v>0.8</v>
      </c>
      <c r="I365" s="151"/>
    </row>
    <row r="366" spans="1:9" x14ac:dyDescent="0.35">
      <c r="A366" t="s">
        <v>124</v>
      </c>
      <c r="B366" s="28" t="s">
        <v>68</v>
      </c>
      <c r="C366" s="76">
        <v>0.8</v>
      </c>
      <c r="D366" s="90"/>
      <c r="E366" s="91"/>
      <c r="F366" s="92"/>
      <c r="G366" s="122"/>
      <c r="H366" s="121">
        <f t="shared" si="121"/>
        <v>0.8</v>
      </c>
      <c r="I366" s="151"/>
    </row>
    <row r="367" spans="1:9" x14ac:dyDescent="0.35">
      <c r="A367" t="s">
        <v>124</v>
      </c>
      <c r="B367" s="28" t="s">
        <v>69</v>
      </c>
      <c r="C367" s="76">
        <v>0.8</v>
      </c>
      <c r="D367" s="95"/>
      <c r="E367" s="96"/>
      <c r="F367" s="92"/>
      <c r="G367" s="122"/>
      <c r="H367" s="121">
        <f t="shared" si="121"/>
        <v>0.8</v>
      </c>
      <c r="I367" s="151"/>
    </row>
    <row r="368" spans="1:9" x14ac:dyDescent="0.35">
      <c r="A368" t="s">
        <v>124</v>
      </c>
      <c r="B368" s="28" t="s">
        <v>70</v>
      </c>
      <c r="C368" s="76">
        <v>0.8</v>
      </c>
      <c r="D368" s="90"/>
      <c r="E368" s="91"/>
      <c r="F368" s="92"/>
      <c r="G368" s="122"/>
      <c r="H368" s="121">
        <f t="shared" si="121"/>
        <v>0.8</v>
      </c>
      <c r="I368" s="151"/>
    </row>
    <row r="369" spans="1:9" x14ac:dyDescent="0.35">
      <c r="A369" t="s">
        <v>124</v>
      </c>
      <c r="B369" s="28" t="s">
        <v>71</v>
      </c>
      <c r="C369" s="76">
        <v>0.8</v>
      </c>
      <c r="D369" s="90"/>
      <c r="E369" s="91"/>
      <c r="F369" s="92"/>
      <c r="G369" s="122"/>
      <c r="H369" s="121">
        <f t="shared" si="121"/>
        <v>0.8</v>
      </c>
      <c r="I369" s="151"/>
    </row>
    <row r="370" spans="1:9" x14ac:dyDescent="0.35">
      <c r="A370" t="s">
        <v>124</v>
      </c>
      <c r="B370" s="28" t="s">
        <v>72</v>
      </c>
      <c r="C370" s="76">
        <v>0.8</v>
      </c>
      <c r="D370" s="90"/>
      <c r="E370" s="91"/>
      <c r="F370" s="92"/>
      <c r="G370" s="122"/>
      <c r="H370" s="121">
        <f t="shared" si="121"/>
        <v>0.8</v>
      </c>
      <c r="I370" s="151"/>
    </row>
    <row r="371" spans="1:9" x14ac:dyDescent="0.35">
      <c r="A371" t="s">
        <v>124</v>
      </c>
      <c r="B371" s="28" t="s">
        <v>73</v>
      </c>
      <c r="C371" s="76">
        <v>0.8</v>
      </c>
      <c r="D371" s="90"/>
      <c r="E371" s="91"/>
      <c r="F371" s="92"/>
      <c r="G371" s="122"/>
      <c r="H371" s="121">
        <f t="shared" si="121"/>
        <v>0.8</v>
      </c>
      <c r="I371" s="151"/>
    </row>
    <row r="372" spans="1:9" x14ac:dyDescent="0.35">
      <c r="A372" t="s">
        <v>124</v>
      </c>
      <c r="B372" s="28" t="s">
        <v>74</v>
      </c>
      <c r="C372" s="76">
        <v>0.8</v>
      </c>
      <c r="D372" s="90"/>
      <c r="E372" s="91"/>
      <c r="F372" s="92"/>
      <c r="G372" s="122"/>
      <c r="H372" s="121">
        <f t="shared" si="121"/>
        <v>0.8</v>
      </c>
      <c r="I372" s="151"/>
    </row>
    <row r="373" spans="1:9" x14ac:dyDescent="0.35">
      <c r="A373" t="s">
        <v>124</v>
      </c>
      <c r="B373" s="28" t="s">
        <v>75</v>
      </c>
      <c r="C373" s="76">
        <v>0.8</v>
      </c>
      <c r="D373" s="90"/>
      <c r="E373" s="91"/>
      <c r="F373" s="92"/>
      <c r="G373" s="122"/>
      <c r="H373" s="121">
        <f t="shared" si="121"/>
        <v>0.8</v>
      </c>
      <c r="I373" s="151"/>
    </row>
    <row r="374" spans="1:9" x14ac:dyDescent="0.35">
      <c r="A374" t="s">
        <v>124</v>
      </c>
      <c r="B374" s="28" t="s">
        <v>76</v>
      </c>
      <c r="C374" s="76">
        <v>0.8</v>
      </c>
      <c r="D374" s="90"/>
      <c r="E374" s="91"/>
      <c r="F374" s="92"/>
      <c r="G374" s="122"/>
      <c r="H374" s="121">
        <f t="shared" si="121"/>
        <v>0.8</v>
      </c>
      <c r="I374" s="151"/>
    </row>
    <row r="375" spans="1:9" ht="15" thickBot="1" x14ac:dyDescent="0.4">
      <c r="A375" t="s">
        <v>124</v>
      </c>
      <c r="B375" s="29" t="s">
        <v>77</v>
      </c>
      <c r="C375" s="126">
        <v>0.8</v>
      </c>
      <c r="D375" s="103"/>
      <c r="E375" s="105"/>
      <c r="F375" s="107"/>
      <c r="G375" s="127"/>
      <c r="H375" s="128">
        <f t="shared" si="121"/>
        <v>0.8</v>
      </c>
      <c r="I375" s="151"/>
    </row>
    <row r="376" spans="1:9" ht="15" thickBot="1" x14ac:dyDescent="0.4">
      <c r="B376" s="30"/>
      <c r="C376" s="31"/>
      <c r="D376" s="31"/>
      <c r="E376" s="31"/>
      <c r="F376" s="31"/>
      <c r="G376" s="31"/>
      <c r="H376" s="31"/>
    </row>
    <row r="377" spans="1:9" ht="15" thickBot="1" x14ac:dyDescent="0.4">
      <c r="A377" t="s">
        <v>126</v>
      </c>
      <c r="B377" s="123" t="s">
        <v>63</v>
      </c>
      <c r="C377" s="115">
        <f>SUM(C378:C404)</f>
        <v>330.40000000000123</v>
      </c>
      <c r="D377" s="115">
        <f t="shared" ref="D377" si="122">SUM(D378:D404)</f>
        <v>0</v>
      </c>
      <c r="E377" s="115">
        <f t="shared" ref="E377" si="123">SUM(E378:E404)</f>
        <v>0</v>
      </c>
      <c r="F377" s="115">
        <f t="shared" ref="F377" si="124">SUM(F378:F404)</f>
        <v>0</v>
      </c>
      <c r="G377" s="115">
        <f t="shared" ref="G377" si="125">SUM(G378:G404)</f>
        <v>0</v>
      </c>
      <c r="H377" s="115">
        <f>SUM(H378:H404)</f>
        <v>330.40000000000123</v>
      </c>
      <c r="I377" s="150" t="s">
        <v>127</v>
      </c>
    </row>
    <row r="378" spans="1:9" x14ac:dyDescent="0.35">
      <c r="A378" t="s">
        <v>126</v>
      </c>
      <c r="B378" s="124" t="s">
        <v>65</v>
      </c>
      <c r="C378" s="116">
        <v>0.8</v>
      </c>
      <c r="D378" s="117"/>
      <c r="E378" s="118"/>
      <c r="F378" s="119"/>
      <c r="G378" s="120"/>
      <c r="H378" s="125">
        <f>SUM(C378:G378)</f>
        <v>0.8</v>
      </c>
      <c r="I378" s="151"/>
    </row>
    <row r="379" spans="1:9" x14ac:dyDescent="0.35">
      <c r="A379" t="s">
        <v>126</v>
      </c>
      <c r="B379" s="28" t="s">
        <v>66</v>
      </c>
      <c r="C379" s="76">
        <v>0.8</v>
      </c>
      <c r="D379" s="90"/>
      <c r="E379" s="91"/>
      <c r="F379" s="92"/>
      <c r="G379" s="122"/>
      <c r="H379" s="121">
        <f t="shared" ref="H379:H390" si="126">SUM(C379:G379)</f>
        <v>0.8</v>
      </c>
      <c r="I379" s="151"/>
    </row>
    <row r="380" spans="1:9" x14ac:dyDescent="0.35">
      <c r="A380" t="s">
        <v>126</v>
      </c>
      <c r="B380" s="28" t="s">
        <v>67</v>
      </c>
      <c r="C380" s="76">
        <v>0.8</v>
      </c>
      <c r="D380" s="90"/>
      <c r="E380" s="91"/>
      <c r="F380" s="92"/>
      <c r="G380" s="122"/>
      <c r="H380" s="121">
        <f t="shared" si="126"/>
        <v>0.8</v>
      </c>
      <c r="I380" s="151"/>
    </row>
    <row r="381" spans="1:9" x14ac:dyDescent="0.35">
      <c r="A381" t="s">
        <v>126</v>
      </c>
      <c r="B381" s="28" t="s">
        <v>68</v>
      </c>
      <c r="C381" s="76">
        <v>0.8</v>
      </c>
      <c r="D381" s="90"/>
      <c r="E381" s="91"/>
      <c r="F381" s="92"/>
      <c r="G381" s="122"/>
      <c r="H381" s="121">
        <f t="shared" si="126"/>
        <v>0.8</v>
      </c>
      <c r="I381" s="151"/>
    </row>
    <row r="382" spans="1:9" x14ac:dyDescent="0.35">
      <c r="A382" t="s">
        <v>126</v>
      </c>
      <c r="B382" s="28" t="s">
        <v>69</v>
      </c>
      <c r="C382" s="76">
        <v>0.8</v>
      </c>
      <c r="D382" s="95"/>
      <c r="E382" s="96"/>
      <c r="F382" s="92"/>
      <c r="G382" s="122"/>
      <c r="H382" s="121">
        <f t="shared" si="126"/>
        <v>0.8</v>
      </c>
      <c r="I382" s="151"/>
    </row>
    <row r="383" spans="1:9" x14ac:dyDescent="0.35">
      <c r="A383" t="s">
        <v>126</v>
      </c>
      <c r="B383" s="28" t="s">
        <v>70</v>
      </c>
      <c r="C383" s="76">
        <v>0.8</v>
      </c>
      <c r="D383" s="90"/>
      <c r="E383" s="91"/>
      <c r="F383" s="92"/>
      <c r="G383" s="122"/>
      <c r="H383" s="121">
        <f t="shared" si="126"/>
        <v>0.8</v>
      </c>
      <c r="I383" s="151"/>
    </row>
    <row r="384" spans="1:9" x14ac:dyDescent="0.35">
      <c r="A384" t="s">
        <v>126</v>
      </c>
      <c r="B384" s="28" t="s">
        <v>71</v>
      </c>
      <c r="C384" s="76">
        <v>0.8</v>
      </c>
      <c r="D384" s="90"/>
      <c r="E384" s="91"/>
      <c r="F384" s="92"/>
      <c r="G384" s="122"/>
      <c r="H384" s="121">
        <f t="shared" si="126"/>
        <v>0.8</v>
      </c>
      <c r="I384" s="151"/>
    </row>
    <row r="385" spans="1:9" x14ac:dyDescent="0.35">
      <c r="A385" t="s">
        <v>126</v>
      </c>
      <c r="B385" s="28" t="s">
        <v>72</v>
      </c>
      <c r="C385" s="76">
        <v>0.8</v>
      </c>
      <c r="D385" s="90"/>
      <c r="E385" s="91"/>
      <c r="F385" s="92"/>
      <c r="G385" s="122"/>
      <c r="H385" s="121">
        <f t="shared" si="126"/>
        <v>0.8</v>
      </c>
      <c r="I385" s="151"/>
    </row>
    <row r="386" spans="1:9" x14ac:dyDescent="0.35">
      <c r="A386" t="s">
        <v>126</v>
      </c>
      <c r="B386" s="28" t="s">
        <v>73</v>
      </c>
      <c r="C386" s="76">
        <v>0.8</v>
      </c>
      <c r="D386" s="90"/>
      <c r="E386" s="91"/>
      <c r="F386" s="92"/>
      <c r="G386" s="122"/>
      <c r="H386" s="121">
        <f t="shared" si="126"/>
        <v>0.8</v>
      </c>
      <c r="I386" s="151"/>
    </row>
    <row r="387" spans="1:9" x14ac:dyDescent="0.35">
      <c r="A387" t="s">
        <v>126</v>
      </c>
      <c r="B387" s="28" t="s">
        <v>74</v>
      </c>
      <c r="C387" s="76">
        <v>0.8</v>
      </c>
      <c r="D387" s="90"/>
      <c r="E387" s="91"/>
      <c r="F387" s="92"/>
      <c r="G387" s="122"/>
      <c r="H387" s="121">
        <f t="shared" si="126"/>
        <v>0.8</v>
      </c>
      <c r="I387" s="151"/>
    </row>
    <row r="388" spans="1:9" x14ac:dyDescent="0.35">
      <c r="A388" t="s">
        <v>126</v>
      </c>
      <c r="B388" s="28" t="s">
        <v>75</v>
      </c>
      <c r="C388" s="76">
        <v>0.8</v>
      </c>
      <c r="D388" s="90"/>
      <c r="E388" s="91"/>
      <c r="F388" s="92"/>
      <c r="G388" s="122"/>
      <c r="H388" s="121">
        <f t="shared" si="126"/>
        <v>0.8</v>
      </c>
      <c r="I388" s="151"/>
    </row>
    <row r="389" spans="1:9" x14ac:dyDescent="0.35">
      <c r="A389" t="s">
        <v>126</v>
      </c>
      <c r="B389" s="28" t="s">
        <v>76</v>
      </c>
      <c r="C389" s="76">
        <v>0.8</v>
      </c>
      <c r="D389" s="90"/>
      <c r="E389" s="91"/>
      <c r="F389" s="92"/>
      <c r="G389" s="122"/>
      <c r="H389" s="121">
        <f t="shared" si="126"/>
        <v>0.8</v>
      </c>
      <c r="I389" s="151"/>
    </row>
    <row r="390" spans="1:9" ht="15" thickBot="1" x14ac:dyDescent="0.4">
      <c r="A390" t="s">
        <v>126</v>
      </c>
      <c r="B390" s="29" t="s">
        <v>77</v>
      </c>
      <c r="C390" s="126">
        <v>0.8</v>
      </c>
      <c r="D390" s="103"/>
      <c r="E390" s="105"/>
      <c r="F390" s="107"/>
      <c r="G390" s="127"/>
      <c r="H390" s="128">
        <f t="shared" si="126"/>
        <v>0.8</v>
      </c>
      <c r="I390" s="151"/>
    </row>
    <row r="391" spans="1:9" ht="15" thickBot="1" x14ac:dyDescent="0.4">
      <c r="B391" s="30"/>
      <c r="C391" s="31"/>
      <c r="D391" s="31"/>
      <c r="E391" s="31"/>
      <c r="F391" s="31"/>
      <c r="G391" s="31"/>
      <c r="H391" s="31"/>
    </row>
    <row r="392" spans="1:9" ht="15" thickBot="1" x14ac:dyDescent="0.4">
      <c r="A392" t="s">
        <v>128</v>
      </c>
      <c r="B392" s="123" t="s">
        <v>63</v>
      </c>
      <c r="C392" s="115">
        <f>SUM(C393:C419)</f>
        <v>310.40000000000111</v>
      </c>
      <c r="D392" s="115">
        <f t="shared" ref="D392" si="127">SUM(D393:D419)</f>
        <v>0</v>
      </c>
      <c r="E392" s="115">
        <f t="shared" ref="E392" si="128">SUM(E393:E419)</f>
        <v>0</v>
      </c>
      <c r="F392" s="115">
        <f t="shared" ref="F392" si="129">SUM(F393:F419)</f>
        <v>0</v>
      </c>
      <c r="G392" s="115">
        <f t="shared" ref="G392" si="130">SUM(G393:G419)</f>
        <v>0</v>
      </c>
      <c r="H392" s="115">
        <f>SUM(H393:H419)</f>
        <v>310.40000000000111</v>
      </c>
      <c r="I392" s="150" t="s">
        <v>129</v>
      </c>
    </row>
    <row r="393" spans="1:9" x14ac:dyDescent="0.35">
      <c r="A393" t="s">
        <v>128</v>
      </c>
      <c r="B393" s="124" t="s">
        <v>65</v>
      </c>
      <c r="C393" s="116">
        <v>0.8</v>
      </c>
      <c r="D393" s="117"/>
      <c r="E393" s="118"/>
      <c r="F393" s="119"/>
      <c r="G393" s="120"/>
      <c r="H393" s="125">
        <f>SUM(C393:G393)</f>
        <v>0.8</v>
      </c>
      <c r="I393" s="151"/>
    </row>
    <row r="394" spans="1:9" x14ac:dyDescent="0.35">
      <c r="A394" t="s">
        <v>128</v>
      </c>
      <c r="B394" s="28" t="s">
        <v>66</v>
      </c>
      <c r="C394" s="76">
        <v>0.8</v>
      </c>
      <c r="D394" s="90"/>
      <c r="E394" s="91"/>
      <c r="F394" s="92"/>
      <c r="G394" s="122"/>
      <c r="H394" s="121">
        <f t="shared" ref="H394:H405" si="131">SUM(C394:G394)</f>
        <v>0.8</v>
      </c>
      <c r="I394" s="151"/>
    </row>
    <row r="395" spans="1:9" x14ac:dyDescent="0.35">
      <c r="A395" t="s">
        <v>128</v>
      </c>
      <c r="B395" s="28" t="s">
        <v>67</v>
      </c>
      <c r="C395" s="76">
        <v>0.8</v>
      </c>
      <c r="D395" s="90"/>
      <c r="E395" s="91"/>
      <c r="F395" s="92"/>
      <c r="G395" s="122"/>
      <c r="H395" s="121">
        <f t="shared" si="131"/>
        <v>0.8</v>
      </c>
      <c r="I395" s="151"/>
    </row>
    <row r="396" spans="1:9" x14ac:dyDescent="0.35">
      <c r="A396" t="s">
        <v>128</v>
      </c>
      <c r="B396" s="28" t="s">
        <v>68</v>
      </c>
      <c r="C396" s="76">
        <v>0.8</v>
      </c>
      <c r="D396" s="90"/>
      <c r="E396" s="91"/>
      <c r="F396" s="92"/>
      <c r="G396" s="122"/>
      <c r="H396" s="121">
        <f t="shared" si="131"/>
        <v>0.8</v>
      </c>
      <c r="I396" s="151"/>
    </row>
    <row r="397" spans="1:9" x14ac:dyDescent="0.35">
      <c r="A397" t="s">
        <v>128</v>
      </c>
      <c r="B397" s="28" t="s">
        <v>69</v>
      </c>
      <c r="C397" s="76">
        <v>0.8</v>
      </c>
      <c r="D397" s="95"/>
      <c r="E397" s="96"/>
      <c r="F397" s="92"/>
      <c r="G397" s="122"/>
      <c r="H397" s="121">
        <f t="shared" si="131"/>
        <v>0.8</v>
      </c>
      <c r="I397" s="151"/>
    </row>
    <row r="398" spans="1:9" x14ac:dyDescent="0.35">
      <c r="A398" t="s">
        <v>128</v>
      </c>
      <c r="B398" s="28" t="s">
        <v>70</v>
      </c>
      <c r="C398" s="76">
        <v>0.8</v>
      </c>
      <c r="D398" s="90"/>
      <c r="E398" s="91"/>
      <c r="F398" s="92"/>
      <c r="G398" s="122"/>
      <c r="H398" s="121">
        <f t="shared" si="131"/>
        <v>0.8</v>
      </c>
      <c r="I398" s="151"/>
    </row>
    <row r="399" spans="1:9" x14ac:dyDescent="0.35">
      <c r="A399" t="s">
        <v>128</v>
      </c>
      <c r="B399" s="28" t="s">
        <v>71</v>
      </c>
      <c r="C399" s="76">
        <v>0.8</v>
      </c>
      <c r="D399" s="90"/>
      <c r="E399" s="91"/>
      <c r="F399" s="92"/>
      <c r="G399" s="122"/>
      <c r="H399" s="121">
        <f t="shared" si="131"/>
        <v>0.8</v>
      </c>
      <c r="I399" s="151"/>
    </row>
    <row r="400" spans="1:9" x14ac:dyDescent="0.35">
      <c r="A400" t="s">
        <v>128</v>
      </c>
      <c r="B400" s="28" t="s">
        <v>72</v>
      </c>
      <c r="C400" s="76">
        <v>0.8</v>
      </c>
      <c r="D400" s="90"/>
      <c r="E400" s="91"/>
      <c r="F400" s="92"/>
      <c r="G400" s="122"/>
      <c r="H400" s="121">
        <f t="shared" si="131"/>
        <v>0.8</v>
      </c>
      <c r="I400" s="151"/>
    </row>
    <row r="401" spans="1:9" x14ac:dyDescent="0.35">
      <c r="A401" t="s">
        <v>128</v>
      </c>
      <c r="B401" s="28" t="s">
        <v>73</v>
      </c>
      <c r="C401" s="76">
        <v>0.8</v>
      </c>
      <c r="D401" s="90"/>
      <c r="E401" s="91"/>
      <c r="F401" s="92"/>
      <c r="G401" s="122"/>
      <c r="H401" s="121">
        <f t="shared" si="131"/>
        <v>0.8</v>
      </c>
      <c r="I401" s="151"/>
    </row>
    <row r="402" spans="1:9" x14ac:dyDescent="0.35">
      <c r="A402" t="s">
        <v>128</v>
      </c>
      <c r="B402" s="28" t="s">
        <v>74</v>
      </c>
      <c r="C402" s="76">
        <v>0.8</v>
      </c>
      <c r="D402" s="90"/>
      <c r="E402" s="91"/>
      <c r="F402" s="92"/>
      <c r="G402" s="122"/>
      <c r="H402" s="121">
        <f t="shared" si="131"/>
        <v>0.8</v>
      </c>
      <c r="I402" s="151"/>
    </row>
    <row r="403" spans="1:9" x14ac:dyDescent="0.35">
      <c r="A403" t="s">
        <v>128</v>
      </c>
      <c r="B403" s="28" t="s">
        <v>75</v>
      </c>
      <c r="C403" s="76">
        <v>0.8</v>
      </c>
      <c r="D403" s="90"/>
      <c r="E403" s="91"/>
      <c r="F403" s="92"/>
      <c r="G403" s="122"/>
      <c r="H403" s="121">
        <f t="shared" si="131"/>
        <v>0.8</v>
      </c>
      <c r="I403" s="151"/>
    </row>
    <row r="404" spans="1:9" x14ac:dyDescent="0.35">
      <c r="A404" t="s">
        <v>128</v>
      </c>
      <c r="B404" s="28" t="s">
        <v>76</v>
      </c>
      <c r="C404" s="76">
        <v>0.8</v>
      </c>
      <c r="D404" s="90"/>
      <c r="E404" s="91"/>
      <c r="F404" s="92"/>
      <c r="G404" s="122"/>
      <c r="H404" s="121">
        <f t="shared" si="131"/>
        <v>0.8</v>
      </c>
      <c r="I404" s="151"/>
    </row>
    <row r="405" spans="1:9" ht="15" thickBot="1" x14ac:dyDescent="0.4">
      <c r="A405" t="s">
        <v>128</v>
      </c>
      <c r="B405" s="29" t="s">
        <v>77</v>
      </c>
      <c r="C405" s="126">
        <v>0.8</v>
      </c>
      <c r="D405" s="103"/>
      <c r="E405" s="105"/>
      <c r="F405" s="107"/>
      <c r="G405" s="127"/>
      <c r="H405" s="128">
        <f t="shared" si="131"/>
        <v>0.8</v>
      </c>
      <c r="I405" s="151"/>
    </row>
    <row r="406" spans="1:9" ht="15" thickBot="1" x14ac:dyDescent="0.4">
      <c r="B406" s="30"/>
      <c r="C406" s="31"/>
      <c r="D406" s="31"/>
      <c r="E406" s="31"/>
      <c r="F406" s="31"/>
      <c r="G406" s="31"/>
      <c r="H406" s="31"/>
    </row>
    <row r="407" spans="1:9" ht="15" thickBot="1" x14ac:dyDescent="0.4">
      <c r="A407" t="s">
        <v>130</v>
      </c>
      <c r="B407" s="123" t="s">
        <v>63</v>
      </c>
      <c r="C407" s="115">
        <f>SUM(C408:C434)</f>
        <v>290.400000000001</v>
      </c>
      <c r="D407" s="115">
        <f t="shared" ref="D407" si="132">SUM(D408:D434)</f>
        <v>0</v>
      </c>
      <c r="E407" s="115">
        <f t="shared" ref="E407" si="133">SUM(E408:E434)</f>
        <v>0</v>
      </c>
      <c r="F407" s="115">
        <f t="shared" ref="F407" si="134">SUM(F408:F434)</f>
        <v>0</v>
      </c>
      <c r="G407" s="115">
        <f t="shared" ref="G407" si="135">SUM(G408:G434)</f>
        <v>0</v>
      </c>
      <c r="H407" s="115">
        <f>SUM(H408:H434)</f>
        <v>290.400000000001</v>
      </c>
      <c r="I407" s="150" t="s">
        <v>131</v>
      </c>
    </row>
    <row r="408" spans="1:9" x14ac:dyDescent="0.35">
      <c r="A408" t="s">
        <v>130</v>
      </c>
      <c r="B408" s="124" t="s">
        <v>65</v>
      </c>
      <c r="C408" s="116">
        <v>0.8</v>
      </c>
      <c r="D408" s="117"/>
      <c r="E408" s="118"/>
      <c r="F408" s="119"/>
      <c r="G408" s="120"/>
      <c r="H408" s="125">
        <f>SUM(C408:G408)</f>
        <v>0.8</v>
      </c>
      <c r="I408" s="151"/>
    </row>
    <row r="409" spans="1:9" x14ac:dyDescent="0.35">
      <c r="A409" t="s">
        <v>130</v>
      </c>
      <c r="B409" s="28" t="s">
        <v>66</v>
      </c>
      <c r="C409" s="76">
        <v>0.8</v>
      </c>
      <c r="D409" s="90"/>
      <c r="E409" s="91"/>
      <c r="F409" s="92"/>
      <c r="G409" s="122"/>
      <c r="H409" s="121">
        <f t="shared" ref="H409:H420" si="136">SUM(C409:G409)</f>
        <v>0.8</v>
      </c>
      <c r="I409" s="151"/>
    </row>
    <row r="410" spans="1:9" x14ac:dyDescent="0.35">
      <c r="A410" t="s">
        <v>130</v>
      </c>
      <c r="B410" s="28" t="s">
        <v>67</v>
      </c>
      <c r="C410" s="76">
        <v>0.8</v>
      </c>
      <c r="D410" s="90"/>
      <c r="E410" s="91"/>
      <c r="F410" s="92"/>
      <c r="G410" s="122"/>
      <c r="H410" s="121">
        <f t="shared" si="136"/>
        <v>0.8</v>
      </c>
      <c r="I410" s="151"/>
    </row>
    <row r="411" spans="1:9" x14ac:dyDescent="0.35">
      <c r="A411" t="s">
        <v>130</v>
      </c>
      <c r="B411" s="28" t="s">
        <v>68</v>
      </c>
      <c r="C411" s="76">
        <v>0.8</v>
      </c>
      <c r="D411" s="90"/>
      <c r="E411" s="91"/>
      <c r="F411" s="92"/>
      <c r="G411" s="122"/>
      <c r="H411" s="121">
        <f t="shared" si="136"/>
        <v>0.8</v>
      </c>
      <c r="I411" s="151"/>
    </row>
    <row r="412" spans="1:9" x14ac:dyDescent="0.35">
      <c r="A412" t="s">
        <v>130</v>
      </c>
      <c r="B412" s="28" t="s">
        <v>69</v>
      </c>
      <c r="C412" s="76">
        <v>0.8</v>
      </c>
      <c r="D412" s="95"/>
      <c r="E412" s="96"/>
      <c r="F412" s="92"/>
      <c r="G412" s="122"/>
      <c r="H412" s="121">
        <f t="shared" si="136"/>
        <v>0.8</v>
      </c>
      <c r="I412" s="151"/>
    </row>
    <row r="413" spans="1:9" x14ac:dyDescent="0.35">
      <c r="A413" t="s">
        <v>130</v>
      </c>
      <c r="B413" s="28" t="s">
        <v>70</v>
      </c>
      <c r="C413" s="76">
        <v>0.8</v>
      </c>
      <c r="D413" s="90"/>
      <c r="E413" s="91"/>
      <c r="F413" s="92"/>
      <c r="G413" s="122"/>
      <c r="H413" s="121">
        <f t="shared" si="136"/>
        <v>0.8</v>
      </c>
      <c r="I413" s="151"/>
    </row>
    <row r="414" spans="1:9" x14ac:dyDescent="0.35">
      <c r="A414" t="s">
        <v>130</v>
      </c>
      <c r="B414" s="28" t="s">
        <v>71</v>
      </c>
      <c r="C414" s="76">
        <v>0.8</v>
      </c>
      <c r="D414" s="90"/>
      <c r="E414" s="91"/>
      <c r="F414" s="92"/>
      <c r="G414" s="122"/>
      <c r="H414" s="121">
        <f t="shared" si="136"/>
        <v>0.8</v>
      </c>
      <c r="I414" s="151"/>
    </row>
    <row r="415" spans="1:9" x14ac:dyDescent="0.35">
      <c r="A415" t="s">
        <v>130</v>
      </c>
      <c r="B415" s="28" t="s">
        <v>72</v>
      </c>
      <c r="C415" s="76">
        <v>0.8</v>
      </c>
      <c r="D415" s="90"/>
      <c r="E415" s="91"/>
      <c r="F415" s="92"/>
      <c r="G415" s="122"/>
      <c r="H415" s="121">
        <f t="shared" si="136"/>
        <v>0.8</v>
      </c>
      <c r="I415" s="151"/>
    </row>
    <row r="416" spans="1:9" x14ac:dyDescent="0.35">
      <c r="A416" t="s">
        <v>130</v>
      </c>
      <c r="B416" s="28" t="s">
        <v>73</v>
      </c>
      <c r="C416" s="76">
        <v>0.8</v>
      </c>
      <c r="D416" s="90"/>
      <c r="E416" s="91"/>
      <c r="F416" s="92"/>
      <c r="G416" s="122"/>
      <c r="H416" s="121">
        <f t="shared" si="136"/>
        <v>0.8</v>
      </c>
      <c r="I416" s="151"/>
    </row>
    <row r="417" spans="1:9" x14ac:dyDescent="0.35">
      <c r="A417" t="s">
        <v>130</v>
      </c>
      <c r="B417" s="28" t="s">
        <v>74</v>
      </c>
      <c r="C417" s="76">
        <v>0.8</v>
      </c>
      <c r="D417" s="90"/>
      <c r="E417" s="91"/>
      <c r="F417" s="92"/>
      <c r="G417" s="122"/>
      <c r="H417" s="121">
        <f t="shared" si="136"/>
        <v>0.8</v>
      </c>
      <c r="I417" s="151"/>
    </row>
    <row r="418" spans="1:9" x14ac:dyDescent="0.35">
      <c r="A418" t="s">
        <v>130</v>
      </c>
      <c r="B418" s="28" t="s">
        <v>75</v>
      </c>
      <c r="C418" s="76">
        <v>0.8</v>
      </c>
      <c r="D418" s="90"/>
      <c r="E418" s="91"/>
      <c r="F418" s="92"/>
      <c r="G418" s="122"/>
      <c r="H418" s="121">
        <f t="shared" si="136"/>
        <v>0.8</v>
      </c>
      <c r="I418" s="151"/>
    </row>
    <row r="419" spans="1:9" x14ac:dyDescent="0.35">
      <c r="A419" t="s">
        <v>130</v>
      </c>
      <c r="B419" s="28" t="s">
        <v>76</v>
      </c>
      <c r="C419" s="76">
        <v>0.8</v>
      </c>
      <c r="D419" s="90"/>
      <c r="E419" s="91"/>
      <c r="F419" s="92"/>
      <c r="G419" s="122"/>
      <c r="H419" s="121">
        <f t="shared" si="136"/>
        <v>0.8</v>
      </c>
      <c r="I419" s="151"/>
    </row>
    <row r="420" spans="1:9" ht="15" thickBot="1" x14ac:dyDescent="0.4">
      <c r="A420" t="s">
        <v>130</v>
      </c>
      <c r="B420" s="29" t="s">
        <v>77</v>
      </c>
      <c r="C420" s="126">
        <v>0.8</v>
      </c>
      <c r="D420" s="103"/>
      <c r="E420" s="105"/>
      <c r="F420" s="107"/>
      <c r="G420" s="127"/>
      <c r="H420" s="128">
        <f t="shared" si="136"/>
        <v>0.8</v>
      </c>
      <c r="I420" s="151"/>
    </row>
    <row r="421" spans="1:9" ht="15" thickBot="1" x14ac:dyDescent="0.4">
      <c r="B421" s="30"/>
      <c r="C421" s="31"/>
      <c r="D421" s="31"/>
      <c r="E421" s="31"/>
      <c r="F421" s="31"/>
      <c r="G421" s="31"/>
      <c r="H421" s="31"/>
    </row>
    <row r="422" spans="1:9" ht="15" thickBot="1" x14ac:dyDescent="0.4">
      <c r="A422" t="s">
        <v>132</v>
      </c>
      <c r="B422" s="123" t="s">
        <v>63</v>
      </c>
      <c r="C422" s="115">
        <f>SUM(C423:C449)</f>
        <v>270.40000000000089</v>
      </c>
      <c r="D422" s="115">
        <f t="shared" ref="D422" si="137">SUM(D423:D449)</f>
        <v>0</v>
      </c>
      <c r="E422" s="115">
        <f t="shared" ref="E422" si="138">SUM(E423:E449)</f>
        <v>0</v>
      </c>
      <c r="F422" s="115">
        <f t="shared" ref="F422" si="139">SUM(F423:F449)</f>
        <v>0</v>
      </c>
      <c r="G422" s="115">
        <f t="shared" ref="G422" si="140">SUM(G423:G449)</f>
        <v>0</v>
      </c>
      <c r="H422" s="115">
        <f>SUM(H423:H449)</f>
        <v>270.40000000000089</v>
      </c>
      <c r="I422" s="150" t="s">
        <v>133</v>
      </c>
    </row>
    <row r="423" spans="1:9" x14ac:dyDescent="0.35">
      <c r="A423" t="s">
        <v>132</v>
      </c>
      <c r="B423" s="124" t="s">
        <v>65</v>
      </c>
      <c r="C423" s="116">
        <v>0.8</v>
      </c>
      <c r="D423" s="117"/>
      <c r="E423" s="118"/>
      <c r="F423" s="119"/>
      <c r="G423" s="120"/>
      <c r="H423" s="125">
        <f>SUM(C423:G423)</f>
        <v>0.8</v>
      </c>
      <c r="I423" s="151"/>
    </row>
    <row r="424" spans="1:9" x14ac:dyDescent="0.35">
      <c r="A424" t="s">
        <v>132</v>
      </c>
      <c r="B424" s="28" t="s">
        <v>66</v>
      </c>
      <c r="C424" s="76">
        <v>0.8</v>
      </c>
      <c r="D424" s="90"/>
      <c r="E424" s="91"/>
      <c r="F424" s="92"/>
      <c r="G424" s="122"/>
      <c r="H424" s="121">
        <f t="shared" ref="H424:H435" si="141">SUM(C424:G424)</f>
        <v>0.8</v>
      </c>
      <c r="I424" s="151"/>
    </row>
    <row r="425" spans="1:9" x14ac:dyDescent="0.35">
      <c r="A425" t="s">
        <v>132</v>
      </c>
      <c r="B425" s="28" t="s">
        <v>67</v>
      </c>
      <c r="C425" s="76">
        <v>0.8</v>
      </c>
      <c r="D425" s="90"/>
      <c r="E425" s="91"/>
      <c r="F425" s="92"/>
      <c r="G425" s="122"/>
      <c r="H425" s="121">
        <f t="shared" si="141"/>
        <v>0.8</v>
      </c>
      <c r="I425" s="151"/>
    </row>
    <row r="426" spans="1:9" x14ac:dyDescent="0.35">
      <c r="A426" t="s">
        <v>132</v>
      </c>
      <c r="B426" s="28" t="s">
        <v>68</v>
      </c>
      <c r="C426" s="76">
        <v>0.8</v>
      </c>
      <c r="D426" s="90"/>
      <c r="E426" s="91"/>
      <c r="F426" s="92"/>
      <c r="G426" s="122"/>
      <c r="H426" s="121">
        <f t="shared" si="141"/>
        <v>0.8</v>
      </c>
      <c r="I426" s="151"/>
    </row>
    <row r="427" spans="1:9" x14ac:dyDescent="0.35">
      <c r="A427" t="s">
        <v>132</v>
      </c>
      <c r="B427" s="28" t="s">
        <v>69</v>
      </c>
      <c r="C427" s="76">
        <v>0.8</v>
      </c>
      <c r="D427" s="95"/>
      <c r="E427" s="96"/>
      <c r="F427" s="92"/>
      <c r="G427" s="122"/>
      <c r="H427" s="121">
        <f t="shared" si="141"/>
        <v>0.8</v>
      </c>
      <c r="I427" s="151"/>
    </row>
    <row r="428" spans="1:9" x14ac:dyDescent="0.35">
      <c r="A428" t="s">
        <v>132</v>
      </c>
      <c r="B428" s="28" t="s">
        <v>70</v>
      </c>
      <c r="C428" s="76">
        <v>0.8</v>
      </c>
      <c r="D428" s="90"/>
      <c r="E428" s="91"/>
      <c r="F428" s="92"/>
      <c r="G428" s="122"/>
      <c r="H428" s="121">
        <f t="shared" si="141"/>
        <v>0.8</v>
      </c>
      <c r="I428" s="151"/>
    </row>
    <row r="429" spans="1:9" x14ac:dyDescent="0.35">
      <c r="A429" t="s">
        <v>132</v>
      </c>
      <c r="B429" s="28" t="s">
        <v>71</v>
      </c>
      <c r="C429" s="76">
        <v>0.8</v>
      </c>
      <c r="D429" s="90"/>
      <c r="E429" s="91"/>
      <c r="F429" s="92"/>
      <c r="G429" s="122"/>
      <c r="H429" s="121">
        <f t="shared" si="141"/>
        <v>0.8</v>
      </c>
      <c r="I429" s="151"/>
    </row>
    <row r="430" spans="1:9" x14ac:dyDescent="0.35">
      <c r="A430" t="s">
        <v>132</v>
      </c>
      <c r="B430" s="28" t="s">
        <v>72</v>
      </c>
      <c r="C430" s="76">
        <v>0.8</v>
      </c>
      <c r="D430" s="90"/>
      <c r="E430" s="91"/>
      <c r="F430" s="92"/>
      <c r="G430" s="122"/>
      <c r="H430" s="121">
        <f t="shared" si="141"/>
        <v>0.8</v>
      </c>
      <c r="I430" s="151"/>
    </row>
    <row r="431" spans="1:9" x14ac:dyDescent="0.35">
      <c r="A431" t="s">
        <v>132</v>
      </c>
      <c r="B431" s="28" t="s">
        <v>73</v>
      </c>
      <c r="C431" s="76">
        <v>0.8</v>
      </c>
      <c r="D431" s="90"/>
      <c r="E431" s="91"/>
      <c r="F431" s="92"/>
      <c r="G431" s="122"/>
      <c r="H431" s="121">
        <f t="shared" si="141"/>
        <v>0.8</v>
      </c>
      <c r="I431" s="151"/>
    </row>
    <row r="432" spans="1:9" x14ac:dyDescent="0.35">
      <c r="A432" t="s">
        <v>132</v>
      </c>
      <c r="B432" s="28" t="s">
        <v>74</v>
      </c>
      <c r="C432" s="76">
        <v>0.8</v>
      </c>
      <c r="D432" s="90"/>
      <c r="E432" s="91"/>
      <c r="F432" s="92"/>
      <c r="G432" s="122"/>
      <c r="H432" s="121">
        <f t="shared" si="141"/>
        <v>0.8</v>
      </c>
      <c r="I432" s="151"/>
    </row>
    <row r="433" spans="1:9" x14ac:dyDescent="0.35">
      <c r="A433" t="s">
        <v>132</v>
      </c>
      <c r="B433" s="28" t="s">
        <v>75</v>
      </c>
      <c r="C433" s="76">
        <v>0.8</v>
      </c>
      <c r="D433" s="90"/>
      <c r="E433" s="91"/>
      <c r="F433" s="92"/>
      <c r="G433" s="122"/>
      <c r="H433" s="121">
        <f t="shared" si="141"/>
        <v>0.8</v>
      </c>
      <c r="I433" s="151"/>
    </row>
    <row r="434" spans="1:9" x14ac:dyDescent="0.35">
      <c r="A434" t="s">
        <v>132</v>
      </c>
      <c r="B434" s="28" t="s">
        <v>76</v>
      </c>
      <c r="C434" s="76">
        <v>0.8</v>
      </c>
      <c r="D434" s="90"/>
      <c r="E434" s="91"/>
      <c r="F434" s="92"/>
      <c r="G434" s="122"/>
      <c r="H434" s="121">
        <f t="shared" si="141"/>
        <v>0.8</v>
      </c>
      <c r="I434" s="151"/>
    </row>
    <row r="435" spans="1:9" ht="15" thickBot="1" x14ac:dyDescent="0.4">
      <c r="A435" t="s">
        <v>132</v>
      </c>
      <c r="B435" s="29" t="s">
        <v>77</v>
      </c>
      <c r="C435" s="126">
        <v>0.8</v>
      </c>
      <c r="D435" s="103"/>
      <c r="E435" s="105"/>
      <c r="F435" s="107"/>
      <c r="G435" s="127"/>
      <c r="H435" s="128">
        <f t="shared" si="141"/>
        <v>0.8</v>
      </c>
      <c r="I435" s="151"/>
    </row>
    <row r="436" spans="1:9" ht="15" thickBot="1" x14ac:dyDescent="0.4">
      <c r="B436" s="30"/>
      <c r="C436" s="31"/>
      <c r="D436" s="31"/>
      <c r="E436" s="31"/>
      <c r="F436" s="31"/>
      <c r="G436" s="31"/>
      <c r="H436" s="31"/>
    </row>
    <row r="437" spans="1:9" ht="15" thickBot="1" x14ac:dyDescent="0.4">
      <c r="A437" t="s">
        <v>134</v>
      </c>
      <c r="B437" s="123" t="s">
        <v>63</v>
      </c>
      <c r="C437" s="115">
        <f>SUM(C438:C464)</f>
        <v>250.40000000000074</v>
      </c>
      <c r="D437" s="115">
        <f t="shared" ref="D437" si="142">SUM(D438:D464)</f>
        <v>0</v>
      </c>
      <c r="E437" s="115">
        <f t="shared" ref="E437" si="143">SUM(E438:E464)</f>
        <v>0</v>
      </c>
      <c r="F437" s="115">
        <f t="shared" ref="F437" si="144">SUM(F438:F464)</f>
        <v>0</v>
      </c>
      <c r="G437" s="115">
        <f t="shared" ref="G437" si="145">SUM(G438:G464)</f>
        <v>0</v>
      </c>
      <c r="H437" s="115">
        <f>SUM(H438:H464)</f>
        <v>250.40000000000074</v>
      </c>
      <c r="I437" s="150" t="s">
        <v>135</v>
      </c>
    </row>
    <row r="438" spans="1:9" x14ac:dyDescent="0.35">
      <c r="A438" t="s">
        <v>134</v>
      </c>
      <c r="B438" s="124" t="s">
        <v>65</v>
      </c>
      <c r="C438" s="116">
        <v>0.8</v>
      </c>
      <c r="D438" s="117"/>
      <c r="E438" s="118"/>
      <c r="F438" s="119"/>
      <c r="G438" s="120"/>
      <c r="H438" s="125">
        <f>SUM(C438:G438)</f>
        <v>0.8</v>
      </c>
      <c r="I438" s="151"/>
    </row>
    <row r="439" spans="1:9" x14ac:dyDescent="0.35">
      <c r="A439" t="s">
        <v>134</v>
      </c>
      <c r="B439" s="28" t="s">
        <v>66</v>
      </c>
      <c r="C439" s="76">
        <v>0.8</v>
      </c>
      <c r="D439" s="90"/>
      <c r="E439" s="91"/>
      <c r="F439" s="92"/>
      <c r="G439" s="122"/>
      <c r="H439" s="121">
        <f t="shared" ref="H439:H450" si="146">SUM(C439:G439)</f>
        <v>0.8</v>
      </c>
      <c r="I439" s="151"/>
    </row>
    <row r="440" spans="1:9" x14ac:dyDescent="0.35">
      <c r="A440" t="s">
        <v>134</v>
      </c>
      <c r="B440" s="28" t="s">
        <v>67</v>
      </c>
      <c r="C440" s="76">
        <v>0.8</v>
      </c>
      <c r="D440" s="90"/>
      <c r="E440" s="91"/>
      <c r="F440" s="92"/>
      <c r="G440" s="122"/>
      <c r="H440" s="121">
        <f t="shared" si="146"/>
        <v>0.8</v>
      </c>
      <c r="I440" s="151"/>
    </row>
    <row r="441" spans="1:9" x14ac:dyDescent="0.35">
      <c r="A441" t="s">
        <v>134</v>
      </c>
      <c r="B441" s="28" t="s">
        <v>68</v>
      </c>
      <c r="C441" s="76">
        <v>0.8</v>
      </c>
      <c r="D441" s="90"/>
      <c r="E441" s="91"/>
      <c r="F441" s="92"/>
      <c r="G441" s="122"/>
      <c r="H441" s="121">
        <f t="shared" si="146"/>
        <v>0.8</v>
      </c>
      <c r="I441" s="151"/>
    </row>
    <row r="442" spans="1:9" x14ac:dyDescent="0.35">
      <c r="A442" t="s">
        <v>134</v>
      </c>
      <c r="B442" s="28" t="s">
        <v>69</v>
      </c>
      <c r="C442" s="76">
        <v>0.8</v>
      </c>
      <c r="D442" s="95"/>
      <c r="E442" s="96"/>
      <c r="F442" s="92"/>
      <c r="G442" s="122"/>
      <c r="H442" s="121">
        <f t="shared" si="146"/>
        <v>0.8</v>
      </c>
      <c r="I442" s="151"/>
    </row>
    <row r="443" spans="1:9" x14ac:dyDescent="0.35">
      <c r="A443" t="s">
        <v>134</v>
      </c>
      <c r="B443" s="28" t="s">
        <v>70</v>
      </c>
      <c r="C443" s="76">
        <v>0.8</v>
      </c>
      <c r="D443" s="90"/>
      <c r="E443" s="91"/>
      <c r="F443" s="92"/>
      <c r="G443" s="122"/>
      <c r="H443" s="121">
        <f t="shared" si="146"/>
        <v>0.8</v>
      </c>
      <c r="I443" s="151"/>
    </row>
    <row r="444" spans="1:9" x14ac:dyDescent="0.35">
      <c r="A444" t="s">
        <v>134</v>
      </c>
      <c r="B444" s="28" t="s">
        <v>71</v>
      </c>
      <c r="C444" s="76">
        <v>0.8</v>
      </c>
      <c r="D444" s="90"/>
      <c r="E444" s="91"/>
      <c r="F444" s="92"/>
      <c r="G444" s="122"/>
      <c r="H444" s="121">
        <f t="shared" si="146"/>
        <v>0.8</v>
      </c>
      <c r="I444" s="151"/>
    </row>
    <row r="445" spans="1:9" x14ac:dyDescent="0.35">
      <c r="A445" t="s">
        <v>134</v>
      </c>
      <c r="B445" s="28" t="s">
        <v>72</v>
      </c>
      <c r="C445" s="76">
        <v>0.8</v>
      </c>
      <c r="D445" s="90"/>
      <c r="E445" s="91"/>
      <c r="F445" s="92"/>
      <c r="G445" s="122"/>
      <c r="H445" s="121">
        <f t="shared" si="146"/>
        <v>0.8</v>
      </c>
      <c r="I445" s="151"/>
    </row>
    <row r="446" spans="1:9" x14ac:dyDescent="0.35">
      <c r="A446" t="s">
        <v>134</v>
      </c>
      <c r="B446" s="28" t="s">
        <v>73</v>
      </c>
      <c r="C446" s="76">
        <v>0.8</v>
      </c>
      <c r="D446" s="90"/>
      <c r="E446" s="91"/>
      <c r="F446" s="92"/>
      <c r="G446" s="122"/>
      <c r="H446" s="121">
        <f t="shared" si="146"/>
        <v>0.8</v>
      </c>
      <c r="I446" s="151"/>
    </row>
    <row r="447" spans="1:9" x14ac:dyDescent="0.35">
      <c r="A447" t="s">
        <v>134</v>
      </c>
      <c r="B447" s="28" t="s">
        <v>74</v>
      </c>
      <c r="C447" s="76">
        <v>0.8</v>
      </c>
      <c r="D447" s="90"/>
      <c r="E447" s="91"/>
      <c r="F447" s="92"/>
      <c r="G447" s="122"/>
      <c r="H447" s="121">
        <f t="shared" si="146"/>
        <v>0.8</v>
      </c>
      <c r="I447" s="151"/>
    </row>
    <row r="448" spans="1:9" x14ac:dyDescent="0.35">
      <c r="A448" t="s">
        <v>134</v>
      </c>
      <c r="B448" s="28" t="s">
        <v>75</v>
      </c>
      <c r="C448" s="76">
        <v>0.8</v>
      </c>
      <c r="D448" s="90"/>
      <c r="E448" s="91"/>
      <c r="F448" s="92"/>
      <c r="G448" s="122"/>
      <c r="H448" s="121">
        <f t="shared" si="146"/>
        <v>0.8</v>
      </c>
      <c r="I448" s="151"/>
    </row>
    <row r="449" spans="1:9" x14ac:dyDescent="0.35">
      <c r="A449" t="s">
        <v>134</v>
      </c>
      <c r="B449" s="28" t="s">
        <v>76</v>
      </c>
      <c r="C449" s="76">
        <v>0.8</v>
      </c>
      <c r="D449" s="90"/>
      <c r="E449" s="91"/>
      <c r="F449" s="92"/>
      <c r="G449" s="122"/>
      <c r="H449" s="121">
        <f t="shared" si="146"/>
        <v>0.8</v>
      </c>
      <c r="I449" s="151"/>
    </row>
    <row r="450" spans="1:9" ht="15" thickBot="1" x14ac:dyDescent="0.4">
      <c r="A450" t="s">
        <v>134</v>
      </c>
      <c r="B450" s="29" t="s">
        <v>77</v>
      </c>
      <c r="C450" s="126">
        <v>0.8</v>
      </c>
      <c r="D450" s="103"/>
      <c r="E450" s="105"/>
      <c r="F450" s="107"/>
      <c r="G450" s="127"/>
      <c r="H450" s="128">
        <f t="shared" si="146"/>
        <v>0.8</v>
      </c>
      <c r="I450" s="151"/>
    </row>
    <row r="451" spans="1:9" ht="15" thickBot="1" x14ac:dyDescent="0.4">
      <c r="B451" s="30"/>
      <c r="C451" s="31"/>
      <c r="D451" s="31"/>
      <c r="E451" s="31"/>
      <c r="F451" s="31"/>
      <c r="G451" s="31"/>
      <c r="H451" s="31"/>
    </row>
    <row r="452" spans="1:9" ht="15" thickBot="1" x14ac:dyDescent="0.4">
      <c r="A452" t="s">
        <v>136</v>
      </c>
      <c r="B452" s="123" t="s">
        <v>63</v>
      </c>
      <c r="C452" s="115">
        <f>SUM(C453:C479)</f>
        <v>230.4000000000006</v>
      </c>
      <c r="D452" s="115">
        <f t="shared" ref="D452" si="147">SUM(D453:D479)</f>
        <v>0</v>
      </c>
      <c r="E452" s="115">
        <f t="shared" ref="E452" si="148">SUM(E453:E479)</f>
        <v>0</v>
      </c>
      <c r="F452" s="115">
        <f t="shared" ref="F452" si="149">SUM(F453:F479)</f>
        <v>0</v>
      </c>
      <c r="G452" s="115">
        <f t="shared" ref="G452" si="150">SUM(G453:G479)</f>
        <v>0</v>
      </c>
      <c r="H452" s="115">
        <f>SUM(H453:H479)</f>
        <v>230.4000000000006</v>
      </c>
      <c r="I452" s="150" t="s">
        <v>137</v>
      </c>
    </row>
    <row r="453" spans="1:9" x14ac:dyDescent="0.35">
      <c r="A453" t="s">
        <v>136</v>
      </c>
      <c r="B453" s="124" t="s">
        <v>65</v>
      </c>
      <c r="C453" s="116">
        <v>0.8</v>
      </c>
      <c r="D453" s="117"/>
      <c r="E453" s="118"/>
      <c r="F453" s="119"/>
      <c r="G453" s="120"/>
      <c r="H453" s="125">
        <f>SUM(C453:G453)</f>
        <v>0.8</v>
      </c>
      <c r="I453" s="151"/>
    </row>
    <row r="454" spans="1:9" x14ac:dyDescent="0.35">
      <c r="A454" t="s">
        <v>136</v>
      </c>
      <c r="B454" s="28" t="s">
        <v>66</v>
      </c>
      <c r="C454" s="76">
        <v>0.8</v>
      </c>
      <c r="D454" s="90"/>
      <c r="E454" s="91"/>
      <c r="F454" s="92"/>
      <c r="G454" s="122"/>
      <c r="H454" s="121">
        <f t="shared" ref="H454:H465" si="151">SUM(C454:G454)</f>
        <v>0.8</v>
      </c>
      <c r="I454" s="151"/>
    </row>
    <row r="455" spans="1:9" x14ac:dyDescent="0.35">
      <c r="A455" t="s">
        <v>136</v>
      </c>
      <c r="B455" s="28" t="s">
        <v>67</v>
      </c>
      <c r="C455" s="76">
        <v>0.8</v>
      </c>
      <c r="D455" s="90"/>
      <c r="E455" s="91"/>
      <c r="F455" s="92"/>
      <c r="G455" s="122"/>
      <c r="H455" s="121">
        <f t="shared" si="151"/>
        <v>0.8</v>
      </c>
      <c r="I455" s="151"/>
    </row>
    <row r="456" spans="1:9" x14ac:dyDescent="0.35">
      <c r="A456" t="s">
        <v>136</v>
      </c>
      <c r="B456" s="28" t="s">
        <v>68</v>
      </c>
      <c r="C456" s="76">
        <v>0.8</v>
      </c>
      <c r="D456" s="90"/>
      <c r="E456" s="91"/>
      <c r="F456" s="92"/>
      <c r="G456" s="122"/>
      <c r="H456" s="121">
        <f t="shared" si="151"/>
        <v>0.8</v>
      </c>
      <c r="I456" s="151"/>
    </row>
    <row r="457" spans="1:9" x14ac:dyDescent="0.35">
      <c r="A457" t="s">
        <v>136</v>
      </c>
      <c r="B457" s="28" t="s">
        <v>69</v>
      </c>
      <c r="C457" s="76">
        <v>0.8</v>
      </c>
      <c r="D457" s="95"/>
      <c r="E457" s="96"/>
      <c r="F457" s="92"/>
      <c r="G457" s="122"/>
      <c r="H457" s="121">
        <f t="shared" si="151"/>
        <v>0.8</v>
      </c>
      <c r="I457" s="151"/>
    </row>
    <row r="458" spans="1:9" x14ac:dyDescent="0.35">
      <c r="A458" t="s">
        <v>136</v>
      </c>
      <c r="B458" s="28" t="s">
        <v>70</v>
      </c>
      <c r="C458" s="76">
        <v>0.8</v>
      </c>
      <c r="D458" s="90"/>
      <c r="E458" s="91"/>
      <c r="F458" s="92"/>
      <c r="G458" s="122"/>
      <c r="H458" s="121">
        <f t="shared" si="151"/>
        <v>0.8</v>
      </c>
      <c r="I458" s="151"/>
    </row>
    <row r="459" spans="1:9" x14ac:dyDescent="0.35">
      <c r="A459" t="s">
        <v>136</v>
      </c>
      <c r="B459" s="28" t="s">
        <v>71</v>
      </c>
      <c r="C459" s="76">
        <v>0.8</v>
      </c>
      <c r="D459" s="90"/>
      <c r="E459" s="91"/>
      <c r="F459" s="92"/>
      <c r="G459" s="122"/>
      <c r="H459" s="121">
        <f t="shared" si="151"/>
        <v>0.8</v>
      </c>
      <c r="I459" s="151"/>
    </row>
    <row r="460" spans="1:9" x14ac:dyDescent="0.35">
      <c r="A460" t="s">
        <v>136</v>
      </c>
      <c r="B460" s="28" t="s">
        <v>72</v>
      </c>
      <c r="C460" s="76">
        <v>0.8</v>
      </c>
      <c r="D460" s="90"/>
      <c r="E460" s="91"/>
      <c r="F460" s="92"/>
      <c r="G460" s="122"/>
      <c r="H460" s="121">
        <f t="shared" si="151"/>
        <v>0.8</v>
      </c>
      <c r="I460" s="151"/>
    </row>
    <row r="461" spans="1:9" x14ac:dyDescent="0.35">
      <c r="A461" t="s">
        <v>136</v>
      </c>
      <c r="B461" s="28" t="s">
        <v>73</v>
      </c>
      <c r="C461" s="76">
        <v>0.8</v>
      </c>
      <c r="D461" s="90"/>
      <c r="E461" s="91"/>
      <c r="F461" s="92"/>
      <c r="G461" s="122"/>
      <c r="H461" s="121">
        <f t="shared" si="151"/>
        <v>0.8</v>
      </c>
      <c r="I461" s="151"/>
    </row>
    <row r="462" spans="1:9" x14ac:dyDescent="0.35">
      <c r="A462" t="s">
        <v>136</v>
      </c>
      <c r="B462" s="28" t="s">
        <v>74</v>
      </c>
      <c r="C462" s="76">
        <v>0.8</v>
      </c>
      <c r="D462" s="90"/>
      <c r="E462" s="91"/>
      <c r="F462" s="92"/>
      <c r="G462" s="122"/>
      <c r="H462" s="121">
        <f t="shared" si="151"/>
        <v>0.8</v>
      </c>
      <c r="I462" s="151"/>
    </row>
    <row r="463" spans="1:9" x14ac:dyDescent="0.35">
      <c r="A463" t="s">
        <v>136</v>
      </c>
      <c r="B463" s="28" t="s">
        <v>75</v>
      </c>
      <c r="C463" s="76">
        <v>0.8</v>
      </c>
      <c r="D463" s="90"/>
      <c r="E463" s="91"/>
      <c r="F463" s="92"/>
      <c r="G463" s="122"/>
      <c r="H463" s="121">
        <f t="shared" si="151"/>
        <v>0.8</v>
      </c>
      <c r="I463" s="151"/>
    </row>
    <row r="464" spans="1:9" x14ac:dyDescent="0.35">
      <c r="A464" t="s">
        <v>136</v>
      </c>
      <c r="B464" s="28" t="s">
        <v>76</v>
      </c>
      <c r="C464" s="76">
        <v>0.8</v>
      </c>
      <c r="D464" s="90"/>
      <c r="E464" s="91"/>
      <c r="F464" s="92"/>
      <c r="G464" s="122"/>
      <c r="H464" s="121">
        <f t="shared" si="151"/>
        <v>0.8</v>
      </c>
      <c r="I464" s="151"/>
    </row>
    <row r="465" spans="1:9" ht="15" thickBot="1" x14ac:dyDescent="0.4">
      <c r="A465" t="s">
        <v>136</v>
      </c>
      <c r="B465" s="29" t="s">
        <v>77</v>
      </c>
      <c r="C465" s="126">
        <v>0.8</v>
      </c>
      <c r="D465" s="103"/>
      <c r="E465" s="105"/>
      <c r="F465" s="107"/>
      <c r="G465" s="127"/>
      <c r="H465" s="128">
        <f t="shared" si="151"/>
        <v>0.8</v>
      </c>
      <c r="I465" s="151"/>
    </row>
    <row r="466" spans="1:9" ht="15" thickBot="1" x14ac:dyDescent="0.4">
      <c r="B466" s="30"/>
      <c r="C466" s="31"/>
      <c r="D466" s="31"/>
      <c r="E466" s="31"/>
      <c r="F466" s="31"/>
      <c r="G466" s="31"/>
      <c r="H466" s="31"/>
    </row>
    <row r="467" spans="1:9" ht="15" thickBot="1" x14ac:dyDescent="0.4">
      <c r="A467" t="s">
        <v>138</v>
      </c>
      <c r="B467" s="123" t="s">
        <v>63</v>
      </c>
      <c r="C467" s="115">
        <f>SUM(C468:C494)</f>
        <v>210.40000000000046</v>
      </c>
      <c r="D467" s="115">
        <f t="shared" ref="D467" si="152">SUM(D468:D494)</f>
        <v>0</v>
      </c>
      <c r="E467" s="115">
        <f t="shared" ref="E467" si="153">SUM(E468:E494)</f>
        <v>0</v>
      </c>
      <c r="F467" s="115">
        <f t="shared" ref="F467" si="154">SUM(F468:F494)</f>
        <v>0</v>
      </c>
      <c r="G467" s="115">
        <f t="shared" ref="G467" si="155">SUM(G468:G494)</f>
        <v>0</v>
      </c>
      <c r="H467" s="115">
        <f>SUM(H468:H494)</f>
        <v>210.40000000000046</v>
      </c>
      <c r="I467" s="150" t="s">
        <v>139</v>
      </c>
    </row>
    <row r="468" spans="1:9" x14ac:dyDescent="0.35">
      <c r="A468" t="s">
        <v>138</v>
      </c>
      <c r="B468" s="124" t="s">
        <v>65</v>
      </c>
      <c r="C468" s="116">
        <v>0.8</v>
      </c>
      <c r="D468" s="117"/>
      <c r="E468" s="118"/>
      <c r="F468" s="119"/>
      <c r="G468" s="120"/>
      <c r="H468" s="125">
        <f>SUM(C468:G468)</f>
        <v>0.8</v>
      </c>
      <c r="I468" s="151"/>
    </row>
    <row r="469" spans="1:9" x14ac:dyDescent="0.35">
      <c r="A469" t="s">
        <v>138</v>
      </c>
      <c r="B469" s="28" t="s">
        <v>66</v>
      </c>
      <c r="C469" s="76">
        <v>0.8</v>
      </c>
      <c r="D469" s="90"/>
      <c r="E469" s="91"/>
      <c r="F469" s="92"/>
      <c r="G469" s="122"/>
      <c r="H469" s="121">
        <f t="shared" ref="H469:H480" si="156">SUM(C469:G469)</f>
        <v>0.8</v>
      </c>
      <c r="I469" s="151"/>
    </row>
    <row r="470" spans="1:9" x14ac:dyDescent="0.35">
      <c r="A470" t="s">
        <v>138</v>
      </c>
      <c r="B470" s="28" t="s">
        <v>67</v>
      </c>
      <c r="C470" s="76">
        <v>0.8</v>
      </c>
      <c r="D470" s="90"/>
      <c r="E470" s="91"/>
      <c r="F470" s="92"/>
      <c r="G470" s="122"/>
      <c r="H470" s="121">
        <f t="shared" si="156"/>
        <v>0.8</v>
      </c>
      <c r="I470" s="151"/>
    </row>
    <row r="471" spans="1:9" x14ac:dyDescent="0.35">
      <c r="A471" t="s">
        <v>138</v>
      </c>
      <c r="B471" s="28" t="s">
        <v>68</v>
      </c>
      <c r="C471" s="76">
        <v>0.8</v>
      </c>
      <c r="D471" s="90"/>
      <c r="E471" s="91"/>
      <c r="F471" s="92"/>
      <c r="G471" s="122"/>
      <c r="H471" s="121">
        <f t="shared" si="156"/>
        <v>0.8</v>
      </c>
      <c r="I471" s="151"/>
    </row>
    <row r="472" spans="1:9" x14ac:dyDescent="0.35">
      <c r="A472" t="s">
        <v>138</v>
      </c>
      <c r="B472" s="28" t="s">
        <v>69</v>
      </c>
      <c r="C472" s="76">
        <v>0.8</v>
      </c>
      <c r="D472" s="95"/>
      <c r="E472" s="96"/>
      <c r="F472" s="92"/>
      <c r="G472" s="122"/>
      <c r="H472" s="121">
        <f t="shared" si="156"/>
        <v>0.8</v>
      </c>
      <c r="I472" s="151"/>
    </row>
    <row r="473" spans="1:9" x14ac:dyDescent="0.35">
      <c r="A473" t="s">
        <v>138</v>
      </c>
      <c r="B473" s="28" t="s">
        <v>70</v>
      </c>
      <c r="C473" s="76">
        <v>0.8</v>
      </c>
      <c r="D473" s="90"/>
      <c r="E473" s="91"/>
      <c r="F473" s="92"/>
      <c r="G473" s="122"/>
      <c r="H473" s="121">
        <f t="shared" si="156"/>
        <v>0.8</v>
      </c>
      <c r="I473" s="151"/>
    </row>
    <row r="474" spans="1:9" x14ac:dyDescent="0.35">
      <c r="A474" t="s">
        <v>138</v>
      </c>
      <c r="B474" s="28" t="s">
        <v>71</v>
      </c>
      <c r="C474" s="76">
        <v>0.8</v>
      </c>
      <c r="D474" s="90"/>
      <c r="E474" s="91"/>
      <c r="F474" s="92"/>
      <c r="G474" s="122"/>
      <c r="H474" s="121">
        <f t="shared" si="156"/>
        <v>0.8</v>
      </c>
      <c r="I474" s="151"/>
    </row>
    <row r="475" spans="1:9" x14ac:dyDescent="0.35">
      <c r="A475" t="s">
        <v>138</v>
      </c>
      <c r="B475" s="28" t="s">
        <v>72</v>
      </c>
      <c r="C475" s="76">
        <v>0.8</v>
      </c>
      <c r="D475" s="90"/>
      <c r="E475" s="91"/>
      <c r="F475" s="92"/>
      <c r="G475" s="122"/>
      <c r="H475" s="121">
        <f t="shared" si="156"/>
        <v>0.8</v>
      </c>
      <c r="I475" s="151"/>
    </row>
    <row r="476" spans="1:9" x14ac:dyDescent="0.35">
      <c r="A476" t="s">
        <v>138</v>
      </c>
      <c r="B476" s="28" t="s">
        <v>73</v>
      </c>
      <c r="C476" s="76">
        <v>0.8</v>
      </c>
      <c r="D476" s="90"/>
      <c r="E476" s="91"/>
      <c r="F476" s="92"/>
      <c r="G476" s="122"/>
      <c r="H476" s="121">
        <f t="shared" si="156"/>
        <v>0.8</v>
      </c>
      <c r="I476" s="151"/>
    </row>
    <row r="477" spans="1:9" x14ac:dyDescent="0.35">
      <c r="A477" t="s">
        <v>138</v>
      </c>
      <c r="B477" s="28" t="s">
        <v>74</v>
      </c>
      <c r="C477" s="76">
        <v>0.8</v>
      </c>
      <c r="D477" s="90"/>
      <c r="E477" s="91"/>
      <c r="F477" s="92"/>
      <c r="G477" s="122"/>
      <c r="H477" s="121">
        <f t="shared" si="156"/>
        <v>0.8</v>
      </c>
      <c r="I477" s="151"/>
    </row>
    <row r="478" spans="1:9" x14ac:dyDescent="0.35">
      <c r="A478" t="s">
        <v>138</v>
      </c>
      <c r="B478" s="28" t="s">
        <v>75</v>
      </c>
      <c r="C478" s="76">
        <v>0.8</v>
      </c>
      <c r="D478" s="90"/>
      <c r="E478" s="91"/>
      <c r="F478" s="92"/>
      <c r="G478" s="122"/>
      <c r="H478" s="121">
        <f t="shared" si="156"/>
        <v>0.8</v>
      </c>
      <c r="I478" s="151"/>
    </row>
    <row r="479" spans="1:9" x14ac:dyDescent="0.35">
      <c r="A479" t="s">
        <v>138</v>
      </c>
      <c r="B479" s="28" t="s">
        <v>76</v>
      </c>
      <c r="C479" s="76">
        <v>0.8</v>
      </c>
      <c r="D479" s="90"/>
      <c r="E479" s="91"/>
      <c r="F479" s="92"/>
      <c r="G479" s="122"/>
      <c r="H479" s="121">
        <f t="shared" si="156"/>
        <v>0.8</v>
      </c>
      <c r="I479" s="151"/>
    </row>
    <row r="480" spans="1:9" ht="15" thickBot="1" x14ac:dyDescent="0.4">
      <c r="A480" t="s">
        <v>138</v>
      </c>
      <c r="B480" s="29" t="s">
        <v>77</v>
      </c>
      <c r="C480" s="126">
        <v>0.8</v>
      </c>
      <c r="D480" s="103"/>
      <c r="E480" s="105"/>
      <c r="F480" s="107"/>
      <c r="G480" s="127"/>
      <c r="H480" s="128">
        <f t="shared" si="156"/>
        <v>0.8</v>
      </c>
      <c r="I480" s="151"/>
    </row>
    <row r="481" spans="1:9" ht="15" thickBot="1" x14ac:dyDescent="0.4">
      <c r="B481" s="30"/>
      <c r="C481" s="31"/>
      <c r="D481" s="31"/>
      <c r="E481" s="31"/>
      <c r="F481" s="31"/>
      <c r="G481" s="31"/>
      <c r="H481" s="31"/>
    </row>
    <row r="482" spans="1:9" ht="15" thickBot="1" x14ac:dyDescent="0.4">
      <c r="A482" t="s">
        <v>140</v>
      </c>
      <c r="B482" s="123" t="s">
        <v>63</v>
      </c>
      <c r="C482" s="115">
        <f>SUM(C483:C509)</f>
        <v>190.40000000000032</v>
      </c>
      <c r="D482" s="115">
        <f t="shared" ref="D482" si="157">SUM(D483:D509)</f>
        <v>0</v>
      </c>
      <c r="E482" s="115">
        <f t="shared" ref="E482" si="158">SUM(E483:E509)</f>
        <v>0</v>
      </c>
      <c r="F482" s="115">
        <f t="shared" ref="F482" si="159">SUM(F483:F509)</f>
        <v>0</v>
      </c>
      <c r="G482" s="115">
        <f t="shared" ref="G482" si="160">SUM(G483:G509)</f>
        <v>0</v>
      </c>
      <c r="H482" s="115">
        <f>SUM(H483:H509)</f>
        <v>190.40000000000032</v>
      </c>
      <c r="I482" s="150" t="s">
        <v>141</v>
      </c>
    </row>
    <row r="483" spans="1:9" x14ac:dyDescent="0.35">
      <c r="A483" t="s">
        <v>140</v>
      </c>
      <c r="B483" s="124" t="s">
        <v>65</v>
      </c>
      <c r="C483" s="116">
        <v>0.8</v>
      </c>
      <c r="D483" s="117"/>
      <c r="E483" s="118"/>
      <c r="F483" s="119"/>
      <c r="G483" s="120"/>
      <c r="H483" s="125">
        <f>SUM(C483:G483)</f>
        <v>0.8</v>
      </c>
      <c r="I483" s="151"/>
    </row>
    <row r="484" spans="1:9" x14ac:dyDescent="0.35">
      <c r="A484" t="s">
        <v>140</v>
      </c>
      <c r="B484" s="28" t="s">
        <v>66</v>
      </c>
      <c r="C484" s="76">
        <v>0.8</v>
      </c>
      <c r="D484" s="90"/>
      <c r="E484" s="91"/>
      <c r="F484" s="92"/>
      <c r="G484" s="122"/>
      <c r="H484" s="121">
        <f t="shared" ref="H484:H495" si="161">SUM(C484:G484)</f>
        <v>0.8</v>
      </c>
      <c r="I484" s="151"/>
    </row>
    <row r="485" spans="1:9" x14ac:dyDescent="0.35">
      <c r="A485" t="s">
        <v>140</v>
      </c>
      <c r="B485" s="28" t="s">
        <v>67</v>
      </c>
      <c r="C485" s="76">
        <v>0.8</v>
      </c>
      <c r="D485" s="90"/>
      <c r="E485" s="91"/>
      <c r="F485" s="92"/>
      <c r="G485" s="122"/>
      <c r="H485" s="121">
        <f t="shared" si="161"/>
        <v>0.8</v>
      </c>
      <c r="I485" s="151"/>
    </row>
    <row r="486" spans="1:9" x14ac:dyDescent="0.35">
      <c r="A486" t="s">
        <v>140</v>
      </c>
      <c r="B486" s="28" t="s">
        <v>68</v>
      </c>
      <c r="C486" s="76">
        <v>0.8</v>
      </c>
      <c r="D486" s="90"/>
      <c r="E486" s="91"/>
      <c r="F486" s="92"/>
      <c r="G486" s="122"/>
      <c r="H486" s="121">
        <f t="shared" si="161"/>
        <v>0.8</v>
      </c>
      <c r="I486" s="151"/>
    </row>
    <row r="487" spans="1:9" x14ac:dyDescent="0.35">
      <c r="A487" t="s">
        <v>140</v>
      </c>
      <c r="B487" s="28" t="s">
        <v>69</v>
      </c>
      <c r="C487" s="76">
        <v>0.8</v>
      </c>
      <c r="D487" s="95"/>
      <c r="E487" s="96"/>
      <c r="F487" s="92"/>
      <c r="G487" s="122"/>
      <c r="H487" s="121">
        <f t="shared" si="161"/>
        <v>0.8</v>
      </c>
      <c r="I487" s="151"/>
    </row>
    <row r="488" spans="1:9" x14ac:dyDescent="0.35">
      <c r="A488" t="s">
        <v>140</v>
      </c>
      <c r="B488" s="28" t="s">
        <v>70</v>
      </c>
      <c r="C488" s="76">
        <v>0.8</v>
      </c>
      <c r="D488" s="90"/>
      <c r="E488" s="91"/>
      <c r="F488" s="92"/>
      <c r="G488" s="122"/>
      <c r="H488" s="121">
        <f t="shared" si="161"/>
        <v>0.8</v>
      </c>
      <c r="I488" s="151"/>
    </row>
    <row r="489" spans="1:9" x14ac:dyDescent="0.35">
      <c r="A489" t="s">
        <v>140</v>
      </c>
      <c r="B489" s="28" t="s">
        <v>71</v>
      </c>
      <c r="C489" s="76">
        <v>0.8</v>
      </c>
      <c r="D489" s="90"/>
      <c r="E489" s="91"/>
      <c r="F489" s="92"/>
      <c r="G489" s="122"/>
      <c r="H489" s="121">
        <f t="shared" si="161"/>
        <v>0.8</v>
      </c>
      <c r="I489" s="151"/>
    </row>
    <row r="490" spans="1:9" x14ac:dyDescent="0.35">
      <c r="A490" t="s">
        <v>140</v>
      </c>
      <c r="B490" s="28" t="s">
        <v>72</v>
      </c>
      <c r="C490" s="76">
        <v>0.8</v>
      </c>
      <c r="D490" s="90"/>
      <c r="E490" s="91"/>
      <c r="F490" s="92"/>
      <c r="G490" s="122"/>
      <c r="H490" s="121">
        <f t="shared" si="161"/>
        <v>0.8</v>
      </c>
      <c r="I490" s="151"/>
    </row>
    <row r="491" spans="1:9" x14ac:dyDescent="0.35">
      <c r="A491" t="s">
        <v>140</v>
      </c>
      <c r="B491" s="28" t="s">
        <v>73</v>
      </c>
      <c r="C491" s="76">
        <v>0.8</v>
      </c>
      <c r="D491" s="90"/>
      <c r="E491" s="91"/>
      <c r="F491" s="92"/>
      <c r="G491" s="122"/>
      <c r="H491" s="121">
        <f t="shared" si="161"/>
        <v>0.8</v>
      </c>
      <c r="I491" s="151"/>
    </row>
    <row r="492" spans="1:9" x14ac:dyDescent="0.35">
      <c r="A492" t="s">
        <v>140</v>
      </c>
      <c r="B492" s="28" t="s">
        <v>74</v>
      </c>
      <c r="C492" s="76">
        <v>0.8</v>
      </c>
      <c r="D492" s="90"/>
      <c r="E492" s="91"/>
      <c r="F492" s="92"/>
      <c r="G492" s="122"/>
      <c r="H492" s="121">
        <f t="shared" si="161"/>
        <v>0.8</v>
      </c>
      <c r="I492" s="151"/>
    </row>
    <row r="493" spans="1:9" x14ac:dyDescent="0.35">
      <c r="A493" t="s">
        <v>140</v>
      </c>
      <c r="B493" s="28" t="s">
        <v>75</v>
      </c>
      <c r="C493" s="76">
        <v>0.8</v>
      </c>
      <c r="D493" s="90"/>
      <c r="E493" s="91"/>
      <c r="F493" s="92"/>
      <c r="G493" s="122"/>
      <c r="H493" s="121">
        <f t="shared" si="161"/>
        <v>0.8</v>
      </c>
      <c r="I493" s="151"/>
    </row>
    <row r="494" spans="1:9" x14ac:dyDescent="0.35">
      <c r="A494" t="s">
        <v>140</v>
      </c>
      <c r="B494" s="28" t="s">
        <v>76</v>
      </c>
      <c r="C494" s="76">
        <v>0.8</v>
      </c>
      <c r="D494" s="90"/>
      <c r="E494" s="91"/>
      <c r="F494" s="92"/>
      <c r="G494" s="122"/>
      <c r="H494" s="121">
        <f t="shared" si="161"/>
        <v>0.8</v>
      </c>
      <c r="I494" s="151"/>
    </row>
    <row r="495" spans="1:9" ht="15" thickBot="1" x14ac:dyDescent="0.4">
      <c r="A495" t="s">
        <v>140</v>
      </c>
      <c r="B495" s="29" t="s">
        <v>77</v>
      </c>
      <c r="C495" s="126">
        <v>0.8</v>
      </c>
      <c r="D495" s="103"/>
      <c r="E495" s="105"/>
      <c r="F495" s="107"/>
      <c r="G495" s="127"/>
      <c r="H495" s="128">
        <f t="shared" si="161"/>
        <v>0.8</v>
      </c>
      <c r="I495" s="151"/>
    </row>
    <row r="496" spans="1:9" ht="15" thickBot="1" x14ac:dyDescent="0.4">
      <c r="B496" s="30"/>
      <c r="C496" s="31"/>
      <c r="D496" s="31"/>
      <c r="E496" s="31"/>
      <c r="F496" s="31"/>
      <c r="G496" s="31"/>
      <c r="H496" s="31"/>
    </row>
    <row r="497" spans="1:9" ht="14.5" customHeight="1" thickBot="1" x14ac:dyDescent="0.4">
      <c r="A497" t="s">
        <v>142</v>
      </c>
      <c r="B497" s="123" t="s">
        <v>63</v>
      </c>
      <c r="C497" s="115">
        <f>SUM(C498:C524)</f>
        <v>170.40000000000018</v>
      </c>
      <c r="D497" s="115">
        <f t="shared" ref="D497" si="162">SUM(D498:D524)</f>
        <v>0</v>
      </c>
      <c r="E497" s="115">
        <f t="shared" ref="E497" si="163">SUM(E498:E524)</f>
        <v>0</v>
      </c>
      <c r="F497" s="115">
        <f t="shared" ref="F497" si="164">SUM(F498:F524)</f>
        <v>0</v>
      </c>
      <c r="G497" s="115">
        <f t="shared" ref="G497" si="165">SUM(G498:G524)</f>
        <v>0</v>
      </c>
      <c r="H497" s="115">
        <f>SUM(H498:H524)</f>
        <v>170.40000000000018</v>
      </c>
      <c r="I497" s="150" t="s">
        <v>143</v>
      </c>
    </row>
    <row r="498" spans="1:9" x14ac:dyDescent="0.35">
      <c r="A498" t="s">
        <v>142</v>
      </c>
      <c r="B498" s="124" t="s">
        <v>65</v>
      </c>
      <c r="C498" s="116">
        <v>0.8</v>
      </c>
      <c r="D498" s="117"/>
      <c r="E498" s="118"/>
      <c r="F498" s="119"/>
      <c r="G498" s="120"/>
      <c r="H498" s="125">
        <f>SUM(C498:G498)</f>
        <v>0.8</v>
      </c>
      <c r="I498" s="151"/>
    </row>
    <row r="499" spans="1:9" x14ac:dyDescent="0.35">
      <c r="A499" t="s">
        <v>142</v>
      </c>
      <c r="B499" s="28" t="s">
        <v>66</v>
      </c>
      <c r="C499" s="76">
        <v>0.8</v>
      </c>
      <c r="D499" s="90"/>
      <c r="E499" s="91"/>
      <c r="F499" s="92"/>
      <c r="G499" s="122"/>
      <c r="H499" s="121">
        <f t="shared" ref="H499:H510" si="166">SUM(C499:G499)</f>
        <v>0.8</v>
      </c>
      <c r="I499" s="151"/>
    </row>
    <row r="500" spans="1:9" x14ac:dyDescent="0.35">
      <c r="A500" t="s">
        <v>142</v>
      </c>
      <c r="B500" s="28" t="s">
        <v>67</v>
      </c>
      <c r="C500" s="76">
        <v>0.8</v>
      </c>
      <c r="D500" s="90"/>
      <c r="E500" s="91"/>
      <c r="F500" s="92"/>
      <c r="G500" s="122"/>
      <c r="H500" s="121">
        <f t="shared" si="166"/>
        <v>0.8</v>
      </c>
      <c r="I500" s="151"/>
    </row>
    <row r="501" spans="1:9" x14ac:dyDescent="0.35">
      <c r="A501" t="s">
        <v>142</v>
      </c>
      <c r="B501" s="28" t="s">
        <v>68</v>
      </c>
      <c r="C501" s="76">
        <v>0.8</v>
      </c>
      <c r="D501" s="90"/>
      <c r="E501" s="91"/>
      <c r="F501" s="92"/>
      <c r="G501" s="122"/>
      <c r="H501" s="121">
        <f t="shared" si="166"/>
        <v>0.8</v>
      </c>
      <c r="I501" s="151"/>
    </row>
    <row r="502" spans="1:9" x14ac:dyDescent="0.35">
      <c r="A502" t="s">
        <v>142</v>
      </c>
      <c r="B502" s="28" t="s">
        <v>69</v>
      </c>
      <c r="C502" s="76">
        <v>0.8</v>
      </c>
      <c r="D502" s="95"/>
      <c r="E502" s="96"/>
      <c r="F502" s="92"/>
      <c r="G502" s="122"/>
      <c r="H502" s="121">
        <f t="shared" si="166"/>
        <v>0.8</v>
      </c>
      <c r="I502" s="151"/>
    </row>
    <row r="503" spans="1:9" x14ac:dyDescent="0.35">
      <c r="A503" t="s">
        <v>142</v>
      </c>
      <c r="B503" s="28" t="s">
        <v>70</v>
      </c>
      <c r="C503" s="76">
        <v>0.8</v>
      </c>
      <c r="D503" s="90"/>
      <c r="E503" s="91"/>
      <c r="F503" s="92"/>
      <c r="G503" s="122"/>
      <c r="H503" s="121">
        <f t="shared" si="166"/>
        <v>0.8</v>
      </c>
      <c r="I503" s="151"/>
    </row>
    <row r="504" spans="1:9" x14ac:dyDescent="0.35">
      <c r="A504" t="s">
        <v>142</v>
      </c>
      <c r="B504" s="28" t="s">
        <v>71</v>
      </c>
      <c r="C504" s="76">
        <v>0.8</v>
      </c>
      <c r="D504" s="90"/>
      <c r="E504" s="91"/>
      <c r="F504" s="92"/>
      <c r="G504" s="122"/>
      <c r="H504" s="121">
        <f t="shared" si="166"/>
        <v>0.8</v>
      </c>
      <c r="I504" s="151"/>
    </row>
    <row r="505" spans="1:9" x14ac:dyDescent="0.35">
      <c r="A505" t="s">
        <v>142</v>
      </c>
      <c r="B505" s="28" t="s">
        <v>72</v>
      </c>
      <c r="C505" s="76">
        <v>0.8</v>
      </c>
      <c r="D505" s="90"/>
      <c r="E505" s="91"/>
      <c r="F505" s="92"/>
      <c r="G505" s="122"/>
      <c r="H505" s="121">
        <f t="shared" si="166"/>
        <v>0.8</v>
      </c>
      <c r="I505" s="151"/>
    </row>
    <row r="506" spans="1:9" x14ac:dyDescent="0.35">
      <c r="A506" t="s">
        <v>142</v>
      </c>
      <c r="B506" s="28" t="s">
        <v>73</v>
      </c>
      <c r="C506" s="76">
        <v>0.8</v>
      </c>
      <c r="D506" s="90"/>
      <c r="E506" s="91"/>
      <c r="F506" s="92"/>
      <c r="G506" s="122"/>
      <c r="H506" s="121">
        <f t="shared" si="166"/>
        <v>0.8</v>
      </c>
      <c r="I506" s="151"/>
    </row>
    <row r="507" spans="1:9" x14ac:dyDescent="0.35">
      <c r="A507" t="s">
        <v>142</v>
      </c>
      <c r="B507" s="28" t="s">
        <v>74</v>
      </c>
      <c r="C507" s="76">
        <v>0.8</v>
      </c>
      <c r="D507" s="90"/>
      <c r="E507" s="91"/>
      <c r="F507" s="92"/>
      <c r="G507" s="122"/>
      <c r="H507" s="121">
        <f t="shared" si="166"/>
        <v>0.8</v>
      </c>
      <c r="I507" s="151"/>
    </row>
    <row r="508" spans="1:9" x14ac:dyDescent="0.35">
      <c r="A508" t="s">
        <v>142</v>
      </c>
      <c r="B508" s="28" t="s">
        <v>75</v>
      </c>
      <c r="C508" s="76">
        <v>0.8</v>
      </c>
      <c r="D508" s="90"/>
      <c r="E508" s="91"/>
      <c r="F508" s="92"/>
      <c r="G508" s="122"/>
      <c r="H508" s="121">
        <f t="shared" si="166"/>
        <v>0.8</v>
      </c>
      <c r="I508" s="151"/>
    </row>
    <row r="509" spans="1:9" x14ac:dyDescent="0.35">
      <c r="A509" t="s">
        <v>142</v>
      </c>
      <c r="B509" s="28" t="s">
        <v>76</v>
      </c>
      <c r="C509" s="76">
        <v>0.8</v>
      </c>
      <c r="D509" s="90"/>
      <c r="E509" s="91"/>
      <c r="F509" s="92"/>
      <c r="G509" s="122"/>
      <c r="H509" s="121">
        <f t="shared" si="166"/>
        <v>0.8</v>
      </c>
      <c r="I509" s="151"/>
    </row>
    <row r="510" spans="1:9" ht="15" thickBot="1" x14ac:dyDescent="0.4">
      <c r="A510" t="s">
        <v>142</v>
      </c>
      <c r="B510" s="29" t="s">
        <v>77</v>
      </c>
      <c r="C510" s="126">
        <v>0.8</v>
      </c>
      <c r="D510" s="103"/>
      <c r="E510" s="105"/>
      <c r="F510" s="107"/>
      <c r="G510" s="127"/>
      <c r="H510" s="128">
        <f t="shared" si="166"/>
        <v>0.8</v>
      </c>
      <c r="I510" s="151"/>
    </row>
    <row r="511" spans="1:9" ht="15" thickBot="1" x14ac:dyDescent="0.4">
      <c r="B511" s="30"/>
      <c r="C511" s="31"/>
      <c r="D511" s="31"/>
      <c r="E511" s="31"/>
      <c r="F511" s="31"/>
      <c r="G511" s="31"/>
      <c r="H511" s="31"/>
    </row>
    <row r="512" spans="1:9" ht="15" thickBot="1" x14ac:dyDescent="0.4">
      <c r="A512" t="s">
        <v>144</v>
      </c>
      <c r="B512" s="123" t="s">
        <v>63</v>
      </c>
      <c r="C512" s="115">
        <f>SUM(C513:C539)</f>
        <v>150.40000000000003</v>
      </c>
      <c r="D512" s="115">
        <f t="shared" ref="D512" si="167">SUM(D513:D539)</f>
        <v>0</v>
      </c>
      <c r="E512" s="115">
        <f t="shared" ref="E512" si="168">SUM(E513:E539)</f>
        <v>0</v>
      </c>
      <c r="F512" s="115">
        <f t="shared" ref="F512" si="169">SUM(F513:F539)</f>
        <v>0</v>
      </c>
      <c r="G512" s="115">
        <f t="shared" ref="G512" si="170">SUM(G513:G539)</f>
        <v>0</v>
      </c>
      <c r="H512" s="115">
        <f>SUM(H513:H539)</f>
        <v>150.40000000000003</v>
      </c>
      <c r="I512" s="150" t="s">
        <v>145</v>
      </c>
    </row>
    <row r="513" spans="1:9" x14ac:dyDescent="0.35">
      <c r="A513" t="s">
        <v>144</v>
      </c>
      <c r="B513" s="124" t="s">
        <v>65</v>
      </c>
      <c r="C513" s="116">
        <v>0.8</v>
      </c>
      <c r="D513" s="117"/>
      <c r="E513" s="118"/>
      <c r="F513" s="119"/>
      <c r="G513" s="120"/>
      <c r="H513" s="125">
        <f>SUM(C513:G513)</f>
        <v>0.8</v>
      </c>
      <c r="I513" s="151"/>
    </row>
    <row r="514" spans="1:9" x14ac:dyDescent="0.35">
      <c r="A514" t="s">
        <v>144</v>
      </c>
      <c r="B514" s="28" t="s">
        <v>66</v>
      </c>
      <c r="C514" s="76">
        <v>0.8</v>
      </c>
      <c r="D514" s="90"/>
      <c r="E514" s="91"/>
      <c r="F514" s="92"/>
      <c r="G514" s="122"/>
      <c r="H514" s="121">
        <f t="shared" ref="H514:H525" si="171">SUM(C514:G514)</f>
        <v>0.8</v>
      </c>
      <c r="I514" s="151"/>
    </row>
    <row r="515" spans="1:9" x14ac:dyDescent="0.35">
      <c r="A515" t="s">
        <v>144</v>
      </c>
      <c r="B515" s="28" t="s">
        <v>67</v>
      </c>
      <c r="C515" s="76">
        <v>0.8</v>
      </c>
      <c r="D515" s="90"/>
      <c r="E515" s="91"/>
      <c r="F515" s="92"/>
      <c r="G515" s="122"/>
      <c r="H515" s="121">
        <f t="shared" si="171"/>
        <v>0.8</v>
      </c>
      <c r="I515" s="151"/>
    </row>
    <row r="516" spans="1:9" x14ac:dyDescent="0.35">
      <c r="A516" t="s">
        <v>144</v>
      </c>
      <c r="B516" s="28" t="s">
        <v>68</v>
      </c>
      <c r="C516" s="76">
        <v>0.8</v>
      </c>
      <c r="D516" s="90"/>
      <c r="E516" s="91"/>
      <c r="F516" s="92"/>
      <c r="G516" s="122"/>
      <c r="H516" s="121">
        <f t="shared" si="171"/>
        <v>0.8</v>
      </c>
      <c r="I516" s="151"/>
    </row>
    <row r="517" spans="1:9" x14ac:dyDescent="0.35">
      <c r="A517" t="s">
        <v>144</v>
      </c>
      <c r="B517" s="28" t="s">
        <v>69</v>
      </c>
      <c r="C517" s="76">
        <v>0.8</v>
      </c>
      <c r="D517" s="95"/>
      <c r="E517" s="96"/>
      <c r="F517" s="92"/>
      <c r="G517" s="122"/>
      <c r="H517" s="121">
        <f t="shared" si="171"/>
        <v>0.8</v>
      </c>
      <c r="I517" s="151"/>
    </row>
    <row r="518" spans="1:9" x14ac:dyDescent="0.35">
      <c r="A518" t="s">
        <v>144</v>
      </c>
      <c r="B518" s="28" t="s">
        <v>70</v>
      </c>
      <c r="C518" s="76">
        <v>0.8</v>
      </c>
      <c r="D518" s="90"/>
      <c r="E518" s="91"/>
      <c r="F518" s="92"/>
      <c r="G518" s="122"/>
      <c r="H518" s="121">
        <f t="shared" si="171"/>
        <v>0.8</v>
      </c>
      <c r="I518" s="151"/>
    </row>
    <row r="519" spans="1:9" x14ac:dyDescent="0.35">
      <c r="A519" t="s">
        <v>144</v>
      </c>
      <c r="B519" s="28" t="s">
        <v>71</v>
      </c>
      <c r="C519" s="76">
        <v>0.8</v>
      </c>
      <c r="D519" s="90"/>
      <c r="E519" s="91"/>
      <c r="F519" s="92"/>
      <c r="G519" s="122"/>
      <c r="H519" s="121">
        <f t="shared" si="171"/>
        <v>0.8</v>
      </c>
      <c r="I519" s="151"/>
    </row>
    <row r="520" spans="1:9" x14ac:dyDescent="0.35">
      <c r="A520" t="s">
        <v>144</v>
      </c>
      <c r="B520" s="28" t="s">
        <v>72</v>
      </c>
      <c r="C520" s="76">
        <v>0.8</v>
      </c>
      <c r="D520" s="90"/>
      <c r="E520" s="91"/>
      <c r="F520" s="92"/>
      <c r="G520" s="122"/>
      <c r="H520" s="121">
        <f t="shared" si="171"/>
        <v>0.8</v>
      </c>
      <c r="I520" s="151"/>
    </row>
    <row r="521" spans="1:9" x14ac:dyDescent="0.35">
      <c r="A521" t="s">
        <v>144</v>
      </c>
      <c r="B521" s="28" t="s">
        <v>73</v>
      </c>
      <c r="C521" s="76">
        <v>0.8</v>
      </c>
      <c r="D521" s="90"/>
      <c r="E521" s="91"/>
      <c r="F521" s="92"/>
      <c r="G521" s="122"/>
      <c r="H521" s="121">
        <f t="shared" si="171"/>
        <v>0.8</v>
      </c>
      <c r="I521" s="151"/>
    </row>
    <row r="522" spans="1:9" x14ac:dyDescent="0.35">
      <c r="A522" t="s">
        <v>144</v>
      </c>
      <c r="B522" s="28" t="s">
        <v>74</v>
      </c>
      <c r="C522" s="76">
        <v>0.8</v>
      </c>
      <c r="D522" s="90"/>
      <c r="E522" s="91"/>
      <c r="F522" s="92"/>
      <c r="G522" s="122"/>
      <c r="H522" s="121">
        <f t="shared" si="171"/>
        <v>0.8</v>
      </c>
      <c r="I522" s="151"/>
    </row>
    <row r="523" spans="1:9" x14ac:dyDescent="0.35">
      <c r="A523" t="s">
        <v>144</v>
      </c>
      <c r="B523" s="28" t="s">
        <v>75</v>
      </c>
      <c r="C523" s="76">
        <v>0.8</v>
      </c>
      <c r="D523" s="90"/>
      <c r="E523" s="91"/>
      <c r="F523" s="92"/>
      <c r="G523" s="122"/>
      <c r="H523" s="121">
        <f t="shared" si="171"/>
        <v>0.8</v>
      </c>
      <c r="I523" s="151"/>
    </row>
    <row r="524" spans="1:9" x14ac:dyDescent="0.35">
      <c r="A524" t="s">
        <v>144</v>
      </c>
      <c r="B524" s="28" t="s">
        <v>76</v>
      </c>
      <c r="C524" s="76">
        <v>0.8</v>
      </c>
      <c r="D524" s="90"/>
      <c r="E524" s="91"/>
      <c r="F524" s="92"/>
      <c r="G524" s="122"/>
      <c r="H524" s="121">
        <f t="shared" si="171"/>
        <v>0.8</v>
      </c>
      <c r="I524" s="151"/>
    </row>
    <row r="525" spans="1:9" ht="15" thickBot="1" x14ac:dyDescent="0.4">
      <c r="A525" t="s">
        <v>144</v>
      </c>
      <c r="B525" s="29" t="s">
        <v>77</v>
      </c>
      <c r="C525" s="126">
        <v>0.8</v>
      </c>
      <c r="D525" s="103"/>
      <c r="E525" s="105"/>
      <c r="F525" s="107"/>
      <c r="G525" s="127"/>
      <c r="H525" s="128">
        <f t="shared" si="171"/>
        <v>0.8</v>
      </c>
      <c r="I525" s="151"/>
    </row>
    <row r="526" spans="1:9" ht="15" thickBot="1" x14ac:dyDescent="0.4">
      <c r="B526" s="30"/>
      <c r="C526" s="31"/>
      <c r="D526" s="31"/>
      <c r="E526" s="31"/>
      <c r="F526" s="31"/>
      <c r="G526" s="31"/>
      <c r="H526" s="31"/>
    </row>
    <row r="527" spans="1:9" ht="15" thickBot="1" x14ac:dyDescent="0.4">
      <c r="A527" t="s">
        <v>146</v>
      </c>
      <c r="B527" s="123" t="s">
        <v>63</v>
      </c>
      <c r="C527" s="115">
        <f>SUM(C528:C554)</f>
        <v>130.39999999999989</v>
      </c>
      <c r="D527" s="115">
        <f t="shared" ref="D527" si="172">SUM(D528:D554)</f>
        <v>0</v>
      </c>
      <c r="E527" s="115">
        <f t="shared" ref="E527" si="173">SUM(E528:E554)</f>
        <v>0</v>
      </c>
      <c r="F527" s="115">
        <f t="shared" ref="F527" si="174">SUM(F528:F554)</f>
        <v>0</v>
      </c>
      <c r="G527" s="115">
        <f t="shared" ref="G527" si="175">SUM(G528:G554)</f>
        <v>0</v>
      </c>
      <c r="H527" s="115">
        <f>SUM(H528:H554)</f>
        <v>130.39999999999989</v>
      </c>
      <c r="I527" s="150" t="s">
        <v>147</v>
      </c>
    </row>
    <row r="528" spans="1:9" x14ac:dyDescent="0.35">
      <c r="A528" t="s">
        <v>146</v>
      </c>
      <c r="B528" s="124" t="s">
        <v>65</v>
      </c>
      <c r="C528" s="116">
        <v>0.8</v>
      </c>
      <c r="D528" s="117"/>
      <c r="E528" s="118"/>
      <c r="F528" s="119"/>
      <c r="G528" s="120"/>
      <c r="H528" s="125">
        <f>SUM(C528:G528)</f>
        <v>0.8</v>
      </c>
      <c r="I528" s="151"/>
    </row>
    <row r="529" spans="1:9" x14ac:dyDescent="0.35">
      <c r="A529" t="s">
        <v>146</v>
      </c>
      <c r="B529" s="28" t="s">
        <v>66</v>
      </c>
      <c r="C529" s="76">
        <v>0.8</v>
      </c>
      <c r="D529" s="90"/>
      <c r="E529" s="91"/>
      <c r="F529" s="92"/>
      <c r="G529" s="122"/>
      <c r="H529" s="121">
        <f t="shared" ref="H529:H540" si="176">SUM(C529:G529)</f>
        <v>0.8</v>
      </c>
      <c r="I529" s="151"/>
    </row>
    <row r="530" spans="1:9" x14ac:dyDescent="0.35">
      <c r="A530" t="s">
        <v>146</v>
      </c>
      <c r="B530" s="28" t="s">
        <v>67</v>
      </c>
      <c r="C530" s="76">
        <v>0.8</v>
      </c>
      <c r="D530" s="90"/>
      <c r="E530" s="91"/>
      <c r="F530" s="92"/>
      <c r="G530" s="122"/>
      <c r="H530" s="121">
        <f t="shared" si="176"/>
        <v>0.8</v>
      </c>
      <c r="I530" s="151"/>
    </row>
    <row r="531" spans="1:9" x14ac:dyDescent="0.35">
      <c r="A531" t="s">
        <v>146</v>
      </c>
      <c r="B531" s="28" t="s">
        <v>68</v>
      </c>
      <c r="C531" s="76">
        <v>0.8</v>
      </c>
      <c r="D531" s="90"/>
      <c r="E531" s="91"/>
      <c r="F531" s="92"/>
      <c r="G531" s="122"/>
      <c r="H531" s="121">
        <f t="shared" si="176"/>
        <v>0.8</v>
      </c>
      <c r="I531" s="151"/>
    </row>
    <row r="532" spans="1:9" x14ac:dyDescent="0.35">
      <c r="A532" t="s">
        <v>146</v>
      </c>
      <c r="B532" s="28" t="s">
        <v>69</v>
      </c>
      <c r="C532" s="76">
        <v>0.8</v>
      </c>
      <c r="D532" s="95"/>
      <c r="E532" s="96"/>
      <c r="F532" s="92"/>
      <c r="G532" s="122"/>
      <c r="H532" s="121">
        <f t="shared" si="176"/>
        <v>0.8</v>
      </c>
      <c r="I532" s="151"/>
    </row>
    <row r="533" spans="1:9" x14ac:dyDescent="0.35">
      <c r="A533" t="s">
        <v>146</v>
      </c>
      <c r="B533" s="28" t="s">
        <v>70</v>
      </c>
      <c r="C533" s="76">
        <v>0.8</v>
      </c>
      <c r="D533" s="90"/>
      <c r="E533" s="91"/>
      <c r="F533" s="92"/>
      <c r="G533" s="122"/>
      <c r="H533" s="121">
        <f t="shared" si="176"/>
        <v>0.8</v>
      </c>
      <c r="I533" s="151"/>
    </row>
    <row r="534" spans="1:9" x14ac:dyDescent="0.35">
      <c r="A534" t="s">
        <v>146</v>
      </c>
      <c r="B534" s="28" t="s">
        <v>71</v>
      </c>
      <c r="C534" s="76">
        <v>0.8</v>
      </c>
      <c r="D534" s="90"/>
      <c r="E534" s="91"/>
      <c r="F534" s="92"/>
      <c r="G534" s="122"/>
      <c r="H534" s="121">
        <f t="shared" si="176"/>
        <v>0.8</v>
      </c>
      <c r="I534" s="151"/>
    </row>
    <row r="535" spans="1:9" x14ac:dyDescent="0.35">
      <c r="A535" t="s">
        <v>146</v>
      </c>
      <c r="B535" s="28" t="s">
        <v>72</v>
      </c>
      <c r="C535" s="76">
        <v>0.8</v>
      </c>
      <c r="D535" s="90"/>
      <c r="E535" s="91"/>
      <c r="F535" s="92"/>
      <c r="G535" s="122"/>
      <c r="H535" s="121">
        <f t="shared" si="176"/>
        <v>0.8</v>
      </c>
      <c r="I535" s="151"/>
    </row>
    <row r="536" spans="1:9" x14ac:dyDescent="0.35">
      <c r="A536" t="s">
        <v>146</v>
      </c>
      <c r="B536" s="28" t="s">
        <v>73</v>
      </c>
      <c r="C536" s="76">
        <v>0.8</v>
      </c>
      <c r="D536" s="90"/>
      <c r="E536" s="91"/>
      <c r="F536" s="92"/>
      <c r="G536" s="122"/>
      <c r="H536" s="121">
        <f t="shared" si="176"/>
        <v>0.8</v>
      </c>
      <c r="I536" s="151"/>
    </row>
    <row r="537" spans="1:9" x14ac:dyDescent="0.35">
      <c r="A537" t="s">
        <v>146</v>
      </c>
      <c r="B537" s="28" t="s">
        <v>74</v>
      </c>
      <c r="C537" s="76">
        <v>0.8</v>
      </c>
      <c r="D537" s="90"/>
      <c r="E537" s="91"/>
      <c r="F537" s="92"/>
      <c r="G537" s="122"/>
      <c r="H537" s="121">
        <f t="shared" si="176"/>
        <v>0.8</v>
      </c>
      <c r="I537" s="151"/>
    </row>
    <row r="538" spans="1:9" x14ac:dyDescent="0.35">
      <c r="A538" t="s">
        <v>146</v>
      </c>
      <c r="B538" s="28" t="s">
        <v>75</v>
      </c>
      <c r="C538" s="76">
        <v>0.8</v>
      </c>
      <c r="D538" s="90"/>
      <c r="E538" s="91"/>
      <c r="F538" s="92"/>
      <c r="G538" s="122"/>
      <c r="H538" s="121">
        <f t="shared" si="176"/>
        <v>0.8</v>
      </c>
      <c r="I538" s="151"/>
    </row>
    <row r="539" spans="1:9" x14ac:dyDescent="0.35">
      <c r="A539" t="s">
        <v>146</v>
      </c>
      <c r="B539" s="28" t="s">
        <v>76</v>
      </c>
      <c r="C539" s="76">
        <v>0.8</v>
      </c>
      <c r="D539" s="90"/>
      <c r="E539" s="91"/>
      <c r="F539" s="92"/>
      <c r="G539" s="122"/>
      <c r="H539" s="121">
        <f t="shared" si="176"/>
        <v>0.8</v>
      </c>
      <c r="I539" s="151"/>
    </row>
    <row r="540" spans="1:9" ht="15" thickBot="1" x14ac:dyDescent="0.4">
      <c r="A540" t="s">
        <v>146</v>
      </c>
      <c r="B540" s="29" t="s">
        <v>77</v>
      </c>
      <c r="C540" s="126">
        <v>0.8</v>
      </c>
      <c r="D540" s="103"/>
      <c r="E540" s="105"/>
      <c r="F540" s="107"/>
      <c r="G540" s="127"/>
      <c r="H540" s="128">
        <f t="shared" si="176"/>
        <v>0.8</v>
      </c>
      <c r="I540" s="151"/>
    </row>
    <row r="541" spans="1:9" ht="15" thickBot="1" x14ac:dyDescent="0.4">
      <c r="B541" s="30"/>
      <c r="C541" s="31"/>
      <c r="D541" s="31"/>
      <c r="E541" s="31"/>
      <c r="F541" s="31"/>
      <c r="G541" s="31"/>
      <c r="H541" s="31"/>
    </row>
    <row r="542" spans="1:9" ht="15" thickBot="1" x14ac:dyDescent="0.4">
      <c r="A542" t="s">
        <v>148</v>
      </c>
      <c r="B542" s="123" t="s">
        <v>63</v>
      </c>
      <c r="C542" s="115">
        <f>SUM(C543:C569)</f>
        <v>110.39999999999989</v>
      </c>
      <c r="D542" s="115">
        <f t="shared" ref="D542" si="177">SUM(D543:D569)</f>
        <v>0</v>
      </c>
      <c r="E542" s="115">
        <f t="shared" ref="E542" si="178">SUM(E543:E569)</f>
        <v>0</v>
      </c>
      <c r="F542" s="115">
        <f t="shared" ref="F542" si="179">SUM(F543:F569)</f>
        <v>0</v>
      </c>
      <c r="G542" s="115">
        <f t="shared" ref="G542" si="180">SUM(G543:G569)</f>
        <v>0</v>
      </c>
      <c r="H542" s="115">
        <f>SUM(H543:H569)</f>
        <v>110.39999999999989</v>
      </c>
      <c r="I542" s="150" t="s">
        <v>149</v>
      </c>
    </row>
    <row r="543" spans="1:9" x14ac:dyDescent="0.35">
      <c r="A543" t="s">
        <v>148</v>
      </c>
      <c r="B543" s="124" t="s">
        <v>65</v>
      </c>
      <c r="C543" s="116">
        <v>0.8</v>
      </c>
      <c r="D543" s="117"/>
      <c r="E543" s="118"/>
      <c r="F543" s="119"/>
      <c r="G543" s="120"/>
      <c r="H543" s="125">
        <f>SUM(C543:G543)</f>
        <v>0.8</v>
      </c>
      <c r="I543" s="151"/>
    </row>
    <row r="544" spans="1:9" x14ac:dyDescent="0.35">
      <c r="A544" t="s">
        <v>148</v>
      </c>
      <c r="B544" s="28" t="s">
        <v>66</v>
      </c>
      <c r="C544" s="76">
        <v>0.8</v>
      </c>
      <c r="D544" s="90"/>
      <c r="E544" s="91"/>
      <c r="F544" s="92"/>
      <c r="G544" s="122"/>
      <c r="H544" s="121">
        <f t="shared" ref="H544:H555" si="181">SUM(C544:G544)</f>
        <v>0.8</v>
      </c>
      <c r="I544" s="151"/>
    </row>
    <row r="545" spans="1:9" x14ac:dyDescent="0.35">
      <c r="A545" t="s">
        <v>148</v>
      </c>
      <c r="B545" s="28" t="s">
        <v>67</v>
      </c>
      <c r="C545" s="76">
        <v>0.8</v>
      </c>
      <c r="D545" s="90"/>
      <c r="E545" s="91"/>
      <c r="F545" s="92"/>
      <c r="G545" s="122"/>
      <c r="H545" s="121">
        <f t="shared" si="181"/>
        <v>0.8</v>
      </c>
      <c r="I545" s="151"/>
    </row>
    <row r="546" spans="1:9" x14ac:dyDescent="0.35">
      <c r="A546" t="s">
        <v>148</v>
      </c>
      <c r="B546" s="28" t="s">
        <v>68</v>
      </c>
      <c r="C546" s="76">
        <v>0.8</v>
      </c>
      <c r="D546" s="90"/>
      <c r="E546" s="91"/>
      <c r="F546" s="92"/>
      <c r="G546" s="122"/>
      <c r="H546" s="121">
        <f t="shared" si="181"/>
        <v>0.8</v>
      </c>
      <c r="I546" s="151"/>
    </row>
    <row r="547" spans="1:9" x14ac:dyDescent="0.35">
      <c r="A547" t="s">
        <v>148</v>
      </c>
      <c r="B547" s="28" t="s">
        <v>69</v>
      </c>
      <c r="C547" s="76">
        <v>0.8</v>
      </c>
      <c r="D547" s="95"/>
      <c r="E547" s="96"/>
      <c r="F547" s="92"/>
      <c r="G547" s="122"/>
      <c r="H547" s="121">
        <f t="shared" si="181"/>
        <v>0.8</v>
      </c>
      <c r="I547" s="151"/>
    </row>
    <row r="548" spans="1:9" x14ac:dyDescent="0.35">
      <c r="A548" t="s">
        <v>148</v>
      </c>
      <c r="B548" s="28" t="s">
        <v>70</v>
      </c>
      <c r="C548" s="76">
        <v>0.8</v>
      </c>
      <c r="D548" s="90"/>
      <c r="E548" s="91"/>
      <c r="F548" s="92"/>
      <c r="G548" s="122"/>
      <c r="H548" s="121">
        <f t="shared" si="181"/>
        <v>0.8</v>
      </c>
      <c r="I548" s="151"/>
    </row>
    <row r="549" spans="1:9" x14ac:dyDescent="0.35">
      <c r="A549" t="s">
        <v>148</v>
      </c>
      <c r="B549" s="28" t="s">
        <v>71</v>
      </c>
      <c r="C549" s="76">
        <v>0.8</v>
      </c>
      <c r="D549" s="90"/>
      <c r="E549" s="91"/>
      <c r="F549" s="92"/>
      <c r="G549" s="122"/>
      <c r="H549" s="121">
        <f t="shared" si="181"/>
        <v>0.8</v>
      </c>
      <c r="I549" s="151"/>
    </row>
    <row r="550" spans="1:9" x14ac:dyDescent="0.35">
      <c r="A550" t="s">
        <v>148</v>
      </c>
      <c r="B550" s="28" t="s">
        <v>72</v>
      </c>
      <c r="C550" s="76">
        <v>0.8</v>
      </c>
      <c r="D550" s="90"/>
      <c r="E550" s="91"/>
      <c r="F550" s="92"/>
      <c r="G550" s="122"/>
      <c r="H550" s="121">
        <f t="shared" si="181"/>
        <v>0.8</v>
      </c>
      <c r="I550" s="151"/>
    </row>
    <row r="551" spans="1:9" x14ac:dyDescent="0.35">
      <c r="A551" t="s">
        <v>148</v>
      </c>
      <c r="B551" s="28" t="s">
        <v>73</v>
      </c>
      <c r="C551" s="76">
        <v>0.8</v>
      </c>
      <c r="D551" s="90"/>
      <c r="E551" s="91"/>
      <c r="F551" s="92"/>
      <c r="G551" s="122"/>
      <c r="H551" s="121">
        <f t="shared" si="181"/>
        <v>0.8</v>
      </c>
      <c r="I551" s="151"/>
    </row>
    <row r="552" spans="1:9" x14ac:dyDescent="0.35">
      <c r="A552" t="s">
        <v>148</v>
      </c>
      <c r="B552" s="28" t="s">
        <v>74</v>
      </c>
      <c r="C552" s="76">
        <v>0.8</v>
      </c>
      <c r="D552" s="90"/>
      <c r="E552" s="91"/>
      <c r="F552" s="92"/>
      <c r="G552" s="122"/>
      <c r="H552" s="121">
        <f t="shared" si="181"/>
        <v>0.8</v>
      </c>
      <c r="I552" s="151"/>
    </row>
    <row r="553" spans="1:9" x14ac:dyDescent="0.35">
      <c r="A553" t="s">
        <v>148</v>
      </c>
      <c r="B553" s="28" t="s">
        <v>75</v>
      </c>
      <c r="C553" s="76">
        <v>0.8</v>
      </c>
      <c r="D553" s="90"/>
      <c r="E553" s="91"/>
      <c r="F553" s="92"/>
      <c r="G553" s="122"/>
      <c r="H553" s="121">
        <f t="shared" si="181"/>
        <v>0.8</v>
      </c>
      <c r="I553" s="151"/>
    </row>
    <row r="554" spans="1:9" x14ac:dyDescent="0.35">
      <c r="A554" t="s">
        <v>148</v>
      </c>
      <c r="B554" s="28" t="s">
        <v>76</v>
      </c>
      <c r="C554" s="76">
        <v>0.8</v>
      </c>
      <c r="D554" s="90"/>
      <c r="E554" s="91"/>
      <c r="F554" s="92"/>
      <c r="G554" s="122"/>
      <c r="H554" s="121">
        <f t="shared" si="181"/>
        <v>0.8</v>
      </c>
      <c r="I554" s="151"/>
    </row>
    <row r="555" spans="1:9" ht="15" thickBot="1" x14ac:dyDescent="0.4">
      <c r="A555" t="s">
        <v>148</v>
      </c>
      <c r="B555" s="29" t="s">
        <v>77</v>
      </c>
      <c r="C555" s="126">
        <v>0.8</v>
      </c>
      <c r="D555" s="103"/>
      <c r="E555" s="105"/>
      <c r="F555" s="107"/>
      <c r="G555" s="127"/>
      <c r="H555" s="128">
        <f t="shared" si="181"/>
        <v>0.8</v>
      </c>
      <c r="I555" s="151"/>
    </row>
    <row r="556" spans="1:9" ht="15" thickBot="1" x14ac:dyDescent="0.4">
      <c r="B556" s="30"/>
      <c r="C556" s="31"/>
      <c r="D556" s="31"/>
      <c r="E556" s="31"/>
      <c r="F556" s="31"/>
      <c r="G556" s="31"/>
      <c r="H556" s="31"/>
    </row>
    <row r="557" spans="1:9" ht="15" thickBot="1" x14ac:dyDescent="0.4">
      <c r="A557" t="s">
        <v>150</v>
      </c>
      <c r="B557" s="123" t="s">
        <v>63</v>
      </c>
      <c r="C557" s="115">
        <f>SUM(C558:C584)</f>
        <v>90.39999999999992</v>
      </c>
      <c r="D557" s="115">
        <f t="shared" ref="D557" si="182">SUM(D558:D584)</f>
        <v>0</v>
      </c>
      <c r="E557" s="115">
        <f t="shared" ref="E557" si="183">SUM(E558:E584)</f>
        <v>0</v>
      </c>
      <c r="F557" s="115">
        <f t="shared" ref="F557" si="184">SUM(F558:F584)</f>
        <v>0</v>
      </c>
      <c r="G557" s="115">
        <f t="shared" ref="G557" si="185">SUM(G558:G584)</f>
        <v>0</v>
      </c>
      <c r="H557" s="115">
        <f>SUM(H558:H584)</f>
        <v>90.39999999999992</v>
      </c>
      <c r="I557" s="150" t="s">
        <v>151</v>
      </c>
    </row>
    <row r="558" spans="1:9" x14ac:dyDescent="0.35">
      <c r="A558" t="s">
        <v>150</v>
      </c>
      <c r="B558" s="124" t="s">
        <v>65</v>
      </c>
      <c r="C558" s="116">
        <v>0.8</v>
      </c>
      <c r="D558" s="117"/>
      <c r="E558" s="118"/>
      <c r="F558" s="119"/>
      <c r="G558" s="120"/>
      <c r="H558" s="125">
        <f>SUM(C558:G558)</f>
        <v>0.8</v>
      </c>
      <c r="I558" s="151"/>
    </row>
    <row r="559" spans="1:9" x14ac:dyDescent="0.35">
      <c r="A559" t="s">
        <v>150</v>
      </c>
      <c r="B559" s="28" t="s">
        <v>66</v>
      </c>
      <c r="C559" s="76">
        <v>0.8</v>
      </c>
      <c r="D559" s="90"/>
      <c r="E559" s="91"/>
      <c r="F559" s="92"/>
      <c r="G559" s="122"/>
      <c r="H559" s="121">
        <f t="shared" ref="H559:H570" si="186">SUM(C559:G559)</f>
        <v>0.8</v>
      </c>
      <c r="I559" s="151"/>
    </row>
    <row r="560" spans="1:9" x14ac:dyDescent="0.35">
      <c r="A560" t="s">
        <v>150</v>
      </c>
      <c r="B560" s="28" t="s">
        <v>67</v>
      </c>
      <c r="C560" s="76">
        <v>0.8</v>
      </c>
      <c r="D560" s="90"/>
      <c r="E560" s="91"/>
      <c r="F560" s="92"/>
      <c r="G560" s="122"/>
      <c r="H560" s="121">
        <f t="shared" si="186"/>
        <v>0.8</v>
      </c>
      <c r="I560" s="151"/>
    </row>
    <row r="561" spans="1:9" x14ac:dyDescent="0.35">
      <c r="A561" t="s">
        <v>150</v>
      </c>
      <c r="B561" s="28" t="s">
        <v>68</v>
      </c>
      <c r="C561" s="76">
        <v>0.8</v>
      </c>
      <c r="D561" s="90"/>
      <c r="E561" s="91"/>
      <c r="F561" s="92"/>
      <c r="G561" s="122"/>
      <c r="H561" s="121">
        <f t="shared" si="186"/>
        <v>0.8</v>
      </c>
      <c r="I561" s="151"/>
    </row>
    <row r="562" spans="1:9" x14ac:dyDescent="0.35">
      <c r="A562" t="s">
        <v>150</v>
      </c>
      <c r="B562" s="28" t="s">
        <v>69</v>
      </c>
      <c r="C562" s="76">
        <v>0.8</v>
      </c>
      <c r="D562" s="95"/>
      <c r="E562" s="96"/>
      <c r="F562" s="92"/>
      <c r="G562" s="122"/>
      <c r="H562" s="121">
        <f t="shared" si="186"/>
        <v>0.8</v>
      </c>
      <c r="I562" s="151"/>
    </row>
    <row r="563" spans="1:9" x14ac:dyDescent="0.35">
      <c r="A563" t="s">
        <v>150</v>
      </c>
      <c r="B563" s="28" t="s">
        <v>70</v>
      </c>
      <c r="C563" s="76">
        <v>0.8</v>
      </c>
      <c r="D563" s="90"/>
      <c r="E563" s="91"/>
      <c r="F563" s="92"/>
      <c r="G563" s="122"/>
      <c r="H563" s="121">
        <f t="shared" si="186"/>
        <v>0.8</v>
      </c>
      <c r="I563" s="151"/>
    </row>
    <row r="564" spans="1:9" x14ac:dyDescent="0.35">
      <c r="A564" t="s">
        <v>150</v>
      </c>
      <c r="B564" s="28" t="s">
        <v>71</v>
      </c>
      <c r="C564" s="76">
        <v>0.8</v>
      </c>
      <c r="D564" s="90"/>
      <c r="E564" s="91"/>
      <c r="F564" s="92"/>
      <c r="G564" s="122"/>
      <c r="H564" s="121">
        <f t="shared" si="186"/>
        <v>0.8</v>
      </c>
      <c r="I564" s="151"/>
    </row>
    <row r="565" spans="1:9" x14ac:dyDescent="0.35">
      <c r="A565" t="s">
        <v>150</v>
      </c>
      <c r="B565" s="28" t="s">
        <v>72</v>
      </c>
      <c r="C565" s="76">
        <v>0.8</v>
      </c>
      <c r="D565" s="90"/>
      <c r="E565" s="91"/>
      <c r="F565" s="92"/>
      <c r="G565" s="122"/>
      <c r="H565" s="121">
        <f t="shared" si="186"/>
        <v>0.8</v>
      </c>
      <c r="I565" s="151"/>
    </row>
    <row r="566" spans="1:9" x14ac:dyDescent="0.35">
      <c r="A566" t="s">
        <v>150</v>
      </c>
      <c r="B566" s="28" t="s">
        <v>73</v>
      </c>
      <c r="C566" s="76">
        <v>0.8</v>
      </c>
      <c r="D566" s="90"/>
      <c r="E566" s="91"/>
      <c r="F566" s="92"/>
      <c r="G566" s="122"/>
      <c r="H566" s="121">
        <f t="shared" si="186"/>
        <v>0.8</v>
      </c>
      <c r="I566" s="151"/>
    </row>
    <row r="567" spans="1:9" x14ac:dyDescent="0.35">
      <c r="A567" t="s">
        <v>150</v>
      </c>
      <c r="B567" s="28" t="s">
        <v>74</v>
      </c>
      <c r="C567" s="76">
        <v>0.8</v>
      </c>
      <c r="D567" s="90"/>
      <c r="E567" s="91"/>
      <c r="F567" s="92"/>
      <c r="G567" s="122"/>
      <c r="H567" s="121">
        <f t="shared" si="186"/>
        <v>0.8</v>
      </c>
      <c r="I567" s="151"/>
    </row>
    <row r="568" spans="1:9" x14ac:dyDescent="0.35">
      <c r="A568" t="s">
        <v>150</v>
      </c>
      <c r="B568" s="28" t="s">
        <v>75</v>
      </c>
      <c r="C568" s="76">
        <v>0.8</v>
      </c>
      <c r="D568" s="90"/>
      <c r="E568" s="91"/>
      <c r="F568" s="92"/>
      <c r="G568" s="122"/>
      <c r="H568" s="121">
        <f t="shared" si="186"/>
        <v>0.8</v>
      </c>
      <c r="I568" s="151"/>
    </row>
    <row r="569" spans="1:9" x14ac:dyDescent="0.35">
      <c r="A569" t="s">
        <v>150</v>
      </c>
      <c r="B569" s="28" t="s">
        <v>76</v>
      </c>
      <c r="C569" s="76">
        <v>0.8</v>
      </c>
      <c r="D569" s="90"/>
      <c r="E569" s="91"/>
      <c r="F569" s="92"/>
      <c r="G569" s="122"/>
      <c r="H569" s="121">
        <f t="shared" si="186"/>
        <v>0.8</v>
      </c>
      <c r="I569" s="151"/>
    </row>
    <row r="570" spans="1:9" ht="15" thickBot="1" x14ac:dyDescent="0.4">
      <c r="A570" t="s">
        <v>150</v>
      </c>
      <c r="B570" s="29" t="s">
        <v>77</v>
      </c>
      <c r="C570" s="126">
        <v>0.8</v>
      </c>
      <c r="D570" s="103"/>
      <c r="E570" s="105"/>
      <c r="F570" s="107"/>
      <c r="G570" s="127"/>
      <c r="H570" s="128">
        <f t="shared" si="186"/>
        <v>0.8</v>
      </c>
      <c r="I570" s="151"/>
    </row>
    <row r="571" spans="1:9" ht="15" thickBot="1" x14ac:dyDescent="0.4">
      <c r="B571" s="30"/>
      <c r="C571" s="31"/>
      <c r="D571" s="31"/>
      <c r="E571" s="31"/>
      <c r="F571" s="31"/>
      <c r="G571" s="31"/>
      <c r="H571" s="31"/>
    </row>
    <row r="572" spans="1:9" ht="15" thickBot="1" x14ac:dyDescent="0.4">
      <c r="A572" t="s">
        <v>152</v>
      </c>
      <c r="B572" s="123" t="s">
        <v>63</v>
      </c>
      <c r="C572" s="115">
        <f>SUM(C573:C599)</f>
        <v>70.399999999999949</v>
      </c>
      <c r="D572" s="115">
        <f t="shared" ref="D572" si="187">SUM(D573:D599)</f>
        <v>0</v>
      </c>
      <c r="E572" s="115">
        <f t="shared" ref="E572" si="188">SUM(E573:E599)</f>
        <v>0</v>
      </c>
      <c r="F572" s="115">
        <f t="shared" ref="F572" si="189">SUM(F573:F599)</f>
        <v>0</v>
      </c>
      <c r="G572" s="115">
        <f t="shared" ref="G572" si="190">SUM(G573:G599)</f>
        <v>0</v>
      </c>
      <c r="H572" s="115">
        <f>SUM(H573:H599)</f>
        <v>70.399999999999949</v>
      </c>
      <c r="I572" s="150" t="s">
        <v>153</v>
      </c>
    </row>
    <row r="573" spans="1:9" x14ac:dyDescent="0.35">
      <c r="A573" t="s">
        <v>152</v>
      </c>
      <c r="B573" s="124" t="s">
        <v>65</v>
      </c>
      <c r="C573" s="116">
        <v>0.8</v>
      </c>
      <c r="D573" s="117"/>
      <c r="E573" s="118"/>
      <c r="F573" s="119"/>
      <c r="G573" s="120"/>
      <c r="H573" s="125">
        <f>SUM(C573:G573)</f>
        <v>0.8</v>
      </c>
      <c r="I573" s="151"/>
    </row>
    <row r="574" spans="1:9" x14ac:dyDescent="0.35">
      <c r="A574" t="s">
        <v>152</v>
      </c>
      <c r="B574" s="28" t="s">
        <v>66</v>
      </c>
      <c r="C574" s="76">
        <v>0.8</v>
      </c>
      <c r="D574" s="90"/>
      <c r="E574" s="91"/>
      <c r="F574" s="92"/>
      <c r="G574" s="122"/>
      <c r="H574" s="121">
        <f t="shared" ref="H574:H585" si="191">SUM(C574:G574)</f>
        <v>0.8</v>
      </c>
      <c r="I574" s="151"/>
    </row>
    <row r="575" spans="1:9" x14ac:dyDescent="0.35">
      <c r="A575" t="s">
        <v>152</v>
      </c>
      <c r="B575" s="28" t="s">
        <v>67</v>
      </c>
      <c r="C575" s="76">
        <v>0.8</v>
      </c>
      <c r="D575" s="90"/>
      <c r="E575" s="91"/>
      <c r="F575" s="92"/>
      <c r="G575" s="122"/>
      <c r="H575" s="121">
        <f t="shared" si="191"/>
        <v>0.8</v>
      </c>
      <c r="I575" s="151"/>
    </row>
    <row r="576" spans="1:9" x14ac:dyDescent="0.35">
      <c r="A576" t="s">
        <v>152</v>
      </c>
      <c r="B576" s="28" t="s">
        <v>68</v>
      </c>
      <c r="C576" s="76">
        <v>0.8</v>
      </c>
      <c r="D576" s="90"/>
      <c r="E576" s="91"/>
      <c r="F576" s="92"/>
      <c r="G576" s="122"/>
      <c r="H576" s="121">
        <f t="shared" si="191"/>
        <v>0.8</v>
      </c>
      <c r="I576" s="151"/>
    </row>
    <row r="577" spans="1:9" x14ac:dyDescent="0.35">
      <c r="A577" t="s">
        <v>152</v>
      </c>
      <c r="B577" s="28" t="s">
        <v>69</v>
      </c>
      <c r="C577" s="76">
        <v>0.8</v>
      </c>
      <c r="D577" s="95"/>
      <c r="E577" s="96"/>
      <c r="F577" s="92"/>
      <c r="G577" s="122"/>
      <c r="H577" s="121">
        <f t="shared" si="191"/>
        <v>0.8</v>
      </c>
      <c r="I577" s="151"/>
    </row>
    <row r="578" spans="1:9" x14ac:dyDescent="0.35">
      <c r="A578" t="s">
        <v>152</v>
      </c>
      <c r="B578" s="28" t="s">
        <v>70</v>
      </c>
      <c r="C578" s="76">
        <v>0.8</v>
      </c>
      <c r="D578" s="90"/>
      <c r="E578" s="91"/>
      <c r="F578" s="92"/>
      <c r="G578" s="122"/>
      <c r="H578" s="121">
        <f t="shared" si="191"/>
        <v>0.8</v>
      </c>
      <c r="I578" s="151"/>
    </row>
    <row r="579" spans="1:9" x14ac:dyDescent="0.35">
      <c r="A579" t="s">
        <v>152</v>
      </c>
      <c r="B579" s="28" t="s">
        <v>71</v>
      </c>
      <c r="C579" s="76">
        <v>0.8</v>
      </c>
      <c r="D579" s="90"/>
      <c r="E579" s="91"/>
      <c r="F579" s="92"/>
      <c r="G579" s="122"/>
      <c r="H579" s="121">
        <f t="shared" si="191"/>
        <v>0.8</v>
      </c>
      <c r="I579" s="151"/>
    </row>
    <row r="580" spans="1:9" x14ac:dyDescent="0.35">
      <c r="A580" t="s">
        <v>152</v>
      </c>
      <c r="B580" s="28" t="s">
        <v>72</v>
      </c>
      <c r="C580" s="76">
        <v>0.8</v>
      </c>
      <c r="D580" s="90"/>
      <c r="E580" s="91"/>
      <c r="F580" s="92"/>
      <c r="G580" s="122"/>
      <c r="H580" s="121">
        <f t="shared" si="191"/>
        <v>0.8</v>
      </c>
      <c r="I580" s="151"/>
    </row>
    <row r="581" spans="1:9" x14ac:dyDescent="0.35">
      <c r="A581" t="s">
        <v>152</v>
      </c>
      <c r="B581" s="28" t="s">
        <v>73</v>
      </c>
      <c r="C581" s="76">
        <v>0.8</v>
      </c>
      <c r="D581" s="90"/>
      <c r="E581" s="91"/>
      <c r="F581" s="92"/>
      <c r="G581" s="122"/>
      <c r="H581" s="121">
        <f t="shared" si="191"/>
        <v>0.8</v>
      </c>
      <c r="I581" s="151"/>
    </row>
    <row r="582" spans="1:9" x14ac:dyDescent="0.35">
      <c r="A582" t="s">
        <v>152</v>
      </c>
      <c r="B582" s="28" t="s">
        <v>74</v>
      </c>
      <c r="C582" s="76">
        <v>0.8</v>
      </c>
      <c r="D582" s="90"/>
      <c r="E582" s="91"/>
      <c r="F582" s="92"/>
      <c r="G582" s="122"/>
      <c r="H582" s="121">
        <f t="shared" si="191"/>
        <v>0.8</v>
      </c>
      <c r="I582" s="151"/>
    </row>
    <row r="583" spans="1:9" x14ac:dyDescent="0.35">
      <c r="A583" t="s">
        <v>152</v>
      </c>
      <c r="B583" s="28" t="s">
        <v>75</v>
      </c>
      <c r="C583" s="76">
        <v>0.8</v>
      </c>
      <c r="D583" s="90"/>
      <c r="E583" s="91"/>
      <c r="F583" s="92"/>
      <c r="G583" s="122"/>
      <c r="H583" s="121">
        <f t="shared" si="191"/>
        <v>0.8</v>
      </c>
      <c r="I583" s="151"/>
    </row>
    <row r="584" spans="1:9" x14ac:dyDescent="0.35">
      <c r="A584" t="s">
        <v>152</v>
      </c>
      <c r="B584" s="28" t="s">
        <v>76</v>
      </c>
      <c r="C584" s="76">
        <v>0.8</v>
      </c>
      <c r="D584" s="90"/>
      <c r="E584" s="91"/>
      <c r="F584" s="92"/>
      <c r="G584" s="122"/>
      <c r="H584" s="121">
        <f t="shared" si="191"/>
        <v>0.8</v>
      </c>
      <c r="I584" s="151"/>
    </row>
    <row r="585" spans="1:9" ht="15" thickBot="1" x14ac:dyDescent="0.4">
      <c r="A585" t="s">
        <v>152</v>
      </c>
      <c r="B585" s="29" t="s">
        <v>77</v>
      </c>
      <c r="C585" s="126">
        <v>0.8</v>
      </c>
      <c r="D585" s="103"/>
      <c r="E585" s="105"/>
      <c r="F585" s="107"/>
      <c r="G585" s="127"/>
      <c r="H585" s="128">
        <f t="shared" si="191"/>
        <v>0.8</v>
      </c>
      <c r="I585" s="151"/>
    </row>
    <row r="586" spans="1:9" ht="15" thickBot="1" x14ac:dyDescent="0.4">
      <c r="B586" s="30"/>
      <c r="C586" s="31"/>
      <c r="D586" s="31"/>
      <c r="E586" s="31"/>
      <c r="F586" s="31"/>
      <c r="G586" s="31"/>
      <c r="H586" s="31"/>
    </row>
    <row r="587" spans="1:9" ht="15" thickBot="1" x14ac:dyDescent="0.4">
      <c r="A587" t="s">
        <v>154</v>
      </c>
      <c r="B587" s="123" t="s">
        <v>63</v>
      </c>
      <c r="C587" s="115">
        <f>SUM(C588:C614)</f>
        <v>50.399999999999977</v>
      </c>
      <c r="D587" s="115">
        <f t="shared" ref="D587" si="192">SUM(D588:D614)</f>
        <v>0</v>
      </c>
      <c r="E587" s="115">
        <f t="shared" ref="E587" si="193">SUM(E588:E614)</f>
        <v>0</v>
      </c>
      <c r="F587" s="115">
        <f t="shared" ref="F587" si="194">SUM(F588:F614)</f>
        <v>0</v>
      </c>
      <c r="G587" s="115">
        <f t="shared" ref="G587" si="195">SUM(G588:G614)</f>
        <v>0</v>
      </c>
      <c r="H587" s="115">
        <f>SUM(H588:H614)</f>
        <v>50.399999999999977</v>
      </c>
      <c r="I587" s="150" t="s">
        <v>155</v>
      </c>
    </row>
    <row r="588" spans="1:9" x14ac:dyDescent="0.35">
      <c r="A588" t="s">
        <v>154</v>
      </c>
      <c r="B588" s="124" t="s">
        <v>65</v>
      </c>
      <c r="C588" s="116">
        <v>0.8</v>
      </c>
      <c r="D588" s="117"/>
      <c r="E588" s="118"/>
      <c r="F588" s="119"/>
      <c r="G588" s="120"/>
      <c r="H588" s="125">
        <f>SUM(C588:G588)</f>
        <v>0.8</v>
      </c>
      <c r="I588" s="151"/>
    </row>
    <row r="589" spans="1:9" x14ac:dyDescent="0.35">
      <c r="A589" t="s">
        <v>154</v>
      </c>
      <c r="B589" s="28" t="s">
        <v>66</v>
      </c>
      <c r="C589" s="76">
        <v>0.8</v>
      </c>
      <c r="D589" s="90"/>
      <c r="E589" s="91"/>
      <c r="F589" s="92"/>
      <c r="G589" s="122"/>
      <c r="H589" s="121">
        <f t="shared" ref="H589:H600" si="196">SUM(C589:G589)</f>
        <v>0.8</v>
      </c>
      <c r="I589" s="151"/>
    </row>
    <row r="590" spans="1:9" x14ac:dyDescent="0.35">
      <c r="A590" t="s">
        <v>154</v>
      </c>
      <c r="B590" s="28" t="s">
        <v>67</v>
      </c>
      <c r="C590" s="76">
        <v>0.8</v>
      </c>
      <c r="D590" s="90"/>
      <c r="E590" s="91"/>
      <c r="F590" s="92"/>
      <c r="G590" s="122"/>
      <c r="H590" s="121">
        <f t="shared" si="196"/>
        <v>0.8</v>
      </c>
      <c r="I590" s="151"/>
    </row>
    <row r="591" spans="1:9" x14ac:dyDescent="0.35">
      <c r="A591" t="s">
        <v>154</v>
      </c>
      <c r="B591" s="28" t="s">
        <v>68</v>
      </c>
      <c r="C591" s="76">
        <v>0.8</v>
      </c>
      <c r="D591" s="90"/>
      <c r="E591" s="91"/>
      <c r="F591" s="92"/>
      <c r="G591" s="122"/>
      <c r="H591" s="121">
        <f t="shared" si="196"/>
        <v>0.8</v>
      </c>
      <c r="I591" s="151"/>
    </row>
    <row r="592" spans="1:9" x14ac:dyDescent="0.35">
      <c r="A592" t="s">
        <v>154</v>
      </c>
      <c r="B592" s="28" t="s">
        <v>69</v>
      </c>
      <c r="C592" s="76">
        <v>0.8</v>
      </c>
      <c r="D592" s="95"/>
      <c r="E592" s="96"/>
      <c r="F592" s="92"/>
      <c r="G592" s="122"/>
      <c r="H592" s="121">
        <f t="shared" si="196"/>
        <v>0.8</v>
      </c>
      <c r="I592" s="151"/>
    </row>
    <row r="593" spans="1:9" x14ac:dyDescent="0.35">
      <c r="A593" t="s">
        <v>154</v>
      </c>
      <c r="B593" s="28" t="s">
        <v>70</v>
      </c>
      <c r="C593" s="76">
        <v>0.8</v>
      </c>
      <c r="D593" s="90"/>
      <c r="E593" s="91"/>
      <c r="F593" s="92"/>
      <c r="G593" s="122"/>
      <c r="H593" s="121">
        <f t="shared" si="196"/>
        <v>0.8</v>
      </c>
      <c r="I593" s="151"/>
    </row>
    <row r="594" spans="1:9" x14ac:dyDescent="0.35">
      <c r="A594" t="s">
        <v>154</v>
      </c>
      <c r="B594" s="28" t="s">
        <v>71</v>
      </c>
      <c r="C594" s="76">
        <v>0.8</v>
      </c>
      <c r="D594" s="90"/>
      <c r="E594" s="91"/>
      <c r="F594" s="92"/>
      <c r="G594" s="122"/>
      <c r="H594" s="121">
        <f t="shared" si="196"/>
        <v>0.8</v>
      </c>
      <c r="I594" s="151"/>
    </row>
    <row r="595" spans="1:9" x14ac:dyDescent="0.35">
      <c r="A595" t="s">
        <v>154</v>
      </c>
      <c r="B595" s="28" t="s">
        <v>72</v>
      </c>
      <c r="C595" s="76">
        <v>0.8</v>
      </c>
      <c r="D595" s="90"/>
      <c r="E595" s="91"/>
      <c r="F595" s="92"/>
      <c r="G595" s="122"/>
      <c r="H595" s="121">
        <f t="shared" si="196"/>
        <v>0.8</v>
      </c>
      <c r="I595" s="151"/>
    </row>
    <row r="596" spans="1:9" x14ac:dyDescent="0.35">
      <c r="A596" t="s">
        <v>154</v>
      </c>
      <c r="B596" s="28" t="s">
        <v>73</v>
      </c>
      <c r="C596" s="76">
        <v>0.8</v>
      </c>
      <c r="D596" s="90"/>
      <c r="E596" s="91"/>
      <c r="F596" s="92"/>
      <c r="G596" s="122"/>
      <c r="H596" s="121">
        <f t="shared" si="196"/>
        <v>0.8</v>
      </c>
      <c r="I596" s="151"/>
    </row>
    <row r="597" spans="1:9" x14ac:dyDescent="0.35">
      <c r="A597" t="s">
        <v>154</v>
      </c>
      <c r="B597" s="28" t="s">
        <v>74</v>
      </c>
      <c r="C597" s="76">
        <v>0.8</v>
      </c>
      <c r="D597" s="90"/>
      <c r="E597" s="91"/>
      <c r="F597" s="92"/>
      <c r="G597" s="122"/>
      <c r="H597" s="121">
        <f t="shared" si="196"/>
        <v>0.8</v>
      </c>
      <c r="I597" s="151"/>
    </row>
    <row r="598" spans="1:9" x14ac:dyDescent="0.35">
      <c r="A598" t="s">
        <v>154</v>
      </c>
      <c r="B598" s="28" t="s">
        <v>75</v>
      </c>
      <c r="C598" s="76">
        <v>0.8</v>
      </c>
      <c r="D598" s="90"/>
      <c r="E598" s="91"/>
      <c r="F598" s="92"/>
      <c r="G598" s="122"/>
      <c r="H598" s="121">
        <f t="shared" si="196"/>
        <v>0.8</v>
      </c>
      <c r="I598" s="151"/>
    </row>
    <row r="599" spans="1:9" x14ac:dyDescent="0.35">
      <c r="A599" t="s">
        <v>154</v>
      </c>
      <c r="B599" s="28" t="s">
        <v>76</v>
      </c>
      <c r="C599" s="76">
        <v>0.8</v>
      </c>
      <c r="D599" s="90"/>
      <c r="E599" s="91"/>
      <c r="F599" s="92"/>
      <c r="G599" s="122"/>
      <c r="H599" s="121">
        <f t="shared" si="196"/>
        <v>0.8</v>
      </c>
      <c r="I599" s="151"/>
    </row>
    <row r="600" spans="1:9" ht="15" thickBot="1" x14ac:dyDescent="0.4">
      <c r="A600" t="s">
        <v>154</v>
      </c>
      <c r="B600" s="29" t="s">
        <v>77</v>
      </c>
      <c r="C600" s="126">
        <v>0.8</v>
      </c>
      <c r="D600" s="103"/>
      <c r="E600" s="105"/>
      <c r="F600" s="107"/>
      <c r="G600" s="127"/>
      <c r="H600" s="128">
        <f t="shared" si="196"/>
        <v>0.8</v>
      </c>
      <c r="I600" s="151"/>
    </row>
    <row r="601" spans="1:9" ht="15" thickBot="1" x14ac:dyDescent="0.4">
      <c r="B601" s="30"/>
      <c r="C601" s="31"/>
      <c r="D601" s="31"/>
      <c r="E601" s="31"/>
      <c r="F601" s="31"/>
      <c r="G601" s="31"/>
      <c r="H601" s="31"/>
    </row>
    <row r="602" spans="1:9" ht="15" thickBot="1" x14ac:dyDescent="0.4">
      <c r="A602" t="s">
        <v>156</v>
      </c>
      <c r="B602" s="123" t="s">
        <v>63</v>
      </c>
      <c r="C602" s="115">
        <f>SUM(C603:C629)</f>
        <v>30.400000000000009</v>
      </c>
      <c r="D602" s="115">
        <f t="shared" ref="D602" si="197">SUM(D603:D629)</f>
        <v>0</v>
      </c>
      <c r="E602" s="115">
        <f t="shared" ref="E602" si="198">SUM(E603:E629)</f>
        <v>0</v>
      </c>
      <c r="F602" s="115">
        <f t="shared" ref="F602" si="199">SUM(F603:F629)</f>
        <v>0</v>
      </c>
      <c r="G602" s="115">
        <f t="shared" ref="G602" si="200">SUM(G603:G629)</f>
        <v>0</v>
      </c>
      <c r="H602" s="115">
        <f>SUM(H603:H629)</f>
        <v>30.400000000000009</v>
      </c>
      <c r="I602" s="150" t="s">
        <v>157</v>
      </c>
    </row>
    <row r="603" spans="1:9" x14ac:dyDescent="0.35">
      <c r="A603" t="s">
        <v>156</v>
      </c>
      <c r="B603" s="124" t="s">
        <v>65</v>
      </c>
      <c r="C603" s="116">
        <v>0.8</v>
      </c>
      <c r="D603" s="117"/>
      <c r="E603" s="118"/>
      <c r="F603" s="119"/>
      <c r="G603" s="120"/>
      <c r="H603" s="125">
        <f>SUM(C603:G603)</f>
        <v>0.8</v>
      </c>
      <c r="I603" s="151"/>
    </row>
    <row r="604" spans="1:9" x14ac:dyDescent="0.35">
      <c r="A604" t="s">
        <v>156</v>
      </c>
      <c r="B604" s="28" t="s">
        <v>66</v>
      </c>
      <c r="C604" s="76">
        <v>0.8</v>
      </c>
      <c r="D604" s="90"/>
      <c r="E604" s="91"/>
      <c r="F604" s="92"/>
      <c r="G604" s="122"/>
      <c r="H604" s="121">
        <f t="shared" ref="H604:H615" si="201">SUM(C604:G604)</f>
        <v>0.8</v>
      </c>
      <c r="I604" s="151"/>
    </row>
    <row r="605" spans="1:9" x14ac:dyDescent="0.35">
      <c r="A605" t="s">
        <v>156</v>
      </c>
      <c r="B605" s="28" t="s">
        <v>67</v>
      </c>
      <c r="C605" s="76">
        <v>0.8</v>
      </c>
      <c r="D605" s="90"/>
      <c r="E605" s="91"/>
      <c r="F605" s="92"/>
      <c r="G605" s="122"/>
      <c r="H605" s="121">
        <f t="shared" si="201"/>
        <v>0.8</v>
      </c>
      <c r="I605" s="151"/>
    </row>
    <row r="606" spans="1:9" x14ac:dyDescent="0.35">
      <c r="A606" t="s">
        <v>156</v>
      </c>
      <c r="B606" s="28" t="s">
        <v>68</v>
      </c>
      <c r="C606" s="76">
        <v>0.8</v>
      </c>
      <c r="D606" s="90"/>
      <c r="E606" s="91"/>
      <c r="F606" s="92"/>
      <c r="G606" s="122"/>
      <c r="H606" s="121">
        <f t="shared" si="201"/>
        <v>0.8</v>
      </c>
      <c r="I606" s="151"/>
    </row>
    <row r="607" spans="1:9" x14ac:dyDescent="0.35">
      <c r="A607" t="s">
        <v>156</v>
      </c>
      <c r="B607" s="28" t="s">
        <v>69</v>
      </c>
      <c r="C607" s="76">
        <v>0.8</v>
      </c>
      <c r="D607" s="95"/>
      <c r="E607" s="96"/>
      <c r="F607" s="92"/>
      <c r="G607" s="122"/>
      <c r="H607" s="121">
        <f t="shared" si="201"/>
        <v>0.8</v>
      </c>
      <c r="I607" s="151"/>
    </row>
    <row r="608" spans="1:9" x14ac:dyDescent="0.35">
      <c r="A608" t="s">
        <v>156</v>
      </c>
      <c r="B608" s="28" t="s">
        <v>70</v>
      </c>
      <c r="C608" s="76">
        <v>0.8</v>
      </c>
      <c r="D608" s="90"/>
      <c r="E608" s="91"/>
      <c r="F608" s="92"/>
      <c r="G608" s="122"/>
      <c r="H608" s="121">
        <f t="shared" si="201"/>
        <v>0.8</v>
      </c>
      <c r="I608" s="151"/>
    </row>
    <row r="609" spans="1:9" x14ac:dyDescent="0.35">
      <c r="A609" t="s">
        <v>156</v>
      </c>
      <c r="B609" s="28" t="s">
        <v>71</v>
      </c>
      <c r="C609" s="76">
        <v>0.8</v>
      </c>
      <c r="D609" s="90"/>
      <c r="E609" s="91"/>
      <c r="F609" s="92"/>
      <c r="G609" s="122"/>
      <c r="H609" s="121">
        <f t="shared" si="201"/>
        <v>0.8</v>
      </c>
      <c r="I609" s="151"/>
    </row>
    <row r="610" spans="1:9" x14ac:dyDescent="0.35">
      <c r="A610" t="s">
        <v>156</v>
      </c>
      <c r="B610" s="28" t="s">
        <v>72</v>
      </c>
      <c r="C610" s="76">
        <v>0.8</v>
      </c>
      <c r="D610" s="90"/>
      <c r="E610" s="91"/>
      <c r="F610" s="92"/>
      <c r="G610" s="122"/>
      <c r="H610" s="121">
        <f t="shared" si="201"/>
        <v>0.8</v>
      </c>
      <c r="I610" s="151"/>
    </row>
    <row r="611" spans="1:9" x14ac:dyDescent="0.35">
      <c r="A611" t="s">
        <v>156</v>
      </c>
      <c r="B611" s="28" t="s">
        <v>73</v>
      </c>
      <c r="C611" s="76">
        <v>0.8</v>
      </c>
      <c r="D611" s="90"/>
      <c r="E611" s="91"/>
      <c r="F611" s="92"/>
      <c r="G611" s="122"/>
      <c r="H611" s="121">
        <f t="shared" si="201"/>
        <v>0.8</v>
      </c>
      <c r="I611" s="151"/>
    </row>
    <row r="612" spans="1:9" x14ac:dyDescent="0.35">
      <c r="A612" t="s">
        <v>156</v>
      </c>
      <c r="B612" s="28" t="s">
        <v>74</v>
      </c>
      <c r="C612" s="76">
        <v>0.8</v>
      </c>
      <c r="D612" s="90"/>
      <c r="E612" s="91"/>
      <c r="F612" s="92"/>
      <c r="G612" s="122"/>
      <c r="H612" s="121">
        <f t="shared" si="201"/>
        <v>0.8</v>
      </c>
      <c r="I612" s="151"/>
    </row>
    <row r="613" spans="1:9" x14ac:dyDescent="0.35">
      <c r="A613" t="s">
        <v>156</v>
      </c>
      <c r="B613" s="28" t="s">
        <v>75</v>
      </c>
      <c r="C613" s="76">
        <v>0.8</v>
      </c>
      <c r="D613" s="90"/>
      <c r="E613" s="91"/>
      <c r="F613" s="92"/>
      <c r="G613" s="122"/>
      <c r="H613" s="121">
        <f t="shared" si="201"/>
        <v>0.8</v>
      </c>
      <c r="I613" s="151"/>
    </row>
    <row r="614" spans="1:9" x14ac:dyDescent="0.35">
      <c r="A614" t="s">
        <v>156</v>
      </c>
      <c r="B614" s="28" t="s">
        <v>76</v>
      </c>
      <c r="C614" s="76">
        <v>0.8</v>
      </c>
      <c r="D614" s="90"/>
      <c r="E614" s="91"/>
      <c r="F614" s="92"/>
      <c r="G614" s="122"/>
      <c r="H614" s="121">
        <f t="shared" si="201"/>
        <v>0.8</v>
      </c>
      <c r="I614" s="151"/>
    </row>
    <row r="615" spans="1:9" ht="15" thickBot="1" x14ac:dyDescent="0.4">
      <c r="A615" t="s">
        <v>156</v>
      </c>
      <c r="B615" s="29" t="s">
        <v>77</v>
      </c>
      <c r="C615" s="126">
        <v>0.8</v>
      </c>
      <c r="D615" s="103"/>
      <c r="E615" s="105"/>
      <c r="F615" s="107"/>
      <c r="G615" s="127"/>
      <c r="H615" s="128">
        <f t="shared" si="201"/>
        <v>0.8</v>
      </c>
      <c r="I615" s="151"/>
    </row>
    <row r="616" spans="1:9" ht="15" thickBot="1" x14ac:dyDescent="0.4">
      <c r="B616" s="30"/>
      <c r="C616" s="31"/>
      <c r="D616" s="31"/>
      <c r="E616" s="31"/>
      <c r="F616" s="31"/>
      <c r="G616" s="31"/>
      <c r="H616" s="31"/>
    </row>
    <row r="617" spans="1:9" ht="15" thickBot="1" x14ac:dyDescent="0.4">
      <c r="A617" t="s">
        <v>158</v>
      </c>
      <c r="B617" s="123" t="s">
        <v>63</v>
      </c>
      <c r="C617" s="115">
        <f t="shared" ref="C617:H617" si="202">SUM(C618:C630)</f>
        <v>10.4</v>
      </c>
      <c r="D617" s="115">
        <f t="shared" si="202"/>
        <v>0</v>
      </c>
      <c r="E617" s="115">
        <f t="shared" si="202"/>
        <v>0</v>
      </c>
      <c r="F617" s="115">
        <f t="shared" si="202"/>
        <v>0</v>
      </c>
      <c r="G617" s="115">
        <f t="shared" si="202"/>
        <v>0</v>
      </c>
      <c r="H617" s="115">
        <f t="shared" si="202"/>
        <v>10.4</v>
      </c>
      <c r="I617" s="150" t="s">
        <v>159</v>
      </c>
    </row>
    <row r="618" spans="1:9" x14ac:dyDescent="0.35">
      <c r="A618" t="s">
        <v>158</v>
      </c>
      <c r="B618" s="124" t="s">
        <v>65</v>
      </c>
      <c r="C618" s="116">
        <v>0.8</v>
      </c>
      <c r="D618" s="117"/>
      <c r="E618" s="118"/>
      <c r="F618" s="119"/>
      <c r="G618" s="120"/>
      <c r="H618" s="125">
        <f>SUM(C618:G618)</f>
        <v>0.8</v>
      </c>
      <c r="I618" s="151"/>
    </row>
    <row r="619" spans="1:9" x14ac:dyDescent="0.35">
      <c r="A619" t="s">
        <v>158</v>
      </c>
      <c r="B619" s="28" t="s">
        <v>66</v>
      </c>
      <c r="C619" s="76">
        <v>0.8</v>
      </c>
      <c r="D619" s="90"/>
      <c r="E619" s="91"/>
      <c r="F619" s="92"/>
      <c r="G619" s="122"/>
      <c r="H619" s="121">
        <f t="shared" ref="H619:H630" si="203">SUM(C619:G619)</f>
        <v>0.8</v>
      </c>
      <c r="I619" s="151"/>
    </row>
    <row r="620" spans="1:9" x14ac:dyDescent="0.35">
      <c r="A620" t="s">
        <v>158</v>
      </c>
      <c r="B620" s="28" t="s">
        <v>67</v>
      </c>
      <c r="C620" s="76">
        <v>0.8</v>
      </c>
      <c r="D620" s="90"/>
      <c r="E620" s="91"/>
      <c r="F620" s="92"/>
      <c r="G620" s="122"/>
      <c r="H620" s="121">
        <f t="shared" si="203"/>
        <v>0.8</v>
      </c>
      <c r="I620" s="151"/>
    </row>
    <row r="621" spans="1:9" x14ac:dyDescent="0.35">
      <c r="A621" t="s">
        <v>158</v>
      </c>
      <c r="B621" s="28" t="s">
        <v>68</v>
      </c>
      <c r="C621" s="76">
        <v>0.8</v>
      </c>
      <c r="D621" s="90"/>
      <c r="E621" s="91"/>
      <c r="F621" s="92"/>
      <c r="G621" s="122"/>
      <c r="H621" s="121">
        <f t="shared" si="203"/>
        <v>0.8</v>
      </c>
      <c r="I621" s="151"/>
    </row>
    <row r="622" spans="1:9" x14ac:dyDescent="0.35">
      <c r="A622" t="s">
        <v>158</v>
      </c>
      <c r="B622" s="28" t="s">
        <v>69</v>
      </c>
      <c r="C622" s="76">
        <v>0.8</v>
      </c>
      <c r="D622" s="95"/>
      <c r="E622" s="96"/>
      <c r="F622" s="92"/>
      <c r="G622" s="122"/>
      <c r="H622" s="121">
        <f t="shared" si="203"/>
        <v>0.8</v>
      </c>
      <c r="I622" s="151"/>
    </row>
    <row r="623" spans="1:9" x14ac:dyDescent="0.35">
      <c r="A623" t="s">
        <v>158</v>
      </c>
      <c r="B623" s="28" t="s">
        <v>70</v>
      </c>
      <c r="C623" s="76">
        <v>0.8</v>
      </c>
      <c r="D623" s="90"/>
      <c r="E623" s="91"/>
      <c r="F623" s="92"/>
      <c r="G623" s="122"/>
      <c r="H623" s="121">
        <f t="shared" si="203"/>
        <v>0.8</v>
      </c>
      <c r="I623" s="151"/>
    </row>
    <row r="624" spans="1:9" x14ac:dyDescent="0.35">
      <c r="A624" t="s">
        <v>158</v>
      </c>
      <c r="B624" s="28" t="s">
        <v>71</v>
      </c>
      <c r="C624" s="76">
        <v>0.8</v>
      </c>
      <c r="D624" s="90"/>
      <c r="E624" s="91"/>
      <c r="F624" s="92"/>
      <c r="G624" s="122"/>
      <c r="H624" s="121">
        <f t="shared" si="203"/>
        <v>0.8</v>
      </c>
      <c r="I624" s="151"/>
    </row>
    <row r="625" spans="1:9" x14ac:dyDescent="0.35">
      <c r="A625" t="s">
        <v>158</v>
      </c>
      <c r="B625" s="28" t="s">
        <v>72</v>
      </c>
      <c r="C625" s="76">
        <v>0.8</v>
      </c>
      <c r="D625" s="90"/>
      <c r="E625" s="91"/>
      <c r="F625" s="92"/>
      <c r="G625" s="122"/>
      <c r="H625" s="121">
        <f t="shared" si="203"/>
        <v>0.8</v>
      </c>
      <c r="I625" s="151"/>
    </row>
    <row r="626" spans="1:9" x14ac:dyDescent="0.35">
      <c r="A626" t="s">
        <v>158</v>
      </c>
      <c r="B626" s="28" t="s">
        <v>73</v>
      </c>
      <c r="C626" s="76">
        <v>0.8</v>
      </c>
      <c r="D626" s="90"/>
      <c r="E626" s="91"/>
      <c r="F626" s="92"/>
      <c r="G626" s="122"/>
      <c r="H626" s="121">
        <f t="shared" si="203"/>
        <v>0.8</v>
      </c>
      <c r="I626" s="151"/>
    </row>
    <row r="627" spans="1:9" x14ac:dyDescent="0.35">
      <c r="A627" t="s">
        <v>158</v>
      </c>
      <c r="B627" s="28" t="s">
        <v>74</v>
      </c>
      <c r="C627" s="76">
        <v>0.8</v>
      </c>
      <c r="D627" s="90"/>
      <c r="E627" s="91"/>
      <c r="F627" s="92"/>
      <c r="G627" s="122"/>
      <c r="H627" s="121">
        <f t="shared" si="203"/>
        <v>0.8</v>
      </c>
      <c r="I627" s="151"/>
    </row>
    <row r="628" spans="1:9" x14ac:dyDescent="0.35">
      <c r="A628" t="s">
        <v>158</v>
      </c>
      <c r="B628" s="28" t="s">
        <v>75</v>
      </c>
      <c r="C628" s="76">
        <v>0.8</v>
      </c>
      <c r="D628" s="90"/>
      <c r="E628" s="91"/>
      <c r="F628" s="92"/>
      <c r="G628" s="122"/>
      <c r="H628" s="121">
        <f t="shared" si="203"/>
        <v>0.8</v>
      </c>
      <c r="I628" s="151"/>
    </row>
    <row r="629" spans="1:9" x14ac:dyDescent="0.35">
      <c r="A629" t="s">
        <v>158</v>
      </c>
      <c r="B629" s="28" t="s">
        <v>76</v>
      </c>
      <c r="C629" s="76">
        <v>0.8</v>
      </c>
      <c r="D629" s="90"/>
      <c r="E629" s="91"/>
      <c r="F629" s="92"/>
      <c r="G629" s="122"/>
      <c r="H629" s="121">
        <f t="shared" si="203"/>
        <v>0.8</v>
      </c>
      <c r="I629" s="151"/>
    </row>
    <row r="630" spans="1:9" ht="15" thickBot="1" x14ac:dyDescent="0.4">
      <c r="A630" t="s">
        <v>158</v>
      </c>
      <c r="B630" s="29" t="s">
        <v>77</v>
      </c>
      <c r="C630" s="126">
        <v>0.8</v>
      </c>
      <c r="D630" s="103"/>
      <c r="E630" s="105"/>
      <c r="F630" s="107"/>
      <c r="G630" s="127"/>
      <c r="H630" s="128">
        <f t="shared" si="203"/>
        <v>0.8</v>
      </c>
      <c r="I630" s="151"/>
    </row>
    <row r="631" spans="1:9" x14ac:dyDescent="0.35">
      <c r="B631" s="30"/>
      <c r="C631" s="31"/>
      <c r="D631" s="31"/>
      <c r="E631" s="31"/>
      <c r="F631" s="31"/>
      <c r="G631" s="31"/>
      <c r="H631" s="31"/>
    </row>
  </sheetData>
  <mergeCells count="42">
    <mergeCell ref="I617:I630"/>
    <mergeCell ref="I542:I555"/>
    <mergeCell ref="I557:I570"/>
    <mergeCell ref="I572:I585"/>
    <mergeCell ref="I587:I600"/>
    <mergeCell ref="I602:I615"/>
    <mergeCell ref="I467:I480"/>
    <mergeCell ref="I482:I495"/>
    <mergeCell ref="I497:I510"/>
    <mergeCell ref="I512:I525"/>
    <mergeCell ref="I527:I540"/>
    <mergeCell ref="I392:I405"/>
    <mergeCell ref="I407:I420"/>
    <mergeCell ref="I422:I435"/>
    <mergeCell ref="I437:I450"/>
    <mergeCell ref="I452:I465"/>
    <mergeCell ref="I317:I330"/>
    <mergeCell ref="I332:I345"/>
    <mergeCell ref="I347:I360"/>
    <mergeCell ref="I362:I375"/>
    <mergeCell ref="I377:I390"/>
    <mergeCell ref="I77:I90"/>
    <mergeCell ref="I257:I270"/>
    <mergeCell ref="I272:I285"/>
    <mergeCell ref="I287:I300"/>
    <mergeCell ref="I302:I315"/>
    <mergeCell ref="I92:I105"/>
    <mergeCell ref="I107:I120"/>
    <mergeCell ref="I122:I135"/>
    <mergeCell ref="I137:I150"/>
    <mergeCell ref="I152:I165"/>
    <mergeCell ref="I242:I255"/>
    <mergeCell ref="I167:I180"/>
    <mergeCell ref="I182:I195"/>
    <mergeCell ref="I197:I210"/>
    <mergeCell ref="I212:I225"/>
    <mergeCell ref="I227:I240"/>
    <mergeCell ref="I2:I15"/>
    <mergeCell ref="I47:I60"/>
    <mergeCell ref="I32:I45"/>
    <mergeCell ref="I62:I75"/>
    <mergeCell ref="I17:I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AA4AC-0B05-438C-B874-912EA2D400AD}">
  <dimension ref="A1:O631"/>
  <sheetViews>
    <sheetView topLeftCell="A16" zoomScale="50" zoomScaleNormal="50" workbookViewId="0">
      <selection activeCell="D21" sqref="D21"/>
    </sheetView>
  </sheetViews>
  <sheetFormatPr defaultRowHeight="14.5" x14ac:dyDescent="0.35"/>
  <cols>
    <col min="1" max="1" width="11.7265625" bestFit="1" customWidth="1"/>
    <col min="2" max="2" width="22.453125" bestFit="1" customWidth="1"/>
    <col min="3" max="3" width="10.1796875" bestFit="1" customWidth="1"/>
    <col min="4" max="4" width="11" bestFit="1" customWidth="1"/>
    <col min="5" max="5" width="10.1796875" bestFit="1" customWidth="1"/>
    <col min="6" max="6" width="11.81640625" bestFit="1" customWidth="1"/>
    <col min="7" max="7" width="10.1796875" bestFit="1" customWidth="1"/>
    <col min="8" max="8" width="14.54296875" bestFit="1" customWidth="1"/>
    <col min="9" max="9" width="10.1796875" bestFit="1" customWidth="1"/>
    <col min="10" max="10" width="11.7265625" bestFit="1" customWidth="1"/>
    <col min="11" max="11" width="10.1796875" bestFit="1" customWidth="1"/>
    <col min="12" max="13" width="12.54296875" bestFit="1" customWidth="1"/>
    <col min="14" max="14" width="9.1796875" bestFit="1" customWidth="1"/>
  </cols>
  <sheetData>
    <row r="1" spans="1:15" ht="15" thickBot="1" x14ac:dyDescent="0.4">
      <c r="A1" t="s">
        <v>55</v>
      </c>
      <c r="B1" s="21"/>
      <c r="C1" s="54" t="s">
        <v>56</v>
      </c>
      <c r="D1" s="55" t="s">
        <v>160</v>
      </c>
      <c r="E1" s="56" t="s">
        <v>57</v>
      </c>
      <c r="F1" s="57" t="s">
        <v>161</v>
      </c>
      <c r="G1" s="58" t="s">
        <v>58</v>
      </c>
      <c r="H1" s="59" t="s">
        <v>162</v>
      </c>
      <c r="I1" s="60" t="s">
        <v>59</v>
      </c>
      <c r="J1" s="61" t="s">
        <v>163</v>
      </c>
      <c r="K1" s="62" t="s">
        <v>60</v>
      </c>
      <c r="L1" s="63" t="s">
        <v>164</v>
      </c>
      <c r="M1" s="64" t="s">
        <v>61</v>
      </c>
      <c r="N1" s="64" t="s">
        <v>165</v>
      </c>
      <c r="O1" s="152" t="s">
        <v>64</v>
      </c>
    </row>
    <row r="2" spans="1:15" ht="15" thickBot="1" x14ac:dyDescent="0.4">
      <c r="A2" t="s">
        <v>62</v>
      </c>
      <c r="B2" s="65" t="s">
        <v>166</v>
      </c>
      <c r="C2" s="66">
        <v>0</v>
      </c>
      <c r="D2" s="67"/>
      <c r="E2" s="66">
        <v>0</v>
      </c>
      <c r="F2" s="67"/>
      <c r="G2" s="66">
        <v>0</v>
      </c>
      <c r="H2" s="67"/>
      <c r="I2" s="66">
        <v>0</v>
      </c>
      <c r="J2" s="67"/>
      <c r="K2" s="66">
        <v>0</v>
      </c>
      <c r="L2" s="67"/>
      <c r="M2" s="68">
        <f>SUM(C2,E2,G2,I2,K2)</f>
        <v>0</v>
      </c>
      <c r="N2" s="67"/>
      <c r="O2" s="153"/>
    </row>
    <row r="3" spans="1:15" ht="15" thickBot="1" x14ac:dyDescent="0.4">
      <c r="A3" t="s">
        <v>62</v>
      </c>
      <c r="B3" s="69" t="s">
        <v>167</v>
      </c>
      <c r="C3" s="70">
        <v>15598.825019999989</v>
      </c>
      <c r="D3" s="71">
        <f>SUM(D5:D15)</f>
        <v>0.36650196362033455</v>
      </c>
      <c r="E3" s="70">
        <v>15598.825019999989</v>
      </c>
      <c r="F3" s="71">
        <f>SUM(F5:F15)</f>
        <v>0.36650196362033455</v>
      </c>
      <c r="G3" s="70">
        <v>15598.825019999989</v>
      </c>
      <c r="H3" s="71">
        <f>SUM(H5:H15)</f>
        <v>0.36650196362033455</v>
      </c>
      <c r="I3" s="70">
        <v>15598.825019999989</v>
      </c>
      <c r="J3" s="71">
        <f>SUM(J5:J15)</f>
        <v>0.36650196362033455</v>
      </c>
      <c r="K3" s="70">
        <v>15598.825019999989</v>
      </c>
      <c r="L3" s="71">
        <f>SUM(L5:L15)</f>
        <v>0.36650196362033455</v>
      </c>
      <c r="M3" s="70">
        <f>SUM(C3,E3,G3,I3,K3)</f>
        <v>77994.125099999947</v>
      </c>
      <c r="N3" s="71">
        <f>SUM(N5:N15)</f>
        <v>7.3300392724066896E-2</v>
      </c>
      <c r="O3" s="153"/>
    </row>
    <row r="4" spans="1:15" ht="15" thickBot="1" x14ac:dyDescent="0.4">
      <c r="A4" t="s">
        <v>62</v>
      </c>
      <c r="B4" s="72" t="s">
        <v>168</v>
      </c>
      <c r="C4" s="73"/>
      <c r="D4" s="74">
        <f>(SUM(D5:D15)+C2)/C3</f>
        <v>2.3495485278565861E-5</v>
      </c>
      <c r="E4" s="73"/>
      <c r="F4" s="74">
        <f>(SUM(F5:F15)+E2)/E3</f>
        <v>2.3495485278565861E-5</v>
      </c>
      <c r="G4" s="73"/>
      <c r="H4" s="74">
        <f>(SUM(H5:H15)+G2)/G3</f>
        <v>2.3495485278565861E-5</v>
      </c>
      <c r="I4" s="73"/>
      <c r="J4" s="74">
        <f>(SUM(J5:J15)+I2)/I3</f>
        <v>2.3495485278565861E-5</v>
      </c>
      <c r="K4" s="73"/>
      <c r="L4" s="74">
        <f>(SUM(L5:L15)+K2)/K3</f>
        <v>2.3495485278565861E-5</v>
      </c>
      <c r="M4" s="73"/>
      <c r="N4" s="74">
        <f>(SUM(N5:N15)+M2)/M3</f>
        <v>9.398194111426342E-7</v>
      </c>
      <c r="O4" s="153"/>
    </row>
    <row r="5" spans="1:15" x14ac:dyDescent="0.35">
      <c r="A5" t="s">
        <v>62</v>
      </c>
      <c r="B5" s="75" t="s">
        <v>169</v>
      </c>
      <c r="C5" s="76">
        <v>800</v>
      </c>
      <c r="D5" s="77">
        <f>C5/$C$3</f>
        <v>5.1285914097650452E-2</v>
      </c>
      <c r="E5" s="78">
        <v>800</v>
      </c>
      <c r="F5" s="79">
        <f>E5/$E$3</f>
        <v>5.1285914097650452E-2</v>
      </c>
      <c r="G5" s="80">
        <v>800</v>
      </c>
      <c r="H5" s="81">
        <f>G5/$G$3</f>
        <v>5.1285914097650452E-2</v>
      </c>
      <c r="I5" s="82">
        <v>800</v>
      </c>
      <c r="J5" s="83">
        <f>I5/$I$3</f>
        <v>5.1285914097650452E-2</v>
      </c>
      <c r="K5" s="84">
        <v>800</v>
      </c>
      <c r="L5" s="85">
        <f>K5/$K$3</f>
        <v>5.1285914097650452E-2</v>
      </c>
      <c r="M5" s="86">
        <v>800</v>
      </c>
      <c r="N5" s="87">
        <f>M5/$M$3</f>
        <v>1.025718281953009E-2</v>
      </c>
      <c r="O5" s="153"/>
    </row>
    <row r="6" spans="1:15" x14ac:dyDescent="0.35">
      <c r="A6" t="s">
        <v>62</v>
      </c>
      <c r="B6" s="75" t="s">
        <v>170</v>
      </c>
      <c r="C6" s="88">
        <v>0</v>
      </c>
      <c r="D6" s="89">
        <f t="shared" ref="D6:D15" si="0">C6/$C$3</f>
        <v>0</v>
      </c>
      <c r="E6" s="90">
        <v>0</v>
      </c>
      <c r="F6" s="79">
        <f t="shared" ref="F6:F15" si="1">E6/$E$3</f>
        <v>0</v>
      </c>
      <c r="G6" s="91">
        <v>0</v>
      </c>
      <c r="H6" s="81">
        <f t="shared" ref="H6:H15" si="2">G6/$G$3</f>
        <v>0</v>
      </c>
      <c r="I6" s="92">
        <v>0</v>
      </c>
      <c r="J6" s="83">
        <f t="shared" ref="J6:J15" si="3">I6/$I$3</f>
        <v>0</v>
      </c>
      <c r="K6" s="93">
        <v>0</v>
      </c>
      <c r="L6" s="85">
        <f t="shared" ref="L6:L15" si="4">K6/$K$3</f>
        <v>0</v>
      </c>
      <c r="M6" s="23">
        <v>0</v>
      </c>
      <c r="N6" s="87">
        <f t="shared" ref="N6:N15" si="5">M6/$M$3</f>
        <v>0</v>
      </c>
      <c r="O6" s="153"/>
    </row>
    <row r="7" spans="1:15" x14ac:dyDescent="0.35">
      <c r="A7" t="s">
        <v>62</v>
      </c>
      <c r="B7" s="75" t="s">
        <v>171</v>
      </c>
      <c r="C7" s="88">
        <v>104</v>
      </c>
      <c r="D7" s="89">
        <f>C7/$C$3</f>
        <v>6.6671688326945585E-3</v>
      </c>
      <c r="E7" s="90">
        <v>104</v>
      </c>
      <c r="F7" s="79">
        <f t="shared" si="1"/>
        <v>6.6671688326945585E-3</v>
      </c>
      <c r="G7" s="91">
        <v>104</v>
      </c>
      <c r="H7" s="81">
        <f t="shared" si="2"/>
        <v>6.6671688326945585E-3</v>
      </c>
      <c r="I7" s="92">
        <v>104</v>
      </c>
      <c r="J7" s="83">
        <f t="shared" si="3"/>
        <v>6.6671688326945585E-3</v>
      </c>
      <c r="K7" s="93">
        <v>104</v>
      </c>
      <c r="L7" s="85">
        <f t="shared" si="4"/>
        <v>6.6671688326945585E-3</v>
      </c>
      <c r="M7" s="23">
        <v>104</v>
      </c>
      <c r="N7" s="87">
        <f t="shared" si="5"/>
        <v>1.3334337665389117E-3</v>
      </c>
      <c r="O7" s="153"/>
    </row>
    <row r="8" spans="1:15" x14ac:dyDescent="0.35">
      <c r="A8" t="s">
        <v>62</v>
      </c>
      <c r="B8" s="75" t="s">
        <v>172</v>
      </c>
      <c r="C8" s="88">
        <v>0</v>
      </c>
      <c r="D8" s="89">
        <f>C8/$C$3</f>
        <v>0</v>
      </c>
      <c r="E8" s="90">
        <v>0</v>
      </c>
      <c r="F8" s="79">
        <f t="shared" si="1"/>
        <v>0</v>
      </c>
      <c r="G8" s="91">
        <v>0</v>
      </c>
      <c r="H8" s="81">
        <f t="shared" si="2"/>
        <v>0</v>
      </c>
      <c r="I8" s="92">
        <v>0</v>
      </c>
      <c r="J8" s="83">
        <f t="shared" si="3"/>
        <v>0</v>
      </c>
      <c r="K8" s="93">
        <v>0</v>
      </c>
      <c r="L8" s="85">
        <f t="shared" si="4"/>
        <v>0</v>
      </c>
      <c r="M8" s="23">
        <v>0</v>
      </c>
      <c r="N8" s="87">
        <f t="shared" si="5"/>
        <v>0</v>
      </c>
      <c r="O8" s="153"/>
    </row>
    <row r="9" spans="1:15" x14ac:dyDescent="0.35">
      <c r="A9" t="s">
        <v>62</v>
      </c>
      <c r="B9" s="75" t="s">
        <v>173</v>
      </c>
      <c r="C9" s="94">
        <v>3619</v>
      </c>
      <c r="D9" s="89">
        <f t="shared" si="0"/>
        <v>0.23200465389924621</v>
      </c>
      <c r="E9" s="95">
        <v>3619</v>
      </c>
      <c r="F9" s="79">
        <f t="shared" si="1"/>
        <v>0.23200465389924621</v>
      </c>
      <c r="G9" s="96">
        <v>3619</v>
      </c>
      <c r="H9" s="81">
        <f t="shared" si="2"/>
        <v>0.23200465389924621</v>
      </c>
      <c r="I9" s="97">
        <v>3619</v>
      </c>
      <c r="J9" s="83">
        <f t="shared" si="3"/>
        <v>0.23200465389924621</v>
      </c>
      <c r="K9" s="98">
        <v>3619</v>
      </c>
      <c r="L9" s="85">
        <f t="shared" si="4"/>
        <v>0.23200465389924621</v>
      </c>
      <c r="M9" s="99">
        <v>3619</v>
      </c>
      <c r="N9" s="87">
        <f t="shared" si="5"/>
        <v>4.6400930779849241E-2</v>
      </c>
      <c r="O9" s="153"/>
    </row>
    <row r="10" spans="1:15" x14ac:dyDescent="0.35">
      <c r="A10" t="s">
        <v>62</v>
      </c>
      <c r="B10" s="75" t="s">
        <v>174</v>
      </c>
      <c r="C10" s="88">
        <v>956</v>
      </c>
      <c r="D10" s="89">
        <f t="shared" si="0"/>
        <v>6.1286667346692289E-2</v>
      </c>
      <c r="E10" s="90">
        <v>956</v>
      </c>
      <c r="F10" s="79">
        <f t="shared" si="1"/>
        <v>6.1286667346692289E-2</v>
      </c>
      <c r="G10" s="91">
        <v>956</v>
      </c>
      <c r="H10" s="81">
        <f t="shared" si="2"/>
        <v>6.1286667346692289E-2</v>
      </c>
      <c r="I10" s="92">
        <v>956</v>
      </c>
      <c r="J10" s="83">
        <f t="shared" si="3"/>
        <v>6.1286667346692289E-2</v>
      </c>
      <c r="K10" s="93">
        <v>956</v>
      </c>
      <c r="L10" s="85">
        <f t="shared" si="4"/>
        <v>6.1286667346692289E-2</v>
      </c>
      <c r="M10" s="23">
        <v>956</v>
      </c>
      <c r="N10" s="87">
        <f t="shared" si="5"/>
        <v>1.2257333469338457E-2</v>
      </c>
      <c r="O10" s="153"/>
    </row>
    <row r="11" spans="1:15" x14ac:dyDescent="0.35">
      <c r="A11" t="s">
        <v>62</v>
      </c>
      <c r="B11" s="75" t="s">
        <v>175</v>
      </c>
      <c r="C11" s="88">
        <v>0</v>
      </c>
      <c r="D11" s="89">
        <f t="shared" si="0"/>
        <v>0</v>
      </c>
      <c r="E11" s="90">
        <v>0</v>
      </c>
      <c r="F11" s="79">
        <f t="shared" si="1"/>
        <v>0</v>
      </c>
      <c r="G11" s="91">
        <v>0</v>
      </c>
      <c r="H11" s="81">
        <f t="shared" si="2"/>
        <v>0</v>
      </c>
      <c r="I11" s="92">
        <v>0</v>
      </c>
      <c r="J11" s="83">
        <f t="shared" si="3"/>
        <v>0</v>
      </c>
      <c r="K11" s="93">
        <v>0</v>
      </c>
      <c r="L11" s="85">
        <f t="shared" si="4"/>
        <v>0</v>
      </c>
      <c r="M11" s="23">
        <v>0</v>
      </c>
      <c r="N11" s="87">
        <f t="shared" si="5"/>
        <v>0</v>
      </c>
      <c r="O11" s="153"/>
    </row>
    <row r="12" spans="1:15" x14ac:dyDescent="0.35">
      <c r="A12" t="s">
        <v>62</v>
      </c>
      <c r="B12" s="75" t="s">
        <v>176</v>
      </c>
      <c r="C12" s="88">
        <v>238</v>
      </c>
      <c r="D12" s="89">
        <f t="shared" si="0"/>
        <v>1.5257559444051008E-2</v>
      </c>
      <c r="E12" s="90">
        <v>238</v>
      </c>
      <c r="F12" s="79">
        <f t="shared" si="1"/>
        <v>1.5257559444051008E-2</v>
      </c>
      <c r="G12" s="91">
        <v>238</v>
      </c>
      <c r="H12" s="81">
        <f t="shared" si="2"/>
        <v>1.5257559444051008E-2</v>
      </c>
      <c r="I12" s="92">
        <v>238</v>
      </c>
      <c r="J12" s="83">
        <f t="shared" si="3"/>
        <v>1.5257559444051008E-2</v>
      </c>
      <c r="K12" s="93">
        <v>238</v>
      </c>
      <c r="L12" s="85">
        <f t="shared" si="4"/>
        <v>1.5257559444051008E-2</v>
      </c>
      <c r="M12" s="23">
        <v>238</v>
      </c>
      <c r="N12" s="87">
        <f t="shared" si="5"/>
        <v>3.0515118888102019E-3</v>
      </c>
      <c r="O12" s="153"/>
    </row>
    <row r="13" spans="1:15" x14ac:dyDescent="0.35">
      <c r="A13" t="s">
        <v>62</v>
      </c>
      <c r="B13" s="75" t="s">
        <v>177</v>
      </c>
      <c r="C13" s="88">
        <v>0</v>
      </c>
      <c r="D13" s="89">
        <f t="shared" si="0"/>
        <v>0</v>
      </c>
      <c r="E13" s="90">
        <v>0</v>
      </c>
      <c r="F13" s="79">
        <f t="shared" si="1"/>
        <v>0</v>
      </c>
      <c r="G13" s="91">
        <v>0</v>
      </c>
      <c r="H13" s="81">
        <f t="shared" si="2"/>
        <v>0</v>
      </c>
      <c r="I13" s="92">
        <v>0</v>
      </c>
      <c r="J13" s="83">
        <f t="shared" si="3"/>
        <v>0</v>
      </c>
      <c r="K13" s="93">
        <v>0</v>
      </c>
      <c r="L13" s="85">
        <f t="shared" si="4"/>
        <v>0</v>
      </c>
      <c r="M13" s="23">
        <v>0</v>
      </c>
      <c r="N13" s="87">
        <f t="shared" si="5"/>
        <v>0</v>
      </c>
      <c r="O13" s="153"/>
    </row>
    <row r="14" spans="1:15" x14ac:dyDescent="0.35">
      <c r="A14" t="s">
        <v>62</v>
      </c>
      <c r="B14" s="75" t="s">
        <v>178</v>
      </c>
      <c r="C14" s="88">
        <v>0</v>
      </c>
      <c r="D14" s="89">
        <f t="shared" si="0"/>
        <v>0</v>
      </c>
      <c r="E14" s="90">
        <v>0</v>
      </c>
      <c r="F14" s="79">
        <f t="shared" si="1"/>
        <v>0</v>
      </c>
      <c r="G14" s="91">
        <v>0</v>
      </c>
      <c r="H14" s="81">
        <f t="shared" si="2"/>
        <v>0</v>
      </c>
      <c r="I14" s="92">
        <v>0</v>
      </c>
      <c r="J14" s="83">
        <f t="shared" si="3"/>
        <v>0</v>
      </c>
      <c r="K14" s="93">
        <v>0</v>
      </c>
      <c r="L14" s="85">
        <f t="shared" si="4"/>
        <v>0</v>
      </c>
      <c r="M14" s="23">
        <v>0</v>
      </c>
      <c r="N14" s="87">
        <f t="shared" si="5"/>
        <v>0</v>
      </c>
      <c r="O14" s="153"/>
    </row>
    <row r="15" spans="1:15" ht="15" thickBot="1" x14ac:dyDescent="0.4">
      <c r="A15" t="s">
        <v>62</v>
      </c>
      <c r="B15" s="100" t="s">
        <v>179</v>
      </c>
      <c r="C15" s="101">
        <v>0</v>
      </c>
      <c r="D15" s="102">
        <f t="shared" si="0"/>
        <v>0</v>
      </c>
      <c r="E15" s="103">
        <v>0</v>
      </c>
      <c r="F15" s="104">
        <f t="shared" si="1"/>
        <v>0</v>
      </c>
      <c r="G15" s="105">
        <v>0</v>
      </c>
      <c r="H15" s="106">
        <f t="shared" si="2"/>
        <v>0</v>
      </c>
      <c r="I15" s="107">
        <v>0</v>
      </c>
      <c r="J15" s="108">
        <f t="shared" si="3"/>
        <v>0</v>
      </c>
      <c r="K15" s="109">
        <v>0</v>
      </c>
      <c r="L15" s="110">
        <f t="shared" si="4"/>
        <v>0</v>
      </c>
      <c r="M15" s="25">
        <v>0</v>
      </c>
      <c r="N15" s="111">
        <f t="shared" si="5"/>
        <v>0</v>
      </c>
      <c r="O15" s="154"/>
    </row>
    <row r="16" spans="1:15" ht="14.5" customHeight="1" thickBot="1" x14ac:dyDescent="0.4">
      <c r="D16" s="26"/>
      <c r="F16" s="26"/>
      <c r="H16" s="26"/>
      <c r="J16" s="26"/>
      <c r="L16" s="26"/>
      <c r="N16" s="26"/>
      <c r="O16" s="27"/>
    </row>
    <row r="17" spans="1:15" ht="15" thickBot="1" x14ac:dyDescent="0.4">
      <c r="A17" t="s">
        <v>78</v>
      </c>
      <c r="B17" s="65" t="s">
        <v>166</v>
      </c>
      <c r="C17" s="66">
        <v>5590</v>
      </c>
      <c r="D17" s="67"/>
      <c r="E17" s="66">
        <v>3200</v>
      </c>
      <c r="F17" s="67"/>
      <c r="G17" s="66">
        <v>1500</v>
      </c>
      <c r="H17" s="67"/>
      <c r="I17" s="66">
        <v>6789</v>
      </c>
      <c r="J17" s="67"/>
      <c r="K17" s="66">
        <v>9832</v>
      </c>
      <c r="L17" s="67"/>
      <c r="M17" s="68">
        <f>SUM(C17,E17,G17,I17,K17)</f>
        <v>26911</v>
      </c>
      <c r="N17" s="67"/>
      <c r="O17" s="152" t="s">
        <v>79</v>
      </c>
    </row>
    <row r="18" spans="1:15" ht="15" thickBot="1" x14ac:dyDescent="0.4">
      <c r="A18" t="s">
        <v>78</v>
      </c>
      <c r="B18" s="69" t="s">
        <v>167</v>
      </c>
      <c r="C18" s="70">
        <v>15598.825019999989</v>
      </c>
      <c r="D18" s="71">
        <f>SUM(D20:D30)</f>
        <v>0.41413375633852734</v>
      </c>
      <c r="E18" s="70">
        <v>15598.825019999989</v>
      </c>
      <c r="F18" s="71">
        <f>SUM(F20:F30)</f>
        <v>0.36650196362033455</v>
      </c>
      <c r="G18" s="70">
        <v>15598.825019999989</v>
      </c>
      <c r="H18" s="71">
        <f>SUM(H20:H30)</f>
        <v>0.36650196362033455</v>
      </c>
      <c r="I18" s="70">
        <v>15598.825019999989</v>
      </c>
      <c r="J18" s="71">
        <f>SUM(J20:J30)</f>
        <v>0.36650196362033455</v>
      </c>
      <c r="K18" s="70">
        <v>15598.825019999989</v>
      </c>
      <c r="L18" s="71">
        <f>SUM(L20:L30)</f>
        <v>0.36650196362033455</v>
      </c>
      <c r="M18" s="70">
        <f>SUM(C18,E18,G18,I18,K18)</f>
        <v>77994.125099999947</v>
      </c>
      <c r="N18" s="71">
        <f>SUM(N20:N30)</f>
        <v>7.3300392724066896E-2</v>
      </c>
      <c r="O18" s="153"/>
    </row>
    <row r="19" spans="1:15" ht="15" thickBot="1" x14ac:dyDescent="0.4">
      <c r="A19" t="s">
        <v>78</v>
      </c>
      <c r="B19" s="72" t="s">
        <v>168</v>
      </c>
      <c r="C19" s="73"/>
      <c r="D19" s="74">
        <f>(SUM(D20:D30)+C17)/C18</f>
        <v>0.35838687379264816</v>
      </c>
      <c r="E19" s="73"/>
      <c r="F19" s="74">
        <f>(SUM(F20:F30)+E17)/E18</f>
        <v>0.20516715187588036</v>
      </c>
      <c r="G19" s="73"/>
      <c r="H19" s="74">
        <f>(SUM(H20:H30)+G17)/G18</f>
        <v>9.6184584418373159E-2</v>
      </c>
      <c r="I19" s="73"/>
      <c r="J19" s="74">
        <f>(SUM(J20:J30)+I17)/I18</f>
        <v>0.43524858399646466</v>
      </c>
      <c r="K19" s="73"/>
      <c r="L19" s="74">
        <f>(SUM(L20:L30)+K17)/K18</f>
        <v>0.63032737974540265</v>
      </c>
      <c r="M19" s="73"/>
      <c r="N19" s="74">
        <f>(SUM(N20:N30)+M17)/M18</f>
        <v>0.34503974838987894</v>
      </c>
      <c r="O19" s="153"/>
    </row>
    <row r="20" spans="1:15" x14ac:dyDescent="0.35">
      <c r="A20" t="s">
        <v>78</v>
      </c>
      <c r="B20" s="75" t="s">
        <v>169</v>
      </c>
      <c r="C20" s="76">
        <v>800</v>
      </c>
      <c r="D20" s="77">
        <f t="shared" ref="D20:D30" si="6">C20/$C$18</f>
        <v>5.1285914097650452E-2</v>
      </c>
      <c r="E20" s="78">
        <v>800</v>
      </c>
      <c r="F20" s="79">
        <f>E20/$E$18</f>
        <v>5.1285914097650452E-2</v>
      </c>
      <c r="G20" s="80">
        <v>800</v>
      </c>
      <c r="H20" s="81">
        <f>G20/$G$18</f>
        <v>5.1285914097650452E-2</v>
      </c>
      <c r="I20" s="82">
        <v>800</v>
      </c>
      <c r="J20" s="83">
        <f>I20/$I$18</f>
        <v>5.1285914097650452E-2</v>
      </c>
      <c r="K20" s="84">
        <v>800</v>
      </c>
      <c r="L20" s="85">
        <f>K20/$K$18</f>
        <v>5.1285914097650452E-2</v>
      </c>
      <c r="M20" s="86">
        <v>800</v>
      </c>
      <c r="N20" s="87">
        <f>M20/$M$18</f>
        <v>1.025718281953009E-2</v>
      </c>
      <c r="O20" s="153"/>
    </row>
    <row r="21" spans="1:15" x14ac:dyDescent="0.35">
      <c r="A21" t="s">
        <v>78</v>
      </c>
      <c r="B21" s="75" t="s">
        <v>170</v>
      </c>
      <c r="C21" s="88">
        <v>14</v>
      </c>
      <c r="D21" s="89">
        <f t="shared" si="6"/>
        <v>8.9750349670888281E-4</v>
      </c>
      <c r="E21" s="90">
        <v>0</v>
      </c>
      <c r="F21" s="79">
        <f t="shared" ref="F21:F30" si="7">E21/$E$18</f>
        <v>0</v>
      </c>
      <c r="G21" s="91">
        <v>0</v>
      </c>
      <c r="H21" s="81">
        <f t="shared" ref="H21:H30" si="8">G21/$G$18</f>
        <v>0</v>
      </c>
      <c r="I21" s="92">
        <v>0</v>
      </c>
      <c r="J21" s="83">
        <f t="shared" ref="J21:J30" si="9">I21/$I$18</f>
        <v>0</v>
      </c>
      <c r="K21" s="93">
        <v>0</v>
      </c>
      <c r="L21" s="85">
        <f t="shared" ref="L21:L30" si="10">K21/$K$18</f>
        <v>0</v>
      </c>
      <c r="M21" s="23">
        <v>0</v>
      </c>
      <c r="N21" s="87">
        <f t="shared" ref="N21:N30" si="11">M21/$M$18</f>
        <v>0</v>
      </c>
      <c r="O21" s="153"/>
    </row>
    <row r="22" spans="1:15" x14ac:dyDescent="0.35">
      <c r="A22" t="s">
        <v>78</v>
      </c>
      <c r="B22" s="75" t="s">
        <v>171</v>
      </c>
      <c r="C22" s="88">
        <v>104</v>
      </c>
      <c r="D22" s="89">
        <f t="shared" si="6"/>
        <v>6.6671688326945585E-3</v>
      </c>
      <c r="E22" s="90">
        <v>104</v>
      </c>
      <c r="F22" s="79">
        <f t="shared" si="7"/>
        <v>6.6671688326945585E-3</v>
      </c>
      <c r="G22" s="91">
        <v>104</v>
      </c>
      <c r="H22" s="81">
        <f t="shared" si="8"/>
        <v>6.6671688326945585E-3</v>
      </c>
      <c r="I22" s="92">
        <v>104</v>
      </c>
      <c r="J22" s="83">
        <f t="shared" si="9"/>
        <v>6.6671688326945585E-3</v>
      </c>
      <c r="K22" s="93">
        <v>104</v>
      </c>
      <c r="L22" s="85">
        <f t="shared" si="10"/>
        <v>6.6671688326945585E-3</v>
      </c>
      <c r="M22" s="23">
        <v>104</v>
      </c>
      <c r="N22" s="87">
        <f t="shared" si="11"/>
        <v>1.3334337665389117E-3</v>
      </c>
      <c r="O22" s="153"/>
    </row>
    <row r="23" spans="1:15" x14ac:dyDescent="0.35">
      <c r="A23" t="s">
        <v>78</v>
      </c>
      <c r="B23" s="75" t="s">
        <v>172</v>
      </c>
      <c r="C23" s="88">
        <v>156</v>
      </c>
      <c r="D23" s="89">
        <f t="shared" si="6"/>
        <v>1.0000753249041837E-2</v>
      </c>
      <c r="E23" s="90">
        <v>0</v>
      </c>
      <c r="F23" s="79">
        <f t="shared" si="7"/>
        <v>0</v>
      </c>
      <c r="G23" s="91">
        <v>0</v>
      </c>
      <c r="H23" s="81">
        <f t="shared" si="8"/>
        <v>0</v>
      </c>
      <c r="I23" s="92">
        <v>0</v>
      </c>
      <c r="J23" s="83">
        <f t="shared" si="9"/>
        <v>0</v>
      </c>
      <c r="K23" s="93">
        <v>0</v>
      </c>
      <c r="L23" s="85">
        <f t="shared" si="10"/>
        <v>0</v>
      </c>
      <c r="M23" s="23">
        <v>0</v>
      </c>
      <c r="N23" s="87">
        <f t="shared" si="11"/>
        <v>0</v>
      </c>
      <c r="O23" s="153"/>
    </row>
    <row r="24" spans="1:15" x14ac:dyDescent="0.35">
      <c r="A24" t="s">
        <v>78</v>
      </c>
      <c r="B24" s="75" t="s">
        <v>173</v>
      </c>
      <c r="C24" s="94">
        <v>3619</v>
      </c>
      <c r="D24" s="89">
        <f t="shared" si="6"/>
        <v>0.23200465389924621</v>
      </c>
      <c r="E24" s="95">
        <v>3619</v>
      </c>
      <c r="F24" s="79">
        <f t="shared" si="7"/>
        <v>0.23200465389924621</v>
      </c>
      <c r="G24" s="96">
        <v>3619</v>
      </c>
      <c r="H24" s="81">
        <f t="shared" si="8"/>
        <v>0.23200465389924621</v>
      </c>
      <c r="I24" s="97">
        <v>3619</v>
      </c>
      <c r="J24" s="83">
        <f t="shared" si="9"/>
        <v>0.23200465389924621</v>
      </c>
      <c r="K24" s="98">
        <v>3619</v>
      </c>
      <c r="L24" s="85">
        <f t="shared" si="10"/>
        <v>0.23200465389924621</v>
      </c>
      <c r="M24" s="99">
        <v>3619</v>
      </c>
      <c r="N24" s="87">
        <f t="shared" si="11"/>
        <v>4.6400930779849241E-2</v>
      </c>
      <c r="O24" s="153"/>
    </row>
    <row r="25" spans="1:15" x14ac:dyDescent="0.35">
      <c r="A25" t="s">
        <v>78</v>
      </c>
      <c r="B25" s="75" t="s">
        <v>174</v>
      </c>
      <c r="C25" s="88">
        <v>956</v>
      </c>
      <c r="D25" s="89">
        <f t="shared" si="6"/>
        <v>6.1286667346692289E-2</v>
      </c>
      <c r="E25" s="90">
        <v>956</v>
      </c>
      <c r="F25" s="79">
        <f t="shared" si="7"/>
        <v>6.1286667346692289E-2</v>
      </c>
      <c r="G25" s="91">
        <v>956</v>
      </c>
      <c r="H25" s="81">
        <f t="shared" si="8"/>
        <v>6.1286667346692289E-2</v>
      </c>
      <c r="I25" s="92">
        <v>956</v>
      </c>
      <c r="J25" s="83">
        <f t="shared" si="9"/>
        <v>6.1286667346692289E-2</v>
      </c>
      <c r="K25" s="93">
        <v>956</v>
      </c>
      <c r="L25" s="85">
        <f t="shared" si="10"/>
        <v>6.1286667346692289E-2</v>
      </c>
      <c r="M25" s="23">
        <v>956</v>
      </c>
      <c r="N25" s="87">
        <f t="shared" si="11"/>
        <v>1.2257333469338457E-2</v>
      </c>
      <c r="O25" s="153"/>
    </row>
    <row r="26" spans="1:15" x14ac:dyDescent="0.35">
      <c r="A26" t="s">
        <v>78</v>
      </c>
      <c r="B26" s="75" t="s">
        <v>175</v>
      </c>
      <c r="C26" s="88">
        <v>543</v>
      </c>
      <c r="D26" s="89">
        <f t="shared" si="6"/>
        <v>3.4810314193780244E-2</v>
      </c>
      <c r="E26" s="90">
        <v>0</v>
      </c>
      <c r="F26" s="79">
        <f t="shared" si="7"/>
        <v>0</v>
      </c>
      <c r="G26" s="91">
        <v>0</v>
      </c>
      <c r="H26" s="81">
        <f t="shared" si="8"/>
        <v>0</v>
      </c>
      <c r="I26" s="92">
        <v>0</v>
      </c>
      <c r="J26" s="83">
        <f t="shared" si="9"/>
        <v>0</v>
      </c>
      <c r="K26" s="93">
        <v>0</v>
      </c>
      <c r="L26" s="85">
        <f t="shared" si="10"/>
        <v>0</v>
      </c>
      <c r="M26" s="23">
        <v>0</v>
      </c>
      <c r="N26" s="87">
        <f t="shared" si="11"/>
        <v>0</v>
      </c>
      <c r="O26" s="153"/>
    </row>
    <row r="27" spans="1:15" x14ac:dyDescent="0.35">
      <c r="A27" t="s">
        <v>78</v>
      </c>
      <c r="B27" s="75" t="s">
        <v>176</v>
      </c>
      <c r="C27" s="88">
        <v>238</v>
      </c>
      <c r="D27" s="89">
        <f t="shared" si="6"/>
        <v>1.5257559444051008E-2</v>
      </c>
      <c r="E27" s="90">
        <v>238</v>
      </c>
      <c r="F27" s="79">
        <f t="shared" si="7"/>
        <v>1.5257559444051008E-2</v>
      </c>
      <c r="G27" s="91">
        <v>238</v>
      </c>
      <c r="H27" s="81">
        <f t="shared" si="8"/>
        <v>1.5257559444051008E-2</v>
      </c>
      <c r="I27" s="92">
        <v>238</v>
      </c>
      <c r="J27" s="83">
        <f t="shared" si="9"/>
        <v>1.5257559444051008E-2</v>
      </c>
      <c r="K27" s="93">
        <v>238</v>
      </c>
      <c r="L27" s="85">
        <f t="shared" si="10"/>
        <v>1.5257559444051008E-2</v>
      </c>
      <c r="M27" s="23">
        <v>238</v>
      </c>
      <c r="N27" s="87">
        <f t="shared" si="11"/>
        <v>3.0515118888102019E-3</v>
      </c>
      <c r="O27" s="153"/>
    </row>
    <row r="28" spans="1:15" x14ac:dyDescent="0.35">
      <c r="A28" t="s">
        <v>78</v>
      </c>
      <c r="B28" s="75" t="s">
        <v>177</v>
      </c>
      <c r="C28" s="88">
        <v>15</v>
      </c>
      <c r="D28" s="89">
        <f t="shared" si="6"/>
        <v>9.6161088933094591E-4</v>
      </c>
      <c r="E28" s="90">
        <v>0</v>
      </c>
      <c r="F28" s="79">
        <f t="shared" si="7"/>
        <v>0</v>
      </c>
      <c r="G28" s="91">
        <v>0</v>
      </c>
      <c r="H28" s="81">
        <f t="shared" si="8"/>
        <v>0</v>
      </c>
      <c r="I28" s="92">
        <v>0</v>
      </c>
      <c r="J28" s="83">
        <f t="shared" si="9"/>
        <v>0</v>
      </c>
      <c r="K28" s="93">
        <v>0</v>
      </c>
      <c r="L28" s="85">
        <f t="shared" si="10"/>
        <v>0</v>
      </c>
      <c r="M28" s="23">
        <v>0</v>
      </c>
      <c r="N28" s="87">
        <f t="shared" si="11"/>
        <v>0</v>
      </c>
      <c r="O28" s="153"/>
    </row>
    <row r="29" spans="1:15" x14ac:dyDescent="0.35">
      <c r="A29" t="s">
        <v>78</v>
      </c>
      <c r="B29" s="75" t="s">
        <v>178</v>
      </c>
      <c r="C29" s="88">
        <v>15</v>
      </c>
      <c r="D29" s="89">
        <f t="shared" si="6"/>
        <v>9.6161088933094591E-4</v>
      </c>
      <c r="E29" s="90">
        <v>0</v>
      </c>
      <c r="F29" s="79">
        <f t="shared" si="7"/>
        <v>0</v>
      </c>
      <c r="G29" s="91">
        <v>0</v>
      </c>
      <c r="H29" s="81">
        <f t="shared" si="8"/>
        <v>0</v>
      </c>
      <c r="I29" s="92">
        <v>0</v>
      </c>
      <c r="J29" s="83">
        <f t="shared" si="9"/>
        <v>0</v>
      </c>
      <c r="K29" s="93">
        <v>0</v>
      </c>
      <c r="L29" s="85">
        <f t="shared" si="10"/>
        <v>0</v>
      </c>
      <c r="M29" s="23">
        <v>0</v>
      </c>
      <c r="N29" s="87">
        <f t="shared" si="11"/>
        <v>0</v>
      </c>
      <c r="O29" s="153"/>
    </row>
    <row r="30" spans="1:15" ht="15" thickBot="1" x14ac:dyDescent="0.4">
      <c r="A30" t="s">
        <v>78</v>
      </c>
      <c r="B30" s="100" t="s">
        <v>179</v>
      </c>
      <c r="C30" s="101">
        <v>0</v>
      </c>
      <c r="D30" s="102">
        <f t="shared" si="6"/>
        <v>0</v>
      </c>
      <c r="E30" s="103">
        <v>0</v>
      </c>
      <c r="F30" s="104">
        <f t="shared" si="7"/>
        <v>0</v>
      </c>
      <c r="G30" s="105">
        <v>0</v>
      </c>
      <c r="H30" s="106">
        <f t="shared" si="8"/>
        <v>0</v>
      </c>
      <c r="I30" s="107">
        <v>0</v>
      </c>
      <c r="J30" s="108">
        <f t="shared" si="9"/>
        <v>0</v>
      </c>
      <c r="K30" s="109">
        <v>0</v>
      </c>
      <c r="L30" s="110">
        <f t="shared" si="10"/>
        <v>0</v>
      </c>
      <c r="M30" s="25">
        <v>0</v>
      </c>
      <c r="N30" s="111">
        <f t="shared" si="11"/>
        <v>0</v>
      </c>
      <c r="O30" s="154"/>
    </row>
    <row r="31" spans="1:15" ht="15" thickBot="1" x14ac:dyDescent="0.4">
      <c r="D31" s="26"/>
      <c r="F31" s="26"/>
      <c r="H31" s="26"/>
      <c r="J31" s="26"/>
      <c r="L31" s="26"/>
      <c r="N31" s="26"/>
      <c r="O31" s="112"/>
    </row>
    <row r="32" spans="1:15" ht="15" thickBot="1" x14ac:dyDescent="0.4">
      <c r="A32" t="s">
        <v>80</v>
      </c>
      <c r="B32" s="65" t="s">
        <v>166</v>
      </c>
      <c r="C32" s="66">
        <v>0</v>
      </c>
      <c r="D32" s="67"/>
      <c r="E32" s="66">
        <v>0</v>
      </c>
      <c r="F32" s="67"/>
      <c r="G32" s="66">
        <v>0</v>
      </c>
      <c r="H32" s="67"/>
      <c r="I32" s="66">
        <v>0</v>
      </c>
      <c r="J32" s="67"/>
      <c r="K32" s="66">
        <v>0</v>
      </c>
      <c r="L32" s="67"/>
      <c r="M32" s="68">
        <f>SUM(C32,E32,G32,I32,K32)</f>
        <v>0</v>
      </c>
      <c r="N32" s="67"/>
      <c r="O32" s="152" t="s">
        <v>81</v>
      </c>
    </row>
    <row r="33" spans="1:15" ht="15" thickBot="1" x14ac:dyDescent="0.4">
      <c r="A33" t="s">
        <v>80</v>
      </c>
      <c r="B33" s="69" t="s">
        <v>167</v>
      </c>
      <c r="C33" s="70">
        <v>15598.825019999989</v>
      </c>
      <c r="D33" s="71">
        <f>SUM(D35:D45)</f>
        <v>0.36650196362033455</v>
      </c>
      <c r="E33" s="70">
        <v>15598.825019999989</v>
      </c>
      <c r="F33" s="71">
        <f>SUM(F35:F45)</f>
        <v>0.36650196362033455</v>
      </c>
      <c r="G33" s="70">
        <v>15598.825019999989</v>
      </c>
      <c r="H33" s="71">
        <f>SUM(H35:H45)</f>
        <v>0.36650196362033455</v>
      </c>
      <c r="I33" s="70">
        <v>15598.825019999989</v>
      </c>
      <c r="J33" s="71">
        <f>SUM(J35:J45)</f>
        <v>0.36650196362033455</v>
      </c>
      <c r="K33" s="70">
        <v>15598.825019999989</v>
      </c>
      <c r="L33" s="71">
        <f>SUM(L35:L45)</f>
        <v>0.36650196362033455</v>
      </c>
      <c r="M33" s="70">
        <f>SUM(C33,E33,G33,I33,K33)</f>
        <v>77994.125099999947</v>
      </c>
      <c r="N33" s="71">
        <f>SUM(N35:N45)</f>
        <v>7.3300392724066896E-2</v>
      </c>
      <c r="O33" s="153"/>
    </row>
    <row r="34" spans="1:15" ht="15" thickBot="1" x14ac:dyDescent="0.4">
      <c r="A34" t="s">
        <v>80</v>
      </c>
      <c r="B34" s="72" t="s">
        <v>168</v>
      </c>
      <c r="C34" s="73"/>
      <c r="D34" s="74">
        <f>(SUM(D35:D45)+C32)/C33</f>
        <v>2.3495485278565861E-5</v>
      </c>
      <c r="E34" s="73"/>
      <c r="F34" s="74">
        <f>(SUM(F35:F45)+E32)/E33</f>
        <v>2.3495485278565861E-5</v>
      </c>
      <c r="G34" s="73"/>
      <c r="H34" s="74">
        <f>(SUM(H35:H45)+G32)/G33</f>
        <v>2.3495485278565861E-5</v>
      </c>
      <c r="I34" s="73"/>
      <c r="J34" s="74">
        <f>(SUM(J35:J45)+I32)/I33</f>
        <v>2.3495485278565861E-5</v>
      </c>
      <c r="K34" s="73"/>
      <c r="L34" s="74">
        <f>(SUM(L35:L45)+K32)/K33</f>
        <v>2.3495485278565861E-5</v>
      </c>
      <c r="M34" s="73"/>
      <c r="N34" s="74">
        <f>(SUM(N35:N45)+M32)/M33</f>
        <v>9.398194111426342E-7</v>
      </c>
      <c r="O34" s="153"/>
    </row>
    <row r="35" spans="1:15" x14ac:dyDescent="0.35">
      <c r="A35" t="s">
        <v>80</v>
      </c>
      <c r="B35" s="75" t="s">
        <v>169</v>
      </c>
      <c r="C35" s="76">
        <v>800</v>
      </c>
      <c r="D35" s="77">
        <f>C35/C33</f>
        <v>5.1285914097650452E-2</v>
      </c>
      <c r="E35" s="78">
        <v>800</v>
      </c>
      <c r="F35" s="79">
        <f>E35/E33</f>
        <v>5.1285914097650452E-2</v>
      </c>
      <c r="G35" s="80">
        <v>800</v>
      </c>
      <c r="H35" s="81">
        <f>G35/G33</f>
        <v>5.1285914097650452E-2</v>
      </c>
      <c r="I35" s="82">
        <v>800</v>
      </c>
      <c r="J35" s="83">
        <f>I35/I33</f>
        <v>5.1285914097650452E-2</v>
      </c>
      <c r="K35" s="84">
        <v>800</v>
      </c>
      <c r="L35" s="85">
        <f>K35/K33</f>
        <v>5.1285914097650452E-2</v>
      </c>
      <c r="M35" s="86">
        <v>800</v>
      </c>
      <c r="N35" s="87">
        <f>M35/M33</f>
        <v>1.025718281953009E-2</v>
      </c>
      <c r="O35" s="153"/>
    </row>
    <row r="36" spans="1:15" x14ac:dyDescent="0.35">
      <c r="A36" t="s">
        <v>80</v>
      </c>
      <c r="B36" s="75" t="s">
        <v>170</v>
      </c>
      <c r="C36" s="88">
        <v>0</v>
      </c>
      <c r="D36" s="77">
        <f>C36/C33</f>
        <v>0</v>
      </c>
      <c r="E36" s="90">
        <v>0</v>
      </c>
      <c r="F36" s="79">
        <f>E36/E33</f>
        <v>0</v>
      </c>
      <c r="G36" s="91">
        <v>0</v>
      </c>
      <c r="H36" s="81">
        <f>G36/G33</f>
        <v>0</v>
      </c>
      <c r="I36" s="92">
        <v>0</v>
      </c>
      <c r="J36" s="83">
        <f>I36/I33</f>
        <v>0</v>
      </c>
      <c r="K36" s="93">
        <v>0</v>
      </c>
      <c r="L36" s="85">
        <f>K36/K33</f>
        <v>0</v>
      </c>
      <c r="M36" s="23">
        <v>0</v>
      </c>
      <c r="N36" s="87">
        <f>M36/M33</f>
        <v>0</v>
      </c>
      <c r="O36" s="153"/>
    </row>
    <row r="37" spans="1:15" x14ac:dyDescent="0.35">
      <c r="A37" t="s">
        <v>80</v>
      </c>
      <c r="B37" s="75" t="s">
        <v>171</v>
      </c>
      <c r="C37" s="88">
        <v>104</v>
      </c>
      <c r="D37" s="77">
        <f>C37/C33</f>
        <v>6.6671688326945585E-3</v>
      </c>
      <c r="E37" s="90">
        <v>104</v>
      </c>
      <c r="F37" s="79">
        <f>E37/E33</f>
        <v>6.6671688326945585E-3</v>
      </c>
      <c r="G37" s="91">
        <v>104</v>
      </c>
      <c r="H37" s="81">
        <f>G37/G33</f>
        <v>6.6671688326945585E-3</v>
      </c>
      <c r="I37" s="92">
        <v>104</v>
      </c>
      <c r="J37" s="83">
        <f>I37/I33</f>
        <v>6.6671688326945585E-3</v>
      </c>
      <c r="K37" s="93">
        <v>104</v>
      </c>
      <c r="L37" s="85">
        <f>K37/K33</f>
        <v>6.6671688326945585E-3</v>
      </c>
      <c r="M37" s="23">
        <v>104</v>
      </c>
      <c r="N37" s="87">
        <f>M37/M33</f>
        <v>1.3334337665389117E-3</v>
      </c>
      <c r="O37" s="153"/>
    </row>
    <row r="38" spans="1:15" x14ac:dyDescent="0.35">
      <c r="A38" t="s">
        <v>80</v>
      </c>
      <c r="B38" s="75" t="s">
        <v>172</v>
      </c>
      <c r="C38" s="88">
        <v>0</v>
      </c>
      <c r="D38" s="77">
        <f>C38/C33</f>
        <v>0</v>
      </c>
      <c r="E38" s="90">
        <v>0</v>
      </c>
      <c r="F38" s="79">
        <f>E38/E33</f>
        <v>0</v>
      </c>
      <c r="G38" s="91">
        <v>0</v>
      </c>
      <c r="H38" s="81">
        <f>G38/G33</f>
        <v>0</v>
      </c>
      <c r="I38" s="92">
        <v>0</v>
      </c>
      <c r="J38" s="83">
        <f>I38/I33</f>
        <v>0</v>
      </c>
      <c r="K38" s="93">
        <v>0</v>
      </c>
      <c r="L38" s="85">
        <f>K38/K33</f>
        <v>0</v>
      </c>
      <c r="M38" s="23">
        <v>0</v>
      </c>
      <c r="N38" s="87">
        <f>M38/M33</f>
        <v>0</v>
      </c>
      <c r="O38" s="153"/>
    </row>
    <row r="39" spans="1:15" x14ac:dyDescent="0.35">
      <c r="A39" t="s">
        <v>80</v>
      </c>
      <c r="B39" s="75" t="s">
        <v>173</v>
      </c>
      <c r="C39" s="94">
        <v>3619</v>
      </c>
      <c r="D39" s="77">
        <f>C39/C33</f>
        <v>0.23200465389924621</v>
      </c>
      <c r="E39" s="95">
        <v>3619</v>
      </c>
      <c r="F39" s="79">
        <f>E39/E33</f>
        <v>0.23200465389924621</v>
      </c>
      <c r="G39" s="96">
        <v>3619</v>
      </c>
      <c r="H39" s="81">
        <f>G39/G33</f>
        <v>0.23200465389924621</v>
      </c>
      <c r="I39" s="97">
        <v>3619</v>
      </c>
      <c r="J39" s="83">
        <f>I39/I33</f>
        <v>0.23200465389924621</v>
      </c>
      <c r="K39" s="98">
        <v>3619</v>
      </c>
      <c r="L39" s="85">
        <f>K39/K33</f>
        <v>0.23200465389924621</v>
      </c>
      <c r="M39" s="99">
        <v>3619</v>
      </c>
      <c r="N39" s="87">
        <f>M39/M33</f>
        <v>4.6400930779849241E-2</v>
      </c>
      <c r="O39" s="153"/>
    </row>
    <row r="40" spans="1:15" x14ac:dyDescent="0.35">
      <c r="A40" t="s">
        <v>80</v>
      </c>
      <c r="B40" s="75" t="s">
        <v>174</v>
      </c>
      <c r="C40" s="88">
        <v>956</v>
      </c>
      <c r="D40" s="77">
        <f>C40/C33</f>
        <v>6.1286667346692289E-2</v>
      </c>
      <c r="E40" s="90">
        <v>956</v>
      </c>
      <c r="F40" s="79">
        <f>E40/E33</f>
        <v>6.1286667346692289E-2</v>
      </c>
      <c r="G40" s="91">
        <v>956</v>
      </c>
      <c r="H40" s="81">
        <f>G40/G33</f>
        <v>6.1286667346692289E-2</v>
      </c>
      <c r="I40" s="92">
        <v>956</v>
      </c>
      <c r="J40" s="83">
        <f>I40/I33</f>
        <v>6.1286667346692289E-2</v>
      </c>
      <c r="K40" s="93">
        <v>956</v>
      </c>
      <c r="L40" s="85">
        <f>K40/K33</f>
        <v>6.1286667346692289E-2</v>
      </c>
      <c r="M40" s="23">
        <v>956</v>
      </c>
      <c r="N40" s="87">
        <f>M40/M33</f>
        <v>1.2257333469338457E-2</v>
      </c>
      <c r="O40" s="153"/>
    </row>
    <row r="41" spans="1:15" x14ac:dyDescent="0.35">
      <c r="A41" t="s">
        <v>80</v>
      </c>
      <c r="B41" s="75" t="s">
        <v>175</v>
      </c>
      <c r="C41" s="88">
        <v>0</v>
      </c>
      <c r="D41" s="77">
        <f>C41/C33</f>
        <v>0</v>
      </c>
      <c r="E41" s="90">
        <v>0</v>
      </c>
      <c r="F41" s="79">
        <f>E41/E33</f>
        <v>0</v>
      </c>
      <c r="G41" s="91">
        <v>0</v>
      </c>
      <c r="H41" s="81">
        <f>G41/G33</f>
        <v>0</v>
      </c>
      <c r="I41" s="92">
        <v>0</v>
      </c>
      <c r="J41" s="83">
        <f>I41/I33</f>
        <v>0</v>
      </c>
      <c r="K41" s="93">
        <v>0</v>
      </c>
      <c r="L41" s="85">
        <f>K41/K33</f>
        <v>0</v>
      </c>
      <c r="M41" s="23">
        <v>0</v>
      </c>
      <c r="N41" s="87">
        <f>M41/M33</f>
        <v>0</v>
      </c>
      <c r="O41" s="153"/>
    </row>
    <row r="42" spans="1:15" x14ac:dyDescent="0.35">
      <c r="A42" t="s">
        <v>80</v>
      </c>
      <c r="B42" s="75" t="s">
        <v>176</v>
      </c>
      <c r="C42" s="88">
        <v>238</v>
      </c>
      <c r="D42" s="77">
        <f>C42/C33</f>
        <v>1.5257559444051008E-2</v>
      </c>
      <c r="E42" s="90">
        <v>238</v>
      </c>
      <c r="F42" s="79">
        <f>E42/E33</f>
        <v>1.5257559444051008E-2</v>
      </c>
      <c r="G42" s="91">
        <v>238</v>
      </c>
      <c r="H42" s="81">
        <f>G42/G33</f>
        <v>1.5257559444051008E-2</v>
      </c>
      <c r="I42" s="92">
        <v>238</v>
      </c>
      <c r="J42" s="83">
        <f>I42/I33</f>
        <v>1.5257559444051008E-2</v>
      </c>
      <c r="K42" s="93">
        <v>238</v>
      </c>
      <c r="L42" s="85">
        <f>K42/K33</f>
        <v>1.5257559444051008E-2</v>
      </c>
      <c r="M42" s="23">
        <v>238</v>
      </c>
      <c r="N42" s="87">
        <f>M42/M33</f>
        <v>3.0515118888102019E-3</v>
      </c>
      <c r="O42" s="153"/>
    </row>
    <row r="43" spans="1:15" x14ac:dyDescent="0.35">
      <c r="A43" t="s">
        <v>80</v>
      </c>
      <c r="B43" s="75" t="s">
        <v>177</v>
      </c>
      <c r="C43" s="88">
        <v>0</v>
      </c>
      <c r="D43" s="77">
        <f>C43/C33</f>
        <v>0</v>
      </c>
      <c r="E43" s="90">
        <v>0</v>
      </c>
      <c r="F43" s="79">
        <f>E43/E33</f>
        <v>0</v>
      </c>
      <c r="G43" s="91">
        <v>0</v>
      </c>
      <c r="H43" s="81">
        <f>G43/G33</f>
        <v>0</v>
      </c>
      <c r="I43" s="92">
        <v>0</v>
      </c>
      <c r="J43" s="83">
        <f>I43/I33</f>
        <v>0</v>
      </c>
      <c r="K43" s="93">
        <v>0</v>
      </c>
      <c r="L43" s="85">
        <f>K43/K33</f>
        <v>0</v>
      </c>
      <c r="M43" s="23">
        <v>0</v>
      </c>
      <c r="N43" s="87">
        <f>M43/M33</f>
        <v>0</v>
      </c>
      <c r="O43" s="153"/>
    </row>
    <row r="44" spans="1:15" x14ac:dyDescent="0.35">
      <c r="A44" t="s">
        <v>80</v>
      </c>
      <c r="B44" s="75" t="s">
        <v>178</v>
      </c>
      <c r="C44" s="88">
        <v>0</v>
      </c>
      <c r="D44" s="77">
        <f>C44/C33</f>
        <v>0</v>
      </c>
      <c r="E44" s="90">
        <v>0</v>
      </c>
      <c r="F44" s="79">
        <f>E44/E33</f>
        <v>0</v>
      </c>
      <c r="G44" s="91">
        <v>0</v>
      </c>
      <c r="H44" s="81">
        <f>G44/G33</f>
        <v>0</v>
      </c>
      <c r="I44" s="92">
        <v>0</v>
      </c>
      <c r="J44" s="83">
        <f>I44/I33</f>
        <v>0</v>
      </c>
      <c r="K44" s="93">
        <v>0</v>
      </c>
      <c r="L44" s="85">
        <f>K44/K33</f>
        <v>0</v>
      </c>
      <c r="M44" s="23">
        <v>0</v>
      </c>
      <c r="N44" s="87">
        <f>M44/M33</f>
        <v>0</v>
      </c>
      <c r="O44" s="153"/>
    </row>
    <row r="45" spans="1:15" ht="15" thickBot="1" x14ac:dyDescent="0.4">
      <c r="A45" t="s">
        <v>80</v>
      </c>
      <c r="B45" s="100" t="s">
        <v>179</v>
      </c>
      <c r="C45" s="101">
        <v>0</v>
      </c>
      <c r="D45" s="113">
        <f t="shared" ref="D45" si="12">C45/$C$33</f>
        <v>0</v>
      </c>
      <c r="E45" s="103">
        <v>0</v>
      </c>
      <c r="F45" s="104">
        <f>E45/E33</f>
        <v>0</v>
      </c>
      <c r="G45" s="105">
        <v>0</v>
      </c>
      <c r="H45" s="106">
        <f>G45/G33</f>
        <v>0</v>
      </c>
      <c r="I45" s="107">
        <v>0</v>
      </c>
      <c r="J45" s="108">
        <f>I45/I33</f>
        <v>0</v>
      </c>
      <c r="K45" s="109">
        <v>0</v>
      </c>
      <c r="L45" s="110">
        <f>K45/K33</f>
        <v>0</v>
      </c>
      <c r="M45" s="25">
        <v>0</v>
      </c>
      <c r="N45" s="111">
        <f>M45/M33</f>
        <v>0</v>
      </c>
      <c r="O45" s="154"/>
    </row>
    <row r="46" spans="1:15" ht="15" thickBot="1" x14ac:dyDescent="0.4">
      <c r="D46" s="26"/>
      <c r="F46" s="26"/>
      <c r="H46" s="26"/>
      <c r="J46" s="26"/>
      <c r="L46" s="26"/>
      <c r="N46" s="26"/>
      <c r="O46" s="112"/>
    </row>
    <row r="47" spans="1:15" ht="15" thickBot="1" x14ac:dyDescent="0.4">
      <c r="A47" t="s">
        <v>82</v>
      </c>
      <c r="B47" s="65" t="s">
        <v>166</v>
      </c>
      <c r="C47" s="66">
        <v>0</v>
      </c>
      <c r="D47" s="67"/>
      <c r="E47" s="66">
        <v>0</v>
      </c>
      <c r="F47" s="67"/>
      <c r="G47" s="66">
        <v>0</v>
      </c>
      <c r="H47" s="67"/>
      <c r="I47" s="66">
        <v>0</v>
      </c>
      <c r="J47" s="67"/>
      <c r="K47" s="66">
        <v>0</v>
      </c>
      <c r="L47" s="67"/>
      <c r="M47" s="68">
        <f>SUM(C47,E47,G47,I47,K47)</f>
        <v>0</v>
      </c>
      <c r="N47" s="67"/>
      <c r="O47" s="152" t="s">
        <v>83</v>
      </c>
    </row>
    <row r="48" spans="1:15" ht="15" thickBot="1" x14ac:dyDescent="0.4">
      <c r="A48" t="s">
        <v>82</v>
      </c>
      <c r="B48" s="69" t="s">
        <v>167</v>
      </c>
      <c r="C48" s="70">
        <v>15598.825019999989</v>
      </c>
      <c r="D48" s="71">
        <f>SUM(D50:D60)</f>
        <v>0.36650196362033455</v>
      </c>
      <c r="E48" s="70">
        <v>15598.825019999989</v>
      </c>
      <c r="F48" s="71">
        <f>SUM(F50:F60)</f>
        <v>0.36650196362033455</v>
      </c>
      <c r="G48" s="70">
        <v>15598.825019999989</v>
      </c>
      <c r="H48" s="71">
        <f>SUM(H50:H60)</f>
        <v>0.36650196362033455</v>
      </c>
      <c r="I48" s="70">
        <v>15598.825019999989</v>
      </c>
      <c r="J48" s="71">
        <f>SUM(J50:J60)</f>
        <v>0.36650196362033455</v>
      </c>
      <c r="K48" s="70">
        <v>15598.825019999989</v>
      </c>
      <c r="L48" s="71">
        <f>SUM(L50:L60)</f>
        <v>0.36650196362033455</v>
      </c>
      <c r="M48" s="70">
        <f>SUM(C48,E48,G48,I48,K48)</f>
        <v>77994.125099999947</v>
      </c>
      <c r="N48" s="71">
        <f>SUM(N50:N60)</f>
        <v>7.3300392724066896E-2</v>
      </c>
      <c r="O48" s="153"/>
    </row>
    <row r="49" spans="1:15" ht="15" thickBot="1" x14ac:dyDescent="0.4">
      <c r="A49" t="s">
        <v>82</v>
      </c>
      <c r="B49" s="72" t="s">
        <v>168</v>
      </c>
      <c r="C49" s="73"/>
      <c r="D49" s="74">
        <f>(SUM(D50:D60)+C47)/C48</f>
        <v>2.3495485278565861E-5</v>
      </c>
      <c r="E49" s="73"/>
      <c r="F49" s="74">
        <f>(SUM(F50:F60)+E47)/E48</f>
        <v>2.3495485278565861E-5</v>
      </c>
      <c r="G49" s="73"/>
      <c r="H49" s="74">
        <f>(SUM(H50:H60)+G47)/G48</f>
        <v>2.3495485278565861E-5</v>
      </c>
      <c r="I49" s="73"/>
      <c r="J49" s="74">
        <f>(SUM(J50:J60)+I47)/I48</f>
        <v>2.3495485278565861E-5</v>
      </c>
      <c r="K49" s="73"/>
      <c r="L49" s="74">
        <f>(SUM(L50:L60)+K47)/K48</f>
        <v>2.3495485278565861E-5</v>
      </c>
      <c r="M49" s="73"/>
      <c r="N49" s="74">
        <f>(SUM(N50:N60)+M47)/M48</f>
        <v>9.398194111426342E-7</v>
      </c>
      <c r="O49" s="153"/>
    </row>
    <row r="50" spans="1:15" x14ac:dyDescent="0.35">
      <c r="A50" t="s">
        <v>82</v>
      </c>
      <c r="B50" s="75" t="s">
        <v>169</v>
      </c>
      <c r="C50" s="76">
        <v>800</v>
      </c>
      <c r="D50" s="77">
        <f>C50/C48</f>
        <v>5.1285914097650452E-2</v>
      </c>
      <c r="E50" s="78">
        <v>800</v>
      </c>
      <c r="F50" s="79">
        <f>E50/E48</f>
        <v>5.1285914097650452E-2</v>
      </c>
      <c r="G50" s="80">
        <v>800</v>
      </c>
      <c r="H50" s="81">
        <f>G50/G48</f>
        <v>5.1285914097650452E-2</v>
      </c>
      <c r="I50" s="82">
        <v>800</v>
      </c>
      <c r="J50" s="83">
        <f>I50/I48</f>
        <v>5.1285914097650452E-2</v>
      </c>
      <c r="K50" s="84">
        <v>800</v>
      </c>
      <c r="L50" s="85">
        <f>K50/K48</f>
        <v>5.1285914097650452E-2</v>
      </c>
      <c r="M50" s="86">
        <v>800</v>
      </c>
      <c r="N50" s="87">
        <f>M50/M48</f>
        <v>1.025718281953009E-2</v>
      </c>
      <c r="O50" s="153"/>
    </row>
    <row r="51" spans="1:15" x14ac:dyDescent="0.35">
      <c r="A51" t="s">
        <v>82</v>
      </c>
      <c r="B51" s="75" t="s">
        <v>170</v>
      </c>
      <c r="C51" s="88">
        <v>0</v>
      </c>
      <c r="D51" s="77">
        <f>C51/C48</f>
        <v>0</v>
      </c>
      <c r="E51" s="90">
        <v>0</v>
      </c>
      <c r="F51" s="79">
        <f>E51/E48</f>
        <v>0</v>
      </c>
      <c r="G51" s="91">
        <v>0</v>
      </c>
      <c r="H51" s="81">
        <f>G51/G48</f>
        <v>0</v>
      </c>
      <c r="I51" s="92">
        <v>0</v>
      </c>
      <c r="J51" s="83">
        <f>I51/I48</f>
        <v>0</v>
      </c>
      <c r="K51" s="93">
        <v>0</v>
      </c>
      <c r="L51" s="85">
        <f>K51/K48</f>
        <v>0</v>
      </c>
      <c r="M51" s="23">
        <v>0</v>
      </c>
      <c r="N51" s="87">
        <f>M51/M48</f>
        <v>0</v>
      </c>
      <c r="O51" s="153"/>
    </row>
    <row r="52" spans="1:15" x14ac:dyDescent="0.35">
      <c r="A52" t="s">
        <v>82</v>
      </c>
      <c r="B52" s="75" t="s">
        <v>171</v>
      </c>
      <c r="C52" s="88">
        <v>104</v>
      </c>
      <c r="D52" s="77">
        <f>C52/C48</f>
        <v>6.6671688326945585E-3</v>
      </c>
      <c r="E52" s="90">
        <v>104</v>
      </c>
      <c r="F52" s="79">
        <f>E52/E48</f>
        <v>6.6671688326945585E-3</v>
      </c>
      <c r="G52" s="91">
        <v>104</v>
      </c>
      <c r="H52" s="81">
        <f>G52/G48</f>
        <v>6.6671688326945585E-3</v>
      </c>
      <c r="I52" s="92">
        <v>104</v>
      </c>
      <c r="J52" s="83">
        <f>I52/I48</f>
        <v>6.6671688326945585E-3</v>
      </c>
      <c r="K52" s="93">
        <v>104</v>
      </c>
      <c r="L52" s="85">
        <f>K52/K48</f>
        <v>6.6671688326945585E-3</v>
      </c>
      <c r="M52" s="23">
        <v>104</v>
      </c>
      <c r="N52" s="87">
        <f>M52/M48</f>
        <v>1.3334337665389117E-3</v>
      </c>
      <c r="O52" s="153"/>
    </row>
    <row r="53" spans="1:15" x14ac:dyDescent="0.35">
      <c r="A53" t="s">
        <v>82</v>
      </c>
      <c r="B53" s="75" t="s">
        <v>172</v>
      </c>
      <c r="C53" s="88">
        <v>0</v>
      </c>
      <c r="D53" s="77">
        <f>C53/C48</f>
        <v>0</v>
      </c>
      <c r="E53" s="90">
        <v>0</v>
      </c>
      <c r="F53" s="79">
        <f>E53/E48</f>
        <v>0</v>
      </c>
      <c r="G53" s="91">
        <v>0</v>
      </c>
      <c r="H53" s="81">
        <f>G53/G48</f>
        <v>0</v>
      </c>
      <c r="I53" s="92">
        <v>0</v>
      </c>
      <c r="J53" s="83">
        <f>I53/I48</f>
        <v>0</v>
      </c>
      <c r="K53" s="93">
        <v>0</v>
      </c>
      <c r="L53" s="85">
        <f>K53/K48</f>
        <v>0</v>
      </c>
      <c r="M53" s="23">
        <v>0</v>
      </c>
      <c r="N53" s="87">
        <f>M53/M48</f>
        <v>0</v>
      </c>
      <c r="O53" s="153"/>
    </row>
    <row r="54" spans="1:15" x14ac:dyDescent="0.35">
      <c r="A54" t="s">
        <v>82</v>
      </c>
      <c r="B54" s="75" t="s">
        <v>173</v>
      </c>
      <c r="C54" s="94">
        <v>3619</v>
      </c>
      <c r="D54" s="77">
        <f>C54/C48</f>
        <v>0.23200465389924621</v>
      </c>
      <c r="E54" s="95">
        <v>3619</v>
      </c>
      <c r="F54" s="79">
        <f>E54/E48</f>
        <v>0.23200465389924621</v>
      </c>
      <c r="G54" s="96">
        <v>3619</v>
      </c>
      <c r="H54" s="81">
        <f>G54/G48</f>
        <v>0.23200465389924621</v>
      </c>
      <c r="I54" s="97">
        <v>3619</v>
      </c>
      <c r="J54" s="83">
        <f>I54/I48</f>
        <v>0.23200465389924621</v>
      </c>
      <c r="K54" s="98">
        <v>3619</v>
      </c>
      <c r="L54" s="85">
        <f>K54/K48</f>
        <v>0.23200465389924621</v>
      </c>
      <c r="M54" s="99">
        <v>3619</v>
      </c>
      <c r="N54" s="87">
        <f>M54/M48</f>
        <v>4.6400930779849241E-2</v>
      </c>
      <c r="O54" s="153"/>
    </row>
    <row r="55" spans="1:15" x14ac:dyDescent="0.35">
      <c r="A55" t="s">
        <v>82</v>
      </c>
      <c r="B55" s="75" t="s">
        <v>174</v>
      </c>
      <c r="C55" s="88">
        <v>956</v>
      </c>
      <c r="D55" s="77">
        <f>C55/C48</f>
        <v>6.1286667346692289E-2</v>
      </c>
      <c r="E55" s="90">
        <v>956</v>
      </c>
      <c r="F55" s="79">
        <f>E55/E48</f>
        <v>6.1286667346692289E-2</v>
      </c>
      <c r="G55" s="91">
        <v>956</v>
      </c>
      <c r="H55" s="81">
        <f>G55/G48</f>
        <v>6.1286667346692289E-2</v>
      </c>
      <c r="I55" s="92">
        <v>956</v>
      </c>
      <c r="J55" s="83">
        <f>I55/I48</f>
        <v>6.1286667346692289E-2</v>
      </c>
      <c r="K55" s="93">
        <v>956</v>
      </c>
      <c r="L55" s="85">
        <f>K55/K48</f>
        <v>6.1286667346692289E-2</v>
      </c>
      <c r="M55" s="23">
        <v>956</v>
      </c>
      <c r="N55" s="87">
        <f>M55/M48</f>
        <v>1.2257333469338457E-2</v>
      </c>
      <c r="O55" s="153"/>
    </row>
    <row r="56" spans="1:15" x14ac:dyDescent="0.35">
      <c r="A56" t="s">
        <v>82</v>
      </c>
      <c r="B56" s="75" t="s">
        <v>175</v>
      </c>
      <c r="C56" s="88">
        <v>0</v>
      </c>
      <c r="D56" s="77">
        <f>C56/C48</f>
        <v>0</v>
      </c>
      <c r="E56" s="90">
        <v>0</v>
      </c>
      <c r="F56" s="79">
        <f>E56/E48</f>
        <v>0</v>
      </c>
      <c r="G56" s="91">
        <v>0</v>
      </c>
      <c r="H56" s="81">
        <f>G56/G48</f>
        <v>0</v>
      </c>
      <c r="I56" s="92">
        <v>0</v>
      </c>
      <c r="J56" s="83">
        <f>I56/I48</f>
        <v>0</v>
      </c>
      <c r="K56" s="93">
        <v>0</v>
      </c>
      <c r="L56" s="85">
        <f>K56/K48</f>
        <v>0</v>
      </c>
      <c r="M56" s="23">
        <v>0</v>
      </c>
      <c r="N56" s="87">
        <f>M56/M48</f>
        <v>0</v>
      </c>
      <c r="O56" s="153"/>
    </row>
    <row r="57" spans="1:15" x14ac:dyDescent="0.35">
      <c r="A57" t="s">
        <v>82</v>
      </c>
      <c r="B57" s="75" t="s">
        <v>176</v>
      </c>
      <c r="C57" s="88">
        <v>238</v>
      </c>
      <c r="D57" s="77">
        <f>C57/C48</f>
        <v>1.5257559444051008E-2</v>
      </c>
      <c r="E57" s="90">
        <v>238</v>
      </c>
      <c r="F57" s="79">
        <f>E57/E48</f>
        <v>1.5257559444051008E-2</v>
      </c>
      <c r="G57" s="91">
        <v>238</v>
      </c>
      <c r="H57" s="81">
        <f>G57/G48</f>
        <v>1.5257559444051008E-2</v>
      </c>
      <c r="I57" s="92">
        <v>238</v>
      </c>
      <c r="J57" s="83">
        <f>I57/I48</f>
        <v>1.5257559444051008E-2</v>
      </c>
      <c r="K57" s="93">
        <v>238</v>
      </c>
      <c r="L57" s="85">
        <f>K57/K48</f>
        <v>1.5257559444051008E-2</v>
      </c>
      <c r="M57" s="23">
        <v>238</v>
      </c>
      <c r="N57" s="87">
        <f>M57/M48</f>
        <v>3.0515118888102019E-3</v>
      </c>
      <c r="O57" s="153"/>
    </row>
    <row r="58" spans="1:15" x14ac:dyDescent="0.35">
      <c r="A58" t="s">
        <v>82</v>
      </c>
      <c r="B58" s="75" t="s">
        <v>177</v>
      </c>
      <c r="C58" s="88">
        <v>0</v>
      </c>
      <c r="D58" s="77">
        <f>C58/C48</f>
        <v>0</v>
      </c>
      <c r="E58" s="90">
        <v>0</v>
      </c>
      <c r="F58" s="79">
        <f>E58/E48</f>
        <v>0</v>
      </c>
      <c r="G58" s="91">
        <v>0</v>
      </c>
      <c r="H58" s="81">
        <f>G58/G48</f>
        <v>0</v>
      </c>
      <c r="I58" s="92">
        <v>0</v>
      </c>
      <c r="J58" s="83">
        <f>I58/I48</f>
        <v>0</v>
      </c>
      <c r="K58" s="93">
        <v>0</v>
      </c>
      <c r="L58" s="85">
        <f>K58/K48</f>
        <v>0</v>
      </c>
      <c r="M58" s="23">
        <v>0</v>
      </c>
      <c r="N58" s="87">
        <f>M58/M48</f>
        <v>0</v>
      </c>
      <c r="O58" s="153"/>
    </row>
    <row r="59" spans="1:15" x14ac:dyDescent="0.35">
      <c r="A59" t="s">
        <v>82</v>
      </c>
      <c r="B59" s="75" t="s">
        <v>178</v>
      </c>
      <c r="C59" s="88">
        <v>0</v>
      </c>
      <c r="D59" s="77">
        <f>C59/C48</f>
        <v>0</v>
      </c>
      <c r="E59" s="90">
        <v>0</v>
      </c>
      <c r="F59" s="79">
        <f>E59/E48</f>
        <v>0</v>
      </c>
      <c r="G59" s="91">
        <v>0</v>
      </c>
      <c r="H59" s="81">
        <f>G59/G48</f>
        <v>0</v>
      </c>
      <c r="I59" s="92">
        <v>0</v>
      </c>
      <c r="J59" s="83">
        <f>I59/I48</f>
        <v>0</v>
      </c>
      <c r="K59" s="93">
        <v>0</v>
      </c>
      <c r="L59" s="85">
        <f>K59/K48</f>
        <v>0</v>
      </c>
      <c r="M59" s="23">
        <v>0</v>
      </c>
      <c r="N59" s="87">
        <f>M59/M48</f>
        <v>0</v>
      </c>
      <c r="O59" s="153"/>
    </row>
    <row r="60" spans="1:15" ht="15" thickBot="1" x14ac:dyDescent="0.4">
      <c r="A60" t="s">
        <v>82</v>
      </c>
      <c r="B60" s="100" t="s">
        <v>179</v>
      </c>
      <c r="C60" s="101">
        <v>0</v>
      </c>
      <c r="D60" s="113">
        <f t="shared" ref="D60" si="13">C60/$C$33</f>
        <v>0</v>
      </c>
      <c r="E60" s="103">
        <v>0</v>
      </c>
      <c r="F60" s="104">
        <f>E60/E48</f>
        <v>0</v>
      </c>
      <c r="G60" s="105">
        <v>0</v>
      </c>
      <c r="H60" s="106">
        <f>G60/G48</f>
        <v>0</v>
      </c>
      <c r="I60" s="107">
        <v>0</v>
      </c>
      <c r="J60" s="108">
        <f>I60/I48</f>
        <v>0</v>
      </c>
      <c r="K60" s="109">
        <v>0</v>
      </c>
      <c r="L60" s="110">
        <f>K60/K48</f>
        <v>0</v>
      </c>
      <c r="M60" s="25">
        <v>0</v>
      </c>
      <c r="N60" s="111">
        <f>M60/M48</f>
        <v>0</v>
      </c>
      <c r="O60" s="154"/>
    </row>
    <row r="61" spans="1:15" ht="15" thickBot="1" x14ac:dyDescent="0.4">
      <c r="D61" s="26"/>
      <c r="F61" s="26"/>
      <c r="H61" s="26"/>
      <c r="J61" s="26"/>
      <c r="L61" s="26"/>
      <c r="N61" s="26"/>
    </row>
    <row r="62" spans="1:15" ht="14.5" customHeight="1" thickBot="1" x14ac:dyDescent="0.4">
      <c r="A62" t="s">
        <v>84</v>
      </c>
      <c r="B62" s="65" t="s">
        <v>166</v>
      </c>
      <c r="C62" s="66">
        <v>0</v>
      </c>
      <c r="D62" s="67"/>
      <c r="E62" s="66">
        <v>0</v>
      </c>
      <c r="F62" s="67"/>
      <c r="G62" s="66">
        <v>0</v>
      </c>
      <c r="H62" s="67"/>
      <c r="I62" s="66">
        <v>0</v>
      </c>
      <c r="J62" s="67"/>
      <c r="K62" s="66">
        <v>0</v>
      </c>
      <c r="L62" s="67"/>
      <c r="M62" s="68">
        <f>SUM(C62,E62,G62,I62,K62)</f>
        <v>0</v>
      </c>
      <c r="N62" s="67"/>
      <c r="O62" s="152" t="s">
        <v>85</v>
      </c>
    </row>
    <row r="63" spans="1:15" ht="15" thickBot="1" x14ac:dyDescent="0.4">
      <c r="A63" t="s">
        <v>84</v>
      </c>
      <c r="B63" s="69" t="s">
        <v>167</v>
      </c>
      <c r="C63" s="70">
        <v>15598.825019999989</v>
      </c>
      <c r="D63" s="71">
        <f>SUM(D65:D75)</f>
        <v>0.36650196362033455</v>
      </c>
      <c r="E63" s="70">
        <v>15598.825019999989</v>
      </c>
      <c r="F63" s="71">
        <f>SUM(F65:F75)</f>
        <v>0.36650196362033455</v>
      </c>
      <c r="G63" s="70">
        <v>15598.825019999989</v>
      </c>
      <c r="H63" s="71">
        <f>SUM(H65:H75)</f>
        <v>0.36650196362033455</v>
      </c>
      <c r="I63" s="70">
        <v>15598.825019999989</v>
      </c>
      <c r="J63" s="71">
        <f>SUM(J65:J75)</f>
        <v>0.36650196362033455</v>
      </c>
      <c r="K63" s="70">
        <v>15598.825019999989</v>
      </c>
      <c r="L63" s="71">
        <f>SUM(L65:L75)</f>
        <v>0.36650196362033455</v>
      </c>
      <c r="M63" s="70">
        <f>SUM(C63,E63,G63,I63,K63)</f>
        <v>77994.125099999947</v>
      </c>
      <c r="N63" s="71">
        <f>SUM(N65:N75)</f>
        <v>7.3300392724066896E-2</v>
      </c>
      <c r="O63" s="153"/>
    </row>
    <row r="64" spans="1:15" ht="15" thickBot="1" x14ac:dyDescent="0.4">
      <c r="A64" t="s">
        <v>84</v>
      </c>
      <c r="B64" s="72" t="s">
        <v>168</v>
      </c>
      <c r="C64" s="73"/>
      <c r="D64" s="74">
        <f>(SUM(D65:D75)+C62)/C63</f>
        <v>2.3495485278565861E-5</v>
      </c>
      <c r="E64" s="73"/>
      <c r="F64" s="74">
        <f>(SUM(F65:F75)+E62)/E63</f>
        <v>2.3495485278565861E-5</v>
      </c>
      <c r="G64" s="73"/>
      <c r="H64" s="74">
        <f>(SUM(H65:H75)+G62)/G63</f>
        <v>2.3495485278565861E-5</v>
      </c>
      <c r="I64" s="73"/>
      <c r="J64" s="74">
        <f>(SUM(J65:J75)+I62)/I63</f>
        <v>2.3495485278565861E-5</v>
      </c>
      <c r="K64" s="73"/>
      <c r="L64" s="74">
        <f>(SUM(L65:L75)+K62)/K63</f>
        <v>2.3495485278565861E-5</v>
      </c>
      <c r="M64" s="73"/>
      <c r="N64" s="74">
        <f>(SUM(N65:N75)+M62)/M63</f>
        <v>9.398194111426342E-7</v>
      </c>
      <c r="O64" s="153"/>
    </row>
    <row r="65" spans="1:15" x14ac:dyDescent="0.35">
      <c r="A65" t="s">
        <v>84</v>
      </c>
      <c r="B65" s="75" t="s">
        <v>169</v>
      </c>
      <c r="C65" s="76">
        <v>800</v>
      </c>
      <c r="D65" s="77">
        <f>C65/C63</f>
        <v>5.1285914097650452E-2</v>
      </c>
      <c r="E65" s="78">
        <v>800</v>
      </c>
      <c r="F65" s="79">
        <f>E65/E63</f>
        <v>5.1285914097650452E-2</v>
      </c>
      <c r="G65" s="80">
        <v>800</v>
      </c>
      <c r="H65" s="81">
        <f>G65/G63</f>
        <v>5.1285914097650452E-2</v>
      </c>
      <c r="I65" s="82">
        <v>800</v>
      </c>
      <c r="J65" s="83">
        <f>I65/I63</f>
        <v>5.1285914097650452E-2</v>
      </c>
      <c r="K65" s="84">
        <v>800</v>
      </c>
      <c r="L65" s="85">
        <f>K65/K63</f>
        <v>5.1285914097650452E-2</v>
      </c>
      <c r="M65" s="86">
        <v>800</v>
      </c>
      <c r="N65" s="87">
        <f>M65/M63</f>
        <v>1.025718281953009E-2</v>
      </c>
      <c r="O65" s="153"/>
    </row>
    <row r="66" spans="1:15" x14ac:dyDescent="0.35">
      <c r="A66" t="s">
        <v>84</v>
      </c>
      <c r="B66" s="75" t="s">
        <v>170</v>
      </c>
      <c r="C66" s="88">
        <v>0</v>
      </c>
      <c r="D66" s="77">
        <f>C66/C63</f>
        <v>0</v>
      </c>
      <c r="E66" s="90">
        <v>0</v>
      </c>
      <c r="F66" s="79">
        <f>E66/E63</f>
        <v>0</v>
      </c>
      <c r="G66" s="91">
        <v>0</v>
      </c>
      <c r="H66" s="81">
        <f>G66/G63</f>
        <v>0</v>
      </c>
      <c r="I66" s="92">
        <v>0</v>
      </c>
      <c r="J66" s="83">
        <f>I66/I63</f>
        <v>0</v>
      </c>
      <c r="K66" s="93">
        <v>0</v>
      </c>
      <c r="L66" s="85">
        <f>K66/K63</f>
        <v>0</v>
      </c>
      <c r="M66" s="23">
        <v>0</v>
      </c>
      <c r="N66" s="87">
        <f>M66/M63</f>
        <v>0</v>
      </c>
      <c r="O66" s="153"/>
    </row>
    <row r="67" spans="1:15" x14ac:dyDescent="0.35">
      <c r="A67" t="s">
        <v>84</v>
      </c>
      <c r="B67" s="75" t="s">
        <v>171</v>
      </c>
      <c r="C67" s="88">
        <v>104</v>
      </c>
      <c r="D67" s="77">
        <f>C67/C63</f>
        <v>6.6671688326945585E-3</v>
      </c>
      <c r="E67" s="90">
        <v>104</v>
      </c>
      <c r="F67" s="79">
        <f>E67/E63</f>
        <v>6.6671688326945585E-3</v>
      </c>
      <c r="G67" s="91">
        <v>104</v>
      </c>
      <c r="H67" s="81">
        <f>G67/G63</f>
        <v>6.6671688326945585E-3</v>
      </c>
      <c r="I67" s="92">
        <v>104</v>
      </c>
      <c r="J67" s="83">
        <f>I67/I63</f>
        <v>6.6671688326945585E-3</v>
      </c>
      <c r="K67" s="93">
        <v>104</v>
      </c>
      <c r="L67" s="85">
        <f>K67/K63</f>
        <v>6.6671688326945585E-3</v>
      </c>
      <c r="M67" s="23">
        <v>104</v>
      </c>
      <c r="N67" s="87">
        <f>M67/M63</f>
        <v>1.3334337665389117E-3</v>
      </c>
      <c r="O67" s="153"/>
    </row>
    <row r="68" spans="1:15" x14ac:dyDescent="0.35">
      <c r="A68" t="s">
        <v>84</v>
      </c>
      <c r="B68" s="75" t="s">
        <v>172</v>
      </c>
      <c r="C68" s="88">
        <v>0</v>
      </c>
      <c r="D68" s="77">
        <f>C68/C63</f>
        <v>0</v>
      </c>
      <c r="E68" s="90">
        <v>0</v>
      </c>
      <c r="F68" s="79">
        <f>E68/E63</f>
        <v>0</v>
      </c>
      <c r="G68" s="91">
        <v>0</v>
      </c>
      <c r="H68" s="81">
        <f>G68/G63</f>
        <v>0</v>
      </c>
      <c r="I68" s="92">
        <v>0</v>
      </c>
      <c r="J68" s="83">
        <f>I68/I63</f>
        <v>0</v>
      </c>
      <c r="K68" s="93">
        <v>0</v>
      </c>
      <c r="L68" s="85">
        <f>K68/K63</f>
        <v>0</v>
      </c>
      <c r="M68" s="23">
        <v>0</v>
      </c>
      <c r="N68" s="87">
        <f>M68/M63</f>
        <v>0</v>
      </c>
      <c r="O68" s="153"/>
    </row>
    <row r="69" spans="1:15" x14ac:dyDescent="0.35">
      <c r="A69" t="s">
        <v>84</v>
      </c>
      <c r="B69" s="75" t="s">
        <v>173</v>
      </c>
      <c r="C69" s="94">
        <v>3619</v>
      </c>
      <c r="D69" s="77">
        <f>C69/C63</f>
        <v>0.23200465389924621</v>
      </c>
      <c r="E69" s="95">
        <v>3619</v>
      </c>
      <c r="F69" s="79">
        <f>E69/E63</f>
        <v>0.23200465389924621</v>
      </c>
      <c r="G69" s="96">
        <v>3619</v>
      </c>
      <c r="H69" s="81">
        <f>G69/G63</f>
        <v>0.23200465389924621</v>
      </c>
      <c r="I69" s="97">
        <v>3619</v>
      </c>
      <c r="J69" s="83">
        <f>I69/I63</f>
        <v>0.23200465389924621</v>
      </c>
      <c r="K69" s="98">
        <v>3619</v>
      </c>
      <c r="L69" s="85">
        <f>K69/K63</f>
        <v>0.23200465389924621</v>
      </c>
      <c r="M69" s="99">
        <v>3619</v>
      </c>
      <c r="N69" s="87">
        <f>M69/M63</f>
        <v>4.6400930779849241E-2</v>
      </c>
      <c r="O69" s="153"/>
    </row>
    <row r="70" spans="1:15" x14ac:dyDescent="0.35">
      <c r="A70" t="s">
        <v>84</v>
      </c>
      <c r="B70" s="75" t="s">
        <v>174</v>
      </c>
      <c r="C70" s="88">
        <v>956</v>
      </c>
      <c r="D70" s="77">
        <f>C70/C63</f>
        <v>6.1286667346692289E-2</v>
      </c>
      <c r="E70" s="90">
        <v>956</v>
      </c>
      <c r="F70" s="79">
        <f>E70/E63</f>
        <v>6.1286667346692289E-2</v>
      </c>
      <c r="G70" s="91">
        <v>956</v>
      </c>
      <c r="H70" s="81">
        <f>G70/G63</f>
        <v>6.1286667346692289E-2</v>
      </c>
      <c r="I70" s="92">
        <v>956</v>
      </c>
      <c r="J70" s="83">
        <f>I70/I63</f>
        <v>6.1286667346692289E-2</v>
      </c>
      <c r="K70" s="93">
        <v>956</v>
      </c>
      <c r="L70" s="85">
        <f>K70/K63</f>
        <v>6.1286667346692289E-2</v>
      </c>
      <c r="M70" s="23">
        <v>956</v>
      </c>
      <c r="N70" s="87">
        <f>M70/M63</f>
        <v>1.2257333469338457E-2</v>
      </c>
      <c r="O70" s="153"/>
    </row>
    <row r="71" spans="1:15" x14ac:dyDescent="0.35">
      <c r="A71" t="s">
        <v>84</v>
      </c>
      <c r="B71" s="75" t="s">
        <v>175</v>
      </c>
      <c r="C71" s="88">
        <v>0</v>
      </c>
      <c r="D71" s="77">
        <f>C71/C63</f>
        <v>0</v>
      </c>
      <c r="E71" s="90">
        <v>0</v>
      </c>
      <c r="F71" s="79">
        <f>E71/E63</f>
        <v>0</v>
      </c>
      <c r="G71" s="91">
        <v>0</v>
      </c>
      <c r="H71" s="81">
        <f>G71/G63</f>
        <v>0</v>
      </c>
      <c r="I71" s="92">
        <v>0</v>
      </c>
      <c r="J71" s="83">
        <f>I71/I63</f>
        <v>0</v>
      </c>
      <c r="K71" s="93">
        <v>0</v>
      </c>
      <c r="L71" s="85">
        <f>K71/K63</f>
        <v>0</v>
      </c>
      <c r="M71" s="23">
        <v>0</v>
      </c>
      <c r="N71" s="87">
        <f>M71/M63</f>
        <v>0</v>
      </c>
      <c r="O71" s="153"/>
    </row>
    <row r="72" spans="1:15" x14ac:dyDescent="0.35">
      <c r="A72" t="s">
        <v>84</v>
      </c>
      <c r="B72" s="75" t="s">
        <v>176</v>
      </c>
      <c r="C72" s="88">
        <v>238</v>
      </c>
      <c r="D72" s="77">
        <f>C72/C63</f>
        <v>1.5257559444051008E-2</v>
      </c>
      <c r="E72" s="90">
        <v>238</v>
      </c>
      <c r="F72" s="79">
        <f>E72/E63</f>
        <v>1.5257559444051008E-2</v>
      </c>
      <c r="G72" s="91">
        <v>238</v>
      </c>
      <c r="H72" s="81">
        <f>G72/G63</f>
        <v>1.5257559444051008E-2</v>
      </c>
      <c r="I72" s="92">
        <v>238</v>
      </c>
      <c r="J72" s="83">
        <f>I72/I63</f>
        <v>1.5257559444051008E-2</v>
      </c>
      <c r="K72" s="93">
        <v>238</v>
      </c>
      <c r="L72" s="85">
        <f>K72/K63</f>
        <v>1.5257559444051008E-2</v>
      </c>
      <c r="M72" s="23">
        <v>238</v>
      </c>
      <c r="N72" s="87">
        <f>M72/M63</f>
        <v>3.0515118888102019E-3</v>
      </c>
      <c r="O72" s="153"/>
    </row>
    <row r="73" spans="1:15" x14ac:dyDescent="0.35">
      <c r="A73" t="s">
        <v>84</v>
      </c>
      <c r="B73" s="75" t="s">
        <v>177</v>
      </c>
      <c r="C73" s="88">
        <v>0</v>
      </c>
      <c r="D73" s="77">
        <f>C73/C63</f>
        <v>0</v>
      </c>
      <c r="E73" s="90">
        <v>0</v>
      </c>
      <c r="F73" s="79">
        <f>E73/E63</f>
        <v>0</v>
      </c>
      <c r="G73" s="91">
        <v>0</v>
      </c>
      <c r="H73" s="81">
        <f>G73/G63</f>
        <v>0</v>
      </c>
      <c r="I73" s="92">
        <v>0</v>
      </c>
      <c r="J73" s="83">
        <f>I73/I63</f>
        <v>0</v>
      </c>
      <c r="K73" s="93">
        <v>0</v>
      </c>
      <c r="L73" s="85">
        <f>K73/K63</f>
        <v>0</v>
      </c>
      <c r="M73" s="23">
        <v>0</v>
      </c>
      <c r="N73" s="87">
        <f>M73/M63</f>
        <v>0</v>
      </c>
      <c r="O73" s="153"/>
    </row>
    <row r="74" spans="1:15" x14ac:dyDescent="0.35">
      <c r="A74" t="s">
        <v>84</v>
      </c>
      <c r="B74" s="75" t="s">
        <v>178</v>
      </c>
      <c r="C74" s="88">
        <v>0</v>
      </c>
      <c r="D74" s="77">
        <f>C74/C63</f>
        <v>0</v>
      </c>
      <c r="E74" s="90">
        <v>0</v>
      </c>
      <c r="F74" s="79">
        <f>E74/E63</f>
        <v>0</v>
      </c>
      <c r="G74" s="91">
        <v>0</v>
      </c>
      <c r="H74" s="81">
        <f>G74/G63</f>
        <v>0</v>
      </c>
      <c r="I74" s="92">
        <v>0</v>
      </c>
      <c r="J74" s="83">
        <f>I74/I63</f>
        <v>0</v>
      </c>
      <c r="K74" s="93">
        <v>0</v>
      </c>
      <c r="L74" s="85">
        <f>K74/K63</f>
        <v>0</v>
      </c>
      <c r="M74" s="23">
        <v>0</v>
      </c>
      <c r="N74" s="87">
        <f>M74/M63</f>
        <v>0</v>
      </c>
      <c r="O74" s="153"/>
    </row>
    <row r="75" spans="1:15" ht="15" thickBot="1" x14ac:dyDescent="0.4">
      <c r="A75" t="s">
        <v>84</v>
      </c>
      <c r="B75" s="100" t="s">
        <v>179</v>
      </c>
      <c r="C75" s="101">
        <v>0</v>
      </c>
      <c r="D75" s="113">
        <f t="shared" ref="D75" si="14">C75/$C$33</f>
        <v>0</v>
      </c>
      <c r="E75" s="103">
        <v>0</v>
      </c>
      <c r="F75" s="104">
        <f>E75/E63</f>
        <v>0</v>
      </c>
      <c r="G75" s="105">
        <v>0</v>
      </c>
      <c r="H75" s="106">
        <f>G75/G63</f>
        <v>0</v>
      </c>
      <c r="I75" s="107">
        <v>0</v>
      </c>
      <c r="J75" s="108">
        <f>I75/I63</f>
        <v>0</v>
      </c>
      <c r="K75" s="109">
        <v>0</v>
      </c>
      <c r="L75" s="110">
        <f>K75/K63</f>
        <v>0</v>
      </c>
      <c r="M75" s="25">
        <v>0</v>
      </c>
      <c r="N75" s="111">
        <f>M75/M63</f>
        <v>0</v>
      </c>
      <c r="O75" s="154"/>
    </row>
    <row r="76" spans="1:15" ht="15" thickBot="1" x14ac:dyDescent="0.4">
      <c r="D76" s="26"/>
      <c r="F76" s="26"/>
      <c r="H76" s="26"/>
      <c r="J76" s="26"/>
      <c r="L76" s="26"/>
      <c r="N76" s="26"/>
    </row>
    <row r="77" spans="1:15" ht="14.5" customHeight="1" thickBot="1" x14ac:dyDescent="0.4">
      <c r="A77" t="s">
        <v>86</v>
      </c>
      <c r="B77" s="65" t="s">
        <v>166</v>
      </c>
      <c r="C77" s="66">
        <v>0</v>
      </c>
      <c r="D77" s="67"/>
      <c r="E77" s="66">
        <v>0</v>
      </c>
      <c r="F77" s="67"/>
      <c r="G77" s="66">
        <v>0</v>
      </c>
      <c r="H77" s="67"/>
      <c r="I77" s="66">
        <v>0</v>
      </c>
      <c r="J77" s="67"/>
      <c r="K77" s="66">
        <v>0</v>
      </c>
      <c r="L77" s="67"/>
      <c r="M77" s="68">
        <f>SUM(C77,E77,G77,I77,K77)</f>
        <v>0</v>
      </c>
      <c r="N77" s="67"/>
      <c r="O77" s="152" t="s">
        <v>87</v>
      </c>
    </row>
    <row r="78" spans="1:15" ht="15" thickBot="1" x14ac:dyDescent="0.4">
      <c r="A78" t="s">
        <v>86</v>
      </c>
      <c r="B78" s="69" t="s">
        <v>167</v>
      </c>
      <c r="C78" s="70">
        <v>15598.825019999989</v>
      </c>
      <c r="D78" s="71">
        <f>SUM(D80:D90)</f>
        <v>0.36650196362033455</v>
      </c>
      <c r="E78" s="70">
        <v>15598.825019999989</v>
      </c>
      <c r="F78" s="71">
        <f>SUM(F80:F90)</f>
        <v>0.36650196362033455</v>
      </c>
      <c r="G78" s="70">
        <v>15598.825019999989</v>
      </c>
      <c r="H78" s="71">
        <f>SUM(H80:H90)</f>
        <v>0.36650196362033455</v>
      </c>
      <c r="I78" s="70">
        <v>15598.825019999989</v>
      </c>
      <c r="J78" s="71">
        <f>SUM(J80:J90)</f>
        <v>0.36650196362033455</v>
      </c>
      <c r="K78" s="70">
        <v>15598.825019999989</v>
      </c>
      <c r="L78" s="71">
        <f>SUM(L80:L90)</f>
        <v>0.36650196362033455</v>
      </c>
      <c r="M78" s="70">
        <f>SUM(C78,E78,G78,I78,K78)</f>
        <v>77994.125099999947</v>
      </c>
      <c r="N78" s="71">
        <f>SUM(N80:N90)</f>
        <v>7.3300392724066896E-2</v>
      </c>
      <c r="O78" s="153"/>
    </row>
    <row r="79" spans="1:15" ht="15" thickBot="1" x14ac:dyDescent="0.4">
      <c r="A79" t="s">
        <v>86</v>
      </c>
      <c r="B79" s="72" t="s">
        <v>168</v>
      </c>
      <c r="C79" s="73"/>
      <c r="D79" s="74">
        <f>(SUM(D80:D90)+C77)/C78</f>
        <v>2.3495485278565861E-5</v>
      </c>
      <c r="E79" s="73"/>
      <c r="F79" s="74">
        <f>(SUM(F80:F90)+E77)/E78</f>
        <v>2.3495485278565861E-5</v>
      </c>
      <c r="G79" s="73"/>
      <c r="H79" s="74">
        <f>(SUM(H80:H90)+G77)/G78</f>
        <v>2.3495485278565861E-5</v>
      </c>
      <c r="I79" s="73"/>
      <c r="J79" s="74">
        <f>(SUM(J80:J90)+I77)/I78</f>
        <v>2.3495485278565861E-5</v>
      </c>
      <c r="K79" s="73"/>
      <c r="L79" s="74">
        <f>(SUM(L80:L90)+K77)/K78</f>
        <v>2.3495485278565861E-5</v>
      </c>
      <c r="M79" s="73"/>
      <c r="N79" s="74">
        <f>(SUM(N80:N90)+M77)/M78</f>
        <v>9.398194111426342E-7</v>
      </c>
      <c r="O79" s="153"/>
    </row>
    <row r="80" spans="1:15" x14ac:dyDescent="0.35">
      <c r="A80" t="s">
        <v>86</v>
      </c>
      <c r="B80" s="75" t="s">
        <v>169</v>
      </c>
      <c r="C80" s="76">
        <v>800</v>
      </c>
      <c r="D80" s="77">
        <f>C80/C78</f>
        <v>5.1285914097650452E-2</v>
      </c>
      <c r="E80" s="78">
        <v>800</v>
      </c>
      <c r="F80" s="79">
        <f>E80/E78</f>
        <v>5.1285914097650452E-2</v>
      </c>
      <c r="G80" s="80">
        <v>800</v>
      </c>
      <c r="H80" s="81">
        <f>G80/G78</f>
        <v>5.1285914097650452E-2</v>
      </c>
      <c r="I80" s="82">
        <v>800</v>
      </c>
      <c r="J80" s="83">
        <f>I80/I78</f>
        <v>5.1285914097650452E-2</v>
      </c>
      <c r="K80" s="84">
        <v>800</v>
      </c>
      <c r="L80" s="85">
        <f>K80/K78</f>
        <v>5.1285914097650452E-2</v>
      </c>
      <c r="M80" s="86">
        <v>800</v>
      </c>
      <c r="N80" s="87">
        <f>M80/M78</f>
        <v>1.025718281953009E-2</v>
      </c>
      <c r="O80" s="153"/>
    </row>
    <row r="81" spans="1:15" x14ac:dyDescent="0.35">
      <c r="A81" t="s">
        <v>86</v>
      </c>
      <c r="B81" s="75" t="s">
        <v>170</v>
      </c>
      <c r="C81" s="88">
        <v>0</v>
      </c>
      <c r="D81" s="77">
        <f>C81/C78</f>
        <v>0</v>
      </c>
      <c r="E81" s="90">
        <v>0</v>
      </c>
      <c r="F81" s="79">
        <f>E81/E78</f>
        <v>0</v>
      </c>
      <c r="G81" s="91">
        <v>0</v>
      </c>
      <c r="H81" s="81">
        <f>G81/G78</f>
        <v>0</v>
      </c>
      <c r="I81" s="92">
        <v>0</v>
      </c>
      <c r="J81" s="83">
        <f>I81/I78</f>
        <v>0</v>
      </c>
      <c r="K81" s="93">
        <v>0</v>
      </c>
      <c r="L81" s="85">
        <f>K81/K78</f>
        <v>0</v>
      </c>
      <c r="M81" s="23">
        <v>0</v>
      </c>
      <c r="N81" s="87">
        <f>M81/M78</f>
        <v>0</v>
      </c>
      <c r="O81" s="153"/>
    </row>
    <row r="82" spans="1:15" x14ac:dyDescent="0.35">
      <c r="A82" t="s">
        <v>86</v>
      </c>
      <c r="B82" s="75" t="s">
        <v>171</v>
      </c>
      <c r="C82" s="88">
        <v>104</v>
      </c>
      <c r="D82" s="77">
        <f>C82/C78</f>
        <v>6.6671688326945585E-3</v>
      </c>
      <c r="E82" s="90">
        <v>104</v>
      </c>
      <c r="F82" s="79">
        <f>E82/E78</f>
        <v>6.6671688326945585E-3</v>
      </c>
      <c r="G82" s="91">
        <v>104</v>
      </c>
      <c r="H82" s="81">
        <f>G82/G78</f>
        <v>6.6671688326945585E-3</v>
      </c>
      <c r="I82" s="92">
        <v>104</v>
      </c>
      <c r="J82" s="83">
        <f>I82/I78</f>
        <v>6.6671688326945585E-3</v>
      </c>
      <c r="K82" s="93">
        <v>104</v>
      </c>
      <c r="L82" s="85">
        <f>K82/K78</f>
        <v>6.6671688326945585E-3</v>
      </c>
      <c r="M82" s="23">
        <v>104</v>
      </c>
      <c r="N82" s="87">
        <f>M82/M78</f>
        <v>1.3334337665389117E-3</v>
      </c>
      <c r="O82" s="153"/>
    </row>
    <row r="83" spans="1:15" x14ac:dyDescent="0.35">
      <c r="A83" t="s">
        <v>86</v>
      </c>
      <c r="B83" s="75" t="s">
        <v>172</v>
      </c>
      <c r="C83" s="88">
        <v>0</v>
      </c>
      <c r="D83" s="77">
        <f>C83/C78</f>
        <v>0</v>
      </c>
      <c r="E83" s="90">
        <v>0</v>
      </c>
      <c r="F83" s="79">
        <f>E83/E78</f>
        <v>0</v>
      </c>
      <c r="G83" s="91">
        <v>0</v>
      </c>
      <c r="H83" s="81">
        <f>G83/G78</f>
        <v>0</v>
      </c>
      <c r="I83" s="92">
        <v>0</v>
      </c>
      <c r="J83" s="83">
        <f>I83/I78</f>
        <v>0</v>
      </c>
      <c r="K83" s="93">
        <v>0</v>
      </c>
      <c r="L83" s="85">
        <f>K83/K78</f>
        <v>0</v>
      </c>
      <c r="M83" s="23">
        <v>0</v>
      </c>
      <c r="N83" s="87">
        <f>M83/M78</f>
        <v>0</v>
      </c>
      <c r="O83" s="153"/>
    </row>
    <row r="84" spans="1:15" x14ac:dyDescent="0.35">
      <c r="A84" t="s">
        <v>86</v>
      </c>
      <c r="B84" s="75" t="s">
        <v>173</v>
      </c>
      <c r="C84" s="94">
        <v>3619</v>
      </c>
      <c r="D84" s="77">
        <f>C84/C78</f>
        <v>0.23200465389924621</v>
      </c>
      <c r="E84" s="95">
        <v>3619</v>
      </c>
      <c r="F84" s="79">
        <f>E84/E78</f>
        <v>0.23200465389924621</v>
      </c>
      <c r="G84" s="96">
        <v>3619</v>
      </c>
      <c r="H84" s="81">
        <f>G84/G78</f>
        <v>0.23200465389924621</v>
      </c>
      <c r="I84" s="97">
        <v>3619</v>
      </c>
      <c r="J84" s="83">
        <f>I84/I78</f>
        <v>0.23200465389924621</v>
      </c>
      <c r="K84" s="98">
        <v>3619</v>
      </c>
      <c r="L84" s="85">
        <f>K84/K78</f>
        <v>0.23200465389924621</v>
      </c>
      <c r="M84" s="99">
        <v>3619</v>
      </c>
      <c r="N84" s="87">
        <f>M84/M78</f>
        <v>4.6400930779849241E-2</v>
      </c>
      <c r="O84" s="153"/>
    </row>
    <row r="85" spans="1:15" x14ac:dyDescent="0.35">
      <c r="A85" t="s">
        <v>86</v>
      </c>
      <c r="B85" s="75" t="s">
        <v>174</v>
      </c>
      <c r="C85" s="88">
        <v>956</v>
      </c>
      <c r="D85" s="77">
        <f>C85/C78</f>
        <v>6.1286667346692289E-2</v>
      </c>
      <c r="E85" s="90">
        <v>956</v>
      </c>
      <c r="F85" s="79">
        <f>E85/E78</f>
        <v>6.1286667346692289E-2</v>
      </c>
      <c r="G85" s="91">
        <v>956</v>
      </c>
      <c r="H85" s="81">
        <f>G85/G78</f>
        <v>6.1286667346692289E-2</v>
      </c>
      <c r="I85" s="92">
        <v>956</v>
      </c>
      <c r="J85" s="83">
        <f>I85/I78</f>
        <v>6.1286667346692289E-2</v>
      </c>
      <c r="K85" s="93">
        <v>956</v>
      </c>
      <c r="L85" s="85">
        <f>K85/K78</f>
        <v>6.1286667346692289E-2</v>
      </c>
      <c r="M85" s="23">
        <v>956</v>
      </c>
      <c r="N85" s="87">
        <f>M85/M78</f>
        <v>1.2257333469338457E-2</v>
      </c>
      <c r="O85" s="153"/>
    </row>
    <row r="86" spans="1:15" x14ac:dyDescent="0.35">
      <c r="A86" t="s">
        <v>86</v>
      </c>
      <c r="B86" s="75" t="s">
        <v>175</v>
      </c>
      <c r="C86" s="88">
        <v>0</v>
      </c>
      <c r="D86" s="77">
        <f>C86/C78</f>
        <v>0</v>
      </c>
      <c r="E86" s="90">
        <v>0</v>
      </c>
      <c r="F86" s="79">
        <f>E86/E78</f>
        <v>0</v>
      </c>
      <c r="G86" s="91">
        <v>0</v>
      </c>
      <c r="H86" s="81">
        <f>G86/G78</f>
        <v>0</v>
      </c>
      <c r="I86" s="92">
        <v>0</v>
      </c>
      <c r="J86" s="83">
        <f>I86/I78</f>
        <v>0</v>
      </c>
      <c r="K86" s="93">
        <v>0</v>
      </c>
      <c r="L86" s="85">
        <f>K86/K78</f>
        <v>0</v>
      </c>
      <c r="M86" s="23">
        <v>0</v>
      </c>
      <c r="N86" s="87">
        <f>M86/M78</f>
        <v>0</v>
      </c>
      <c r="O86" s="153"/>
    </row>
    <row r="87" spans="1:15" x14ac:dyDescent="0.35">
      <c r="A87" t="s">
        <v>86</v>
      </c>
      <c r="B87" s="75" t="s">
        <v>176</v>
      </c>
      <c r="C87" s="88">
        <v>238</v>
      </c>
      <c r="D87" s="77">
        <f>C87/C78</f>
        <v>1.5257559444051008E-2</v>
      </c>
      <c r="E87" s="90">
        <v>238</v>
      </c>
      <c r="F87" s="79">
        <f>E87/E78</f>
        <v>1.5257559444051008E-2</v>
      </c>
      <c r="G87" s="91">
        <v>238</v>
      </c>
      <c r="H87" s="81">
        <f>G87/G78</f>
        <v>1.5257559444051008E-2</v>
      </c>
      <c r="I87" s="92">
        <v>238</v>
      </c>
      <c r="J87" s="83">
        <f>I87/I78</f>
        <v>1.5257559444051008E-2</v>
      </c>
      <c r="K87" s="93">
        <v>238</v>
      </c>
      <c r="L87" s="85">
        <f>K87/K78</f>
        <v>1.5257559444051008E-2</v>
      </c>
      <c r="M87" s="23">
        <v>238</v>
      </c>
      <c r="N87" s="87">
        <f>M87/M78</f>
        <v>3.0515118888102019E-3</v>
      </c>
      <c r="O87" s="153"/>
    </row>
    <row r="88" spans="1:15" x14ac:dyDescent="0.35">
      <c r="A88" t="s">
        <v>86</v>
      </c>
      <c r="B88" s="75" t="s">
        <v>177</v>
      </c>
      <c r="C88" s="88">
        <v>0</v>
      </c>
      <c r="D88" s="77">
        <f>C88/C78</f>
        <v>0</v>
      </c>
      <c r="E88" s="90">
        <v>0</v>
      </c>
      <c r="F88" s="79">
        <f>E88/E78</f>
        <v>0</v>
      </c>
      <c r="G88" s="91">
        <v>0</v>
      </c>
      <c r="H88" s="81">
        <f>G88/G78</f>
        <v>0</v>
      </c>
      <c r="I88" s="92">
        <v>0</v>
      </c>
      <c r="J88" s="83">
        <f>I88/I78</f>
        <v>0</v>
      </c>
      <c r="K88" s="93">
        <v>0</v>
      </c>
      <c r="L88" s="85">
        <f>K88/K78</f>
        <v>0</v>
      </c>
      <c r="M88" s="23">
        <v>0</v>
      </c>
      <c r="N88" s="87">
        <f>M88/M78</f>
        <v>0</v>
      </c>
      <c r="O88" s="153"/>
    </row>
    <row r="89" spans="1:15" x14ac:dyDescent="0.35">
      <c r="A89" t="s">
        <v>86</v>
      </c>
      <c r="B89" s="75" t="s">
        <v>178</v>
      </c>
      <c r="C89" s="88">
        <v>0</v>
      </c>
      <c r="D89" s="77">
        <f>C89/C78</f>
        <v>0</v>
      </c>
      <c r="E89" s="90">
        <v>0</v>
      </c>
      <c r="F89" s="79">
        <f>E89/E78</f>
        <v>0</v>
      </c>
      <c r="G89" s="91">
        <v>0</v>
      </c>
      <c r="H89" s="81">
        <f>G89/G78</f>
        <v>0</v>
      </c>
      <c r="I89" s="92">
        <v>0</v>
      </c>
      <c r="J89" s="83">
        <f>I89/I78</f>
        <v>0</v>
      </c>
      <c r="K89" s="93">
        <v>0</v>
      </c>
      <c r="L89" s="85">
        <f>K89/K78</f>
        <v>0</v>
      </c>
      <c r="M89" s="23">
        <v>0</v>
      </c>
      <c r="N89" s="87">
        <f>M89/M78</f>
        <v>0</v>
      </c>
      <c r="O89" s="153"/>
    </row>
    <row r="90" spans="1:15" ht="15" thickBot="1" x14ac:dyDescent="0.4">
      <c r="A90" t="s">
        <v>86</v>
      </c>
      <c r="B90" s="100" t="s">
        <v>179</v>
      </c>
      <c r="C90" s="101">
        <v>0</v>
      </c>
      <c r="D90" s="113">
        <f t="shared" ref="D90" si="15">C90/$C$33</f>
        <v>0</v>
      </c>
      <c r="E90" s="103">
        <v>0</v>
      </c>
      <c r="F90" s="104">
        <f>E90/E78</f>
        <v>0</v>
      </c>
      <c r="G90" s="105">
        <v>0</v>
      </c>
      <c r="H90" s="106">
        <f>G90/G78</f>
        <v>0</v>
      </c>
      <c r="I90" s="107">
        <v>0</v>
      </c>
      <c r="J90" s="108">
        <f>I90/I78</f>
        <v>0</v>
      </c>
      <c r="K90" s="109">
        <v>0</v>
      </c>
      <c r="L90" s="110">
        <f>K90/K78</f>
        <v>0</v>
      </c>
      <c r="M90" s="25">
        <v>0</v>
      </c>
      <c r="N90" s="111">
        <f>M90/M78</f>
        <v>0</v>
      </c>
      <c r="O90" s="154"/>
    </row>
    <row r="91" spans="1:15" ht="15" thickBot="1" x14ac:dyDescent="0.4">
      <c r="D91" s="26"/>
      <c r="F91" s="26"/>
      <c r="H91" s="26"/>
      <c r="J91" s="26"/>
      <c r="L91" s="26"/>
      <c r="N91" s="26"/>
    </row>
    <row r="92" spans="1:15" ht="14.5" customHeight="1" thickBot="1" x14ac:dyDescent="0.4">
      <c r="A92" t="s">
        <v>88</v>
      </c>
      <c r="B92" s="65" t="s">
        <v>166</v>
      </c>
      <c r="C92" s="66">
        <v>0</v>
      </c>
      <c r="D92" s="67"/>
      <c r="E92" s="66">
        <v>0</v>
      </c>
      <c r="F92" s="67"/>
      <c r="G92" s="66">
        <v>0</v>
      </c>
      <c r="H92" s="67"/>
      <c r="I92" s="66">
        <v>0</v>
      </c>
      <c r="J92" s="67"/>
      <c r="K92" s="66">
        <v>0</v>
      </c>
      <c r="L92" s="67"/>
      <c r="M92" s="68">
        <f>SUM(C92,E92,G92,I92,K92)</f>
        <v>0</v>
      </c>
      <c r="N92" s="67"/>
      <c r="O92" s="152" t="s">
        <v>89</v>
      </c>
    </row>
    <row r="93" spans="1:15" ht="15" thickBot="1" x14ac:dyDescent="0.4">
      <c r="A93" t="s">
        <v>88</v>
      </c>
      <c r="B93" s="69" t="s">
        <v>167</v>
      </c>
      <c r="C93" s="70">
        <v>15598.825019999989</v>
      </c>
      <c r="D93" s="71">
        <f>SUM(D95:D105)</f>
        <v>0.36650196362033455</v>
      </c>
      <c r="E93" s="70">
        <v>15598.825019999989</v>
      </c>
      <c r="F93" s="71">
        <f>SUM(F95:F105)</f>
        <v>0.36650196362033455</v>
      </c>
      <c r="G93" s="70">
        <v>15598.825019999989</v>
      </c>
      <c r="H93" s="71">
        <f>SUM(H95:H105)</f>
        <v>0.36650196362033455</v>
      </c>
      <c r="I93" s="70">
        <v>15598.825019999989</v>
      </c>
      <c r="J93" s="71">
        <f>SUM(J95:J105)</f>
        <v>0.36650196362033455</v>
      </c>
      <c r="K93" s="70">
        <v>15598.825019999989</v>
      </c>
      <c r="L93" s="71">
        <f>SUM(L95:L105)</f>
        <v>0.36650196362033455</v>
      </c>
      <c r="M93" s="70">
        <f>SUM(C93,E93,G93,I93,K93)</f>
        <v>77994.125099999947</v>
      </c>
      <c r="N93" s="71">
        <f>SUM(N95:N105)</f>
        <v>7.3300392724066896E-2</v>
      </c>
      <c r="O93" s="153"/>
    </row>
    <row r="94" spans="1:15" ht="15" thickBot="1" x14ac:dyDescent="0.4">
      <c r="A94" t="s">
        <v>88</v>
      </c>
      <c r="B94" s="72" t="s">
        <v>168</v>
      </c>
      <c r="C94" s="73"/>
      <c r="D94" s="74">
        <f>(SUM(D95:D105)+C92)/C93</f>
        <v>2.3495485278565861E-5</v>
      </c>
      <c r="E94" s="73"/>
      <c r="F94" s="74">
        <f>(SUM(F95:F105)+E92)/E93</f>
        <v>2.3495485278565861E-5</v>
      </c>
      <c r="G94" s="73"/>
      <c r="H94" s="74">
        <f>(SUM(H95:H105)+G92)/G93</f>
        <v>2.3495485278565861E-5</v>
      </c>
      <c r="I94" s="73"/>
      <c r="J94" s="74">
        <f>(SUM(J95:J105)+I92)/I93</f>
        <v>2.3495485278565861E-5</v>
      </c>
      <c r="K94" s="73"/>
      <c r="L94" s="74">
        <f>(SUM(L95:L105)+K92)/K93</f>
        <v>2.3495485278565861E-5</v>
      </c>
      <c r="M94" s="73"/>
      <c r="N94" s="74">
        <f>(SUM(N95:N105)+M92)/M93</f>
        <v>9.398194111426342E-7</v>
      </c>
      <c r="O94" s="153"/>
    </row>
    <row r="95" spans="1:15" x14ac:dyDescent="0.35">
      <c r="A95" t="s">
        <v>88</v>
      </c>
      <c r="B95" s="75" t="s">
        <v>169</v>
      </c>
      <c r="C95" s="76">
        <v>800</v>
      </c>
      <c r="D95" s="77">
        <f>C95/C93</f>
        <v>5.1285914097650452E-2</v>
      </c>
      <c r="E95" s="78">
        <v>800</v>
      </c>
      <c r="F95" s="79">
        <f>E95/E93</f>
        <v>5.1285914097650452E-2</v>
      </c>
      <c r="G95" s="80">
        <v>800</v>
      </c>
      <c r="H95" s="81">
        <f>G95/G93</f>
        <v>5.1285914097650452E-2</v>
      </c>
      <c r="I95" s="82">
        <v>800</v>
      </c>
      <c r="J95" s="83">
        <f>I95/I93</f>
        <v>5.1285914097650452E-2</v>
      </c>
      <c r="K95" s="84">
        <v>800</v>
      </c>
      <c r="L95" s="85">
        <f>K95/K93</f>
        <v>5.1285914097650452E-2</v>
      </c>
      <c r="M95" s="86">
        <v>800</v>
      </c>
      <c r="N95" s="87">
        <f>M95/M93</f>
        <v>1.025718281953009E-2</v>
      </c>
      <c r="O95" s="153"/>
    </row>
    <row r="96" spans="1:15" x14ac:dyDescent="0.35">
      <c r="A96" t="s">
        <v>88</v>
      </c>
      <c r="B96" s="75" t="s">
        <v>170</v>
      </c>
      <c r="C96" s="88">
        <v>0</v>
      </c>
      <c r="D96" s="77">
        <f>C96/C93</f>
        <v>0</v>
      </c>
      <c r="E96" s="90">
        <v>0</v>
      </c>
      <c r="F96" s="79">
        <f>E96/E93</f>
        <v>0</v>
      </c>
      <c r="G96" s="91">
        <v>0</v>
      </c>
      <c r="H96" s="81">
        <f>G96/G93</f>
        <v>0</v>
      </c>
      <c r="I96" s="92">
        <v>0</v>
      </c>
      <c r="J96" s="83">
        <f>I96/I93</f>
        <v>0</v>
      </c>
      <c r="K96" s="93">
        <v>0</v>
      </c>
      <c r="L96" s="85">
        <f>K96/K93</f>
        <v>0</v>
      </c>
      <c r="M96" s="23">
        <v>0</v>
      </c>
      <c r="N96" s="87">
        <f>M96/M93</f>
        <v>0</v>
      </c>
      <c r="O96" s="153"/>
    </row>
    <row r="97" spans="1:15" x14ac:dyDescent="0.35">
      <c r="A97" t="s">
        <v>88</v>
      </c>
      <c r="B97" s="75" t="s">
        <v>171</v>
      </c>
      <c r="C97" s="88">
        <v>104</v>
      </c>
      <c r="D97" s="77">
        <f>C97/C93</f>
        <v>6.6671688326945585E-3</v>
      </c>
      <c r="E97" s="90">
        <v>104</v>
      </c>
      <c r="F97" s="79">
        <f>E97/E93</f>
        <v>6.6671688326945585E-3</v>
      </c>
      <c r="G97" s="91">
        <v>104</v>
      </c>
      <c r="H97" s="81">
        <f>G97/G93</f>
        <v>6.6671688326945585E-3</v>
      </c>
      <c r="I97" s="92">
        <v>104</v>
      </c>
      <c r="J97" s="83">
        <f>I97/I93</f>
        <v>6.6671688326945585E-3</v>
      </c>
      <c r="K97" s="93">
        <v>104</v>
      </c>
      <c r="L97" s="85">
        <f>K97/K93</f>
        <v>6.6671688326945585E-3</v>
      </c>
      <c r="M97" s="23">
        <v>104</v>
      </c>
      <c r="N97" s="87">
        <f>M97/M93</f>
        <v>1.3334337665389117E-3</v>
      </c>
      <c r="O97" s="153"/>
    </row>
    <row r="98" spans="1:15" x14ac:dyDescent="0.35">
      <c r="A98" t="s">
        <v>88</v>
      </c>
      <c r="B98" s="75" t="s">
        <v>172</v>
      </c>
      <c r="C98" s="88">
        <v>0</v>
      </c>
      <c r="D98" s="77">
        <f>C98/C93</f>
        <v>0</v>
      </c>
      <c r="E98" s="90">
        <v>0</v>
      </c>
      <c r="F98" s="79">
        <f>E98/E93</f>
        <v>0</v>
      </c>
      <c r="G98" s="91">
        <v>0</v>
      </c>
      <c r="H98" s="81">
        <f>G98/G93</f>
        <v>0</v>
      </c>
      <c r="I98" s="92">
        <v>0</v>
      </c>
      <c r="J98" s="83">
        <f>I98/I93</f>
        <v>0</v>
      </c>
      <c r="K98" s="93">
        <v>0</v>
      </c>
      <c r="L98" s="85">
        <f>K98/K93</f>
        <v>0</v>
      </c>
      <c r="M98" s="23">
        <v>0</v>
      </c>
      <c r="N98" s="87">
        <f>M98/M93</f>
        <v>0</v>
      </c>
      <c r="O98" s="153"/>
    </row>
    <row r="99" spans="1:15" x14ac:dyDescent="0.35">
      <c r="A99" t="s">
        <v>88</v>
      </c>
      <c r="B99" s="75" t="s">
        <v>173</v>
      </c>
      <c r="C99" s="94">
        <v>3619</v>
      </c>
      <c r="D99" s="77">
        <f>C99/C93</f>
        <v>0.23200465389924621</v>
      </c>
      <c r="E99" s="95">
        <v>3619</v>
      </c>
      <c r="F99" s="79">
        <f>E99/E93</f>
        <v>0.23200465389924621</v>
      </c>
      <c r="G99" s="96">
        <v>3619</v>
      </c>
      <c r="H99" s="81">
        <f>G99/G93</f>
        <v>0.23200465389924621</v>
      </c>
      <c r="I99" s="97">
        <v>3619</v>
      </c>
      <c r="J99" s="83">
        <f>I99/I93</f>
        <v>0.23200465389924621</v>
      </c>
      <c r="K99" s="98">
        <v>3619</v>
      </c>
      <c r="L99" s="85">
        <f>K99/K93</f>
        <v>0.23200465389924621</v>
      </c>
      <c r="M99" s="99">
        <v>3619</v>
      </c>
      <c r="N99" s="87">
        <f>M99/M93</f>
        <v>4.6400930779849241E-2</v>
      </c>
      <c r="O99" s="153"/>
    </row>
    <row r="100" spans="1:15" x14ac:dyDescent="0.35">
      <c r="A100" t="s">
        <v>88</v>
      </c>
      <c r="B100" s="75" t="s">
        <v>174</v>
      </c>
      <c r="C100" s="88">
        <v>956</v>
      </c>
      <c r="D100" s="77">
        <f>C100/C93</f>
        <v>6.1286667346692289E-2</v>
      </c>
      <c r="E100" s="90">
        <v>956</v>
      </c>
      <c r="F100" s="79">
        <f>E100/E93</f>
        <v>6.1286667346692289E-2</v>
      </c>
      <c r="G100" s="91">
        <v>956</v>
      </c>
      <c r="H100" s="81">
        <f>G100/G93</f>
        <v>6.1286667346692289E-2</v>
      </c>
      <c r="I100" s="92">
        <v>956</v>
      </c>
      <c r="J100" s="83">
        <f>I100/I93</f>
        <v>6.1286667346692289E-2</v>
      </c>
      <c r="K100" s="93">
        <v>956</v>
      </c>
      <c r="L100" s="85">
        <f>K100/K93</f>
        <v>6.1286667346692289E-2</v>
      </c>
      <c r="M100" s="23">
        <v>956</v>
      </c>
      <c r="N100" s="87">
        <f>M100/M93</f>
        <v>1.2257333469338457E-2</v>
      </c>
      <c r="O100" s="153"/>
    </row>
    <row r="101" spans="1:15" x14ac:dyDescent="0.35">
      <c r="A101" t="s">
        <v>88</v>
      </c>
      <c r="B101" s="75" t="s">
        <v>175</v>
      </c>
      <c r="C101" s="88">
        <v>0</v>
      </c>
      <c r="D101" s="77">
        <f>C101/C93</f>
        <v>0</v>
      </c>
      <c r="E101" s="90">
        <v>0</v>
      </c>
      <c r="F101" s="79">
        <f>E101/E93</f>
        <v>0</v>
      </c>
      <c r="G101" s="91">
        <v>0</v>
      </c>
      <c r="H101" s="81">
        <f>G101/G93</f>
        <v>0</v>
      </c>
      <c r="I101" s="92">
        <v>0</v>
      </c>
      <c r="J101" s="83">
        <f>I101/I93</f>
        <v>0</v>
      </c>
      <c r="K101" s="93">
        <v>0</v>
      </c>
      <c r="L101" s="85">
        <f>K101/K93</f>
        <v>0</v>
      </c>
      <c r="M101" s="23">
        <v>0</v>
      </c>
      <c r="N101" s="87">
        <f>M101/M93</f>
        <v>0</v>
      </c>
      <c r="O101" s="153"/>
    </row>
    <row r="102" spans="1:15" x14ac:dyDescent="0.35">
      <c r="A102" t="s">
        <v>88</v>
      </c>
      <c r="B102" s="75" t="s">
        <v>176</v>
      </c>
      <c r="C102" s="88">
        <v>238</v>
      </c>
      <c r="D102" s="77">
        <f>C102/C93</f>
        <v>1.5257559444051008E-2</v>
      </c>
      <c r="E102" s="90">
        <v>238</v>
      </c>
      <c r="F102" s="79">
        <f>E102/E93</f>
        <v>1.5257559444051008E-2</v>
      </c>
      <c r="G102" s="91">
        <v>238</v>
      </c>
      <c r="H102" s="81">
        <f>G102/G93</f>
        <v>1.5257559444051008E-2</v>
      </c>
      <c r="I102" s="92">
        <v>238</v>
      </c>
      <c r="J102" s="83">
        <f>I102/I93</f>
        <v>1.5257559444051008E-2</v>
      </c>
      <c r="K102" s="93">
        <v>238</v>
      </c>
      <c r="L102" s="85">
        <f>K102/K93</f>
        <v>1.5257559444051008E-2</v>
      </c>
      <c r="M102" s="23">
        <v>238</v>
      </c>
      <c r="N102" s="87">
        <f>M102/M93</f>
        <v>3.0515118888102019E-3</v>
      </c>
      <c r="O102" s="153"/>
    </row>
    <row r="103" spans="1:15" x14ac:dyDescent="0.35">
      <c r="A103" t="s">
        <v>88</v>
      </c>
      <c r="B103" s="75" t="s">
        <v>177</v>
      </c>
      <c r="C103" s="88">
        <v>0</v>
      </c>
      <c r="D103" s="77">
        <f>C103/C93</f>
        <v>0</v>
      </c>
      <c r="E103" s="90">
        <v>0</v>
      </c>
      <c r="F103" s="79">
        <f>E103/E93</f>
        <v>0</v>
      </c>
      <c r="G103" s="91">
        <v>0</v>
      </c>
      <c r="H103" s="81">
        <f>G103/G93</f>
        <v>0</v>
      </c>
      <c r="I103" s="92">
        <v>0</v>
      </c>
      <c r="J103" s="83">
        <f>I103/I93</f>
        <v>0</v>
      </c>
      <c r="K103" s="93">
        <v>0</v>
      </c>
      <c r="L103" s="85">
        <f>K103/K93</f>
        <v>0</v>
      </c>
      <c r="M103" s="23">
        <v>0</v>
      </c>
      <c r="N103" s="87">
        <f>M103/M93</f>
        <v>0</v>
      </c>
      <c r="O103" s="153"/>
    </row>
    <row r="104" spans="1:15" x14ac:dyDescent="0.35">
      <c r="A104" t="s">
        <v>88</v>
      </c>
      <c r="B104" s="75" t="s">
        <v>178</v>
      </c>
      <c r="C104" s="88">
        <v>0</v>
      </c>
      <c r="D104" s="77">
        <f>C104/C93</f>
        <v>0</v>
      </c>
      <c r="E104" s="90">
        <v>0</v>
      </c>
      <c r="F104" s="79">
        <f>E104/E93</f>
        <v>0</v>
      </c>
      <c r="G104" s="91">
        <v>0</v>
      </c>
      <c r="H104" s="81">
        <f>G104/G93</f>
        <v>0</v>
      </c>
      <c r="I104" s="92">
        <v>0</v>
      </c>
      <c r="J104" s="83">
        <f>I104/I93</f>
        <v>0</v>
      </c>
      <c r="K104" s="93">
        <v>0</v>
      </c>
      <c r="L104" s="85">
        <f>K104/K93</f>
        <v>0</v>
      </c>
      <c r="M104" s="23">
        <v>0</v>
      </c>
      <c r="N104" s="87">
        <f>M104/M93</f>
        <v>0</v>
      </c>
      <c r="O104" s="153"/>
    </row>
    <row r="105" spans="1:15" ht="15" thickBot="1" x14ac:dyDescent="0.4">
      <c r="A105" t="s">
        <v>88</v>
      </c>
      <c r="B105" s="100" t="s">
        <v>179</v>
      </c>
      <c r="C105" s="101">
        <v>0</v>
      </c>
      <c r="D105" s="113">
        <f t="shared" ref="D105" si="16">C105/$C$33</f>
        <v>0</v>
      </c>
      <c r="E105" s="103">
        <v>0</v>
      </c>
      <c r="F105" s="104">
        <f>E105/E93</f>
        <v>0</v>
      </c>
      <c r="G105" s="105">
        <v>0</v>
      </c>
      <c r="H105" s="106">
        <f>G105/G93</f>
        <v>0</v>
      </c>
      <c r="I105" s="107">
        <v>0</v>
      </c>
      <c r="J105" s="108">
        <f>I105/I93</f>
        <v>0</v>
      </c>
      <c r="K105" s="109">
        <v>0</v>
      </c>
      <c r="L105" s="110">
        <f>K105/K93</f>
        <v>0</v>
      </c>
      <c r="M105" s="25">
        <v>0</v>
      </c>
      <c r="N105" s="111">
        <f>M105/M93</f>
        <v>0</v>
      </c>
      <c r="O105" s="154"/>
    </row>
    <row r="106" spans="1:15" ht="15" thickBot="1" x14ac:dyDescent="0.4">
      <c r="D106" s="26"/>
      <c r="F106" s="26"/>
      <c r="H106" s="26"/>
      <c r="J106" s="26"/>
      <c r="L106" s="26"/>
      <c r="N106" s="26"/>
    </row>
    <row r="107" spans="1:15" ht="14.5" customHeight="1" thickBot="1" x14ac:dyDescent="0.4">
      <c r="A107" t="s">
        <v>90</v>
      </c>
      <c r="B107" s="65" t="s">
        <v>166</v>
      </c>
      <c r="C107" s="66">
        <v>0</v>
      </c>
      <c r="D107" s="67"/>
      <c r="E107" s="66">
        <v>0</v>
      </c>
      <c r="F107" s="67"/>
      <c r="G107" s="66">
        <v>0</v>
      </c>
      <c r="H107" s="67"/>
      <c r="I107" s="66">
        <v>0</v>
      </c>
      <c r="J107" s="67"/>
      <c r="K107" s="66">
        <v>0</v>
      </c>
      <c r="L107" s="67"/>
      <c r="M107" s="68">
        <f>SUM(C107,E107,G107,I107,K107)</f>
        <v>0</v>
      </c>
      <c r="N107" s="67"/>
      <c r="O107" s="152" t="s">
        <v>91</v>
      </c>
    </row>
    <row r="108" spans="1:15" ht="15" thickBot="1" x14ac:dyDescent="0.4">
      <c r="A108" t="s">
        <v>90</v>
      </c>
      <c r="B108" s="69" t="s">
        <v>167</v>
      </c>
      <c r="C108" s="70">
        <v>15598.825019999989</v>
      </c>
      <c r="D108" s="71">
        <f>SUM(D110:D120)</f>
        <v>0.36650196362033455</v>
      </c>
      <c r="E108" s="70">
        <v>15598.825019999989</v>
      </c>
      <c r="F108" s="71">
        <f>SUM(F110:F120)</f>
        <v>0.36650196362033455</v>
      </c>
      <c r="G108" s="70">
        <v>15598.825019999989</v>
      </c>
      <c r="H108" s="71">
        <f>SUM(H110:H120)</f>
        <v>0.36650196362033455</v>
      </c>
      <c r="I108" s="70">
        <v>15598.825019999989</v>
      </c>
      <c r="J108" s="71">
        <f>SUM(J110:J120)</f>
        <v>0.36650196362033455</v>
      </c>
      <c r="K108" s="70">
        <v>15598.825019999989</v>
      </c>
      <c r="L108" s="71">
        <f>SUM(L110:L120)</f>
        <v>0.36650196362033455</v>
      </c>
      <c r="M108" s="70">
        <f>SUM(C108,E108,G108,I108,K108)</f>
        <v>77994.125099999947</v>
      </c>
      <c r="N108" s="71">
        <f>SUM(N110:N120)</f>
        <v>7.3300392724066896E-2</v>
      </c>
      <c r="O108" s="153"/>
    </row>
    <row r="109" spans="1:15" ht="15" thickBot="1" x14ac:dyDescent="0.4">
      <c r="A109" t="s">
        <v>90</v>
      </c>
      <c r="B109" s="72" t="s">
        <v>168</v>
      </c>
      <c r="C109" s="73"/>
      <c r="D109" s="74">
        <f>(SUM(D110:D120)+C107)/C108</f>
        <v>2.3495485278565861E-5</v>
      </c>
      <c r="E109" s="73"/>
      <c r="F109" s="74">
        <f>(SUM(F110:F120)+E107)/E108</f>
        <v>2.3495485278565861E-5</v>
      </c>
      <c r="G109" s="73"/>
      <c r="H109" s="74">
        <f>(SUM(H110:H120)+G107)/G108</f>
        <v>2.3495485278565861E-5</v>
      </c>
      <c r="I109" s="73"/>
      <c r="J109" s="74">
        <f>(SUM(J110:J120)+I107)/I108</f>
        <v>2.3495485278565861E-5</v>
      </c>
      <c r="K109" s="73"/>
      <c r="L109" s="74">
        <f>(SUM(L110:L120)+K107)/K108</f>
        <v>2.3495485278565861E-5</v>
      </c>
      <c r="M109" s="73"/>
      <c r="N109" s="74">
        <f>(SUM(N110:N120)+M107)/M108</f>
        <v>9.398194111426342E-7</v>
      </c>
      <c r="O109" s="153"/>
    </row>
    <row r="110" spans="1:15" x14ac:dyDescent="0.35">
      <c r="A110" t="s">
        <v>90</v>
      </c>
      <c r="B110" s="75" t="s">
        <v>169</v>
      </c>
      <c r="C110" s="76">
        <v>800</v>
      </c>
      <c r="D110" s="77">
        <f>C110/C108</f>
        <v>5.1285914097650452E-2</v>
      </c>
      <c r="E110" s="78">
        <v>800</v>
      </c>
      <c r="F110" s="79">
        <f>E110/E108</f>
        <v>5.1285914097650452E-2</v>
      </c>
      <c r="G110" s="80">
        <v>800</v>
      </c>
      <c r="H110" s="81">
        <f>G110/G108</f>
        <v>5.1285914097650452E-2</v>
      </c>
      <c r="I110" s="82">
        <v>800</v>
      </c>
      <c r="J110" s="83">
        <f>I110/I108</f>
        <v>5.1285914097650452E-2</v>
      </c>
      <c r="K110" s="84">
        <v>800</v>
      </c>
      <c r="L110" s="85">
        <f>K110/K108</f>
        <v>5.1285914097650452E-2</v>
      </c>
      <c r="M110" s="86">
        <v>800</v>
      </c>
      <c r="N110" s="87">
        <f>M110/M108</f>
        <v>1.025718281953009E-2</v>
      </c>
      <c r="O110" s="153"/>
    </row>
    <row r="111" spans="1:15" x14ac:dyDescent="0.35">
      <c r="A111" t="s">
        <v>90</v>
      </c>
      <c r="B111" s="75" t="s">
        <v>170</v>
      </c>
      <c r="C111" s="88">
        <v>0</v>
      </c>
      <c r="D111" s="77">
        <f>C111/C108</f>
        <v>0</v>
      </c>
      <c r="E111" s="90">
        <v>0</v>
      </c>
      <c r="F111" s="79">
        <f>E111/E108</f>
        <v>0</v>
      </c>
      <c r="G111" s="91">
        <v>0</v>
      </c>
      <c r="H111" s="81">
        <f>G111/G108</f>
        <v>0</v>
      </c>
      <c r="I111" s="92">
        <v>0</v>
      </c>
      <c r="J111" s="83">
        <f>I111/I108</f>
        <v>0</v>
      </c>
      <c r="K111" s="93">
        <v>0</v>
      </c>
      <c r="L111" s="85">
        <f>K111/K108</f>
        <v>0</v>
      </c>
      <c r="M111" s="23">
        <v>0</v>
      </c>
      <c r="N111" s="87">
        <f>M111/M108</f>
        <v>0</v>
      </c>
      <c r="O111" s="153"/>
    </row>
    <row r="112" spans="1:15" x14ac:dyDescent="0.35">
      <c r="A112" t="s">
        <v>90</v>
      </c>
      <c r="B112" s="75" t="s">
        <v>171</v>
      </c>
      <c r="C112" s="88">
        <v>104</v>
      </c>
      <c r="D112" s="77">
        <f>C112/C108</f>
        <v>6.6671688326945585E-3</v>
      </c>
      <c r="E112" s="90">
        <v>104</v>
      </c>
      <c r="F112" s="79">
        <f>E112/E108</f>
        <v>6.6671688326945585E-3</v>
      </c>
      <c r="G112" s="91">
        <v>104</v>
      </c>
      <c r="H112" s="81">
        <f>G112/G108</f>
        <v>6.6671688326945585E-3</v>
      </c>
      <c r="I112" s="92">
        <v>104</v>
      </c>
      <c r="J112" s="83">
        <f>I112/I108</f>
        <v>6.6671688326945585E-3</v>
      </c>
      <c r="K112" s="93">
        <v>104</v>
      </c>
      <c r="L112" s="85">
        <f>K112/K108</f>
        <v>6.6671688326945585E-3</v>
      </c>
      <c r="M112" s="23">
        <v>104</v>
      </c>
      <c r="N112" s="87">
        <f>M112/M108</f>
        <v>1.3334337665389117E-3</v>
      </c>
      <c r="O112" s="153"/>
    </row>
    <row r="113" spans="1:15" x14ac:dyDescent="0.35">
      <c r="A113" t="s">
        <v>90</v>
      </c>
      <c r="B113" s="75" t="s">
        <v>172</v>
      </c>
      <c r="C113" s="88">
        <v>0</v>
      </c>
      <c r="D113" s="77">
        <f>C113/C108</f>
        <v>0</v>
      </c>
      <c r="E113" s="90">
        <v>0</v>
      </c>
      <c r="F113" s="79">
        <f>E113/E108</f>
        <v>0</v>
      </c>
      <c r="G113" s="91">
        <v>0</v>
      </c>
      <c r="H113" s="81">
        <f>G113/G108</f>
        <v>0</v>
      </c>
      <c r="I113" s="92">
        <v>0</v>
      </c>
      <c r="J113" s="83">
        <f>I113/I108</f>
        <v>0</v>
      </c>
      <c r="K113" s="93">
        <v>0</v>
      </c>
      <c r="L113" s="85">
        <f>K113/K108</f>
        <v>0</v>
      </c>
      <c r="M113" s="23">
        <v>0</v>
      </c>
      <c r="N113" s="87">
        <f>M113/M108</f>
        <v>0</v>
      </c>
      <c r="O113" s="153"/>
    </row>
    <row r="114" spans="1:15" x14ac:dyDescent="0.35">
      <c r="A114" t="s">
        <v>90</v>
      </c>
      <c r="B114" s="75" t="s">
        <v>173</v>
      </c>
      <c r="C114" s="94">
        <v>3619</v>
      </c>
      <c r="D114" s="77">
        <f>C114/C108</f>
        <v>0.23200465389924621</v>
      </c>
      <c r="E114" s="95">
        <v>3619</v>
      </c>
      <c r="F114" s="79">
        <f>E114/E108</f>
        <v>0.23200465389924621</v>
      </c>
      <c r="G114" s="96">
        <v>3619</v>
      </c>
      <c r="H114" s="81">
        <f>G114/G108</f>
        <v>0.23200465389924621</v>
      </c>
      <c r="I114" s="97">
        <v>3619</v>
      </c>
      <c r="J114" s="83">
        <f>I114/I108</f>
        <v>0.23200465389924621</v>
      </c>
      <c r="K114" s="98">
        <v>3619</v>
      </c>
      <c r="L114" s="85">
        <f>K114/K108</f>
        <v>0.23200465389924621</v>
      </c>
      <c r="M114" s="99">
        <v>3619</v>
      </c>
      <c r="N114" s="87">
        <f>M114/M108</f>
        <v>4.6400930779849241E-2</v>
      </c>
      <c r="O114" s="153"/>
    </row>
    <row r="115" spans="1:15" x14ac:dyDescent="0.35">
      <c r="A115" t="s">
        <v>90</v>
      </c>
      <c r="B115" s="75" t="s">
        <v>174</v>
      </c>
      <c r="C115" s="88">
        <v>956</v>
      </c>
      <c r="D115" s="77">
        <f>C115/C108</f>
        <v>6.1286667346692289E-2</v>
      </c>
      <c r="E115" s="90">
        <v>956</v>
      </c>
      <c r="F115" s="79">
        <f>E115/E108</f>
        <v>6.1286667346692289E-2</v>
      </c>
      <c r="G115" s="91">
        <v>956</v>
      </c>
      <c r="H115" s="81">
        <f>G115/G108</f>
        <v>6.1286667346692289E-2</v>
      </c>
      <c r="I115" s="92">
        <v>956</v>
      </c>
      <c r="J115" s="83">
        <f>I115/I108</f>
        <v>6.1286667346692289E-2</v>
      </c>
      <c r="K115" s="93">
        <v>956</v>
      </c>
      <c r="L115" s="85">
        <f>K115/K108</f>
        <v>6.1286667346692289E-2</v>
      </c>
      <c r="M115" s="23">
        <v>956</v>
      </c>
      <c r="N115" s="87">
        <f>M115/M108</f>
        <v>1.2257333469338457E-2</v>
      </c>
      <c r="O115" s="153"/>
    </row>
    <row r="116" spans="1:15" x14ac:dyDescent="0.35">
      <c r="A116" t="s">
        <v>90</v>
      </c>
      <c r="B116" s="75" t="s">
        <v>175</v>
      </c>
      <c r="C116" s="88">
        <v>0</v>
      </c>
      <c r="D116" s="77">
        <f>C116/C108</f>
        <v>0</v>
      </c>
      <c r="E116" s="90">
        <v>0</v>
      </c>
      <c r="F116" s="79">
        <f>E116/E108</f>
        <v>0</v>
      </c>
      <c r="G116" s="91">
        <v>0</v>
      </c>
      <c r="H116" s="81">
        <f>G116/G108</f>
        <v>0</v>
      </c>
      <c r="I116" s="92">
        <v>0</v>
      </c>
      <c r="J116" s="83">
        <f>I116/I108</f>
        <v>0</v>
      </c>
      <c r="K116" s="93">
        <v>0</v>
      </c>
      <c r="L116" s="85">
        <f>K116/K108</f>
        <v>0</v>
      </c>
      <c r="M116" s="23">
        <v>0</v>
      </c>
      <c r="N116" s="87">
        <f>M116/M108</f>
        <v>0</v>
      </c>
      <c r="O116" s="153"/>
    </row>
    <row r="117" spans="1:15" x14ac:dyDescent="0.35">
      <c r="A117" t="s">
        <v>90</v>
      </c>
      <c r="B117" s="75" t="s">
        <v>176</v>
      </c>
      <c r="C117" s="88">
        <v>238</v>
      </c>
      <c r="D117" s="77">
        <f>C117/C108</f>
        <v>1.5257559444051008E-2</v>
      </c>
      <c r="E117" s="90">
        <v>238</v>
      </c>
      <c r="F117" s="79">
        <f>E117/E108</f>
        <v>1.5257559444051008E-2</v>
      </c>
      <c r="G117" s="91">
        <v>238</v>
      </c>
      <c r="H117" s="81">
        <f>G117/G108</f>
        <v>1.5257559444051008E-2</v>
      </c>
      <c r="I117" s="92">
        <v>238</v>
      </c>
      <c r="J117" s="83">
        <f>I117/I108</f>
        <v>1.5257559444051008E-2</v>
      </c>
      <c r="K117" s="93">
        <v>238</v>
      </c>
      <c r="L117" s="85">
        <f>K117/K108</f>
        <v>1.5257559444051008E-2</v>
      </c>
      <c r="M117" s="23">
        <v>238</v>
      </c>
      <c r="N117" s="87">
        <f>M117/M108</f>
        <v>3.0515118888102019E-3</v>
      </c>
      <c r="O117" s="153"/>
    </row>
    <row r="118" spans="1:15" x14ac:dyDescent="0.35">
      <c r="A118" t="s">
        <v>90</v>
      </c>
      <c r="B118" s="75" t="s">
        <v>177</v>
      </c>
      <c r="C118" s="88">
        <v>0</v>
      </c>
      <c r="D118" s="77">
        <f>C118/C108</f>
        <v>0</v>
      </c>
      <c r="E118" s="90">
        <v>0</v>
      </c>
      <c r="F118" s="79">
        <f>E118/E108</f>
        <v>0</v>
      </c>
      <c r="G118" s="91">
        <v>0</v>
      </c>
      <c r="H118" s="81">
        <f>G118/G108</f>
        <v>0</v>
      </c>
      <c r="I118" s="92">
        <v>0</v>
      </c>
      <c r="J118" s="83">
        <f>I118/I108</f>
        <v>0</v>
      </c>
      <c r="K118" s="93">
        <v>0</v>
      </c>
      <c r="L118" s="85">
        <f>K118/K108</f>
        <v>0</v>
      </c>
      <c r="M118" s="23">
        <v>0</v>
      </c>
      <c r="N118" s="87">
        <f>M118/M108</f>
        <v>0</v>
      </c>
      <c r="O118" s="153"/>
    </row>
    <row r="119" spans="1:15" x14ac:dyDescent="0.35">
      <c r="A119" t="s">
        <v>90</v>
      </c>
      <c r="B119" s="75" t="s">
        <v>178</v>
      </c>
      <c r="C119" s="88">
        <v>0</v>
      </c>
      <c r="D119" s="77">
        <f>C119/C108</f>
        <v>0</v>
      </c>
      <c r="E119" s="90">
        <v>0</v>
      </c>
      <c r="F119" s="79">
        <f>E119/E108</f>
        <v>0</v>
      </c>
      <c r="G119" s="91">
        <v>0</v>
      </c>
      <c r="H119" s="81">
        <f>G119/G108</f>
        <v>0</v>
      </c>
      <c r="I119" s="92">
        <v>0</v>
      </c>
      <c r="J119" s="83">
        <f>I119/I108</f>
        <v>0</v>
      </c>
      <c r="K119" s="93">
        <v>0</v>
      </c>
      <c r="L119" s="85">
        <f>K119/K108</f>
        <v>0</v>
      </c>
      <c r="M119" s="23">
        <v>0</v>
      </c>
      <c r="N119" s="87">
        <f>M119/M108</f>
        <v>0</v>
      </c>
      <c r="O119" s="153"/>
    </row>
    <row r="120" spans="1:15" ht="15" thickBot="1" x14ac:dyDescent="0.4">
      <c r="A120" t="s">
        <v>90</v>
      </c>
      <c r="B120" s="100" t="s">
        <v>179</v>
      </c>
      <c r="C120" s="101">
        <v>0</v>
      </c>
      <c r="D120" s="113">
        <f t="shared" ref="D120" si="17">C120/$C$33</f>
        <v>0</v>
      </c>
      <c r="E120" s="103">
        <v>0</v>
      </c>
      <c r="F120" s="104">
        <f>E120/E108</f>
        <v>0</v>
      </c>
      <c r="G120" s="105">
        <v>0</v>
      </c>
      <c r="H120" s="106">
        <f>G120/G108</f>
        <v>0</v>
      </c>
      <c r="I120" s="107">
        <v>0</v>
      </c>
      <c r="J120" s="108">
        <f>I120/I108</f>
        <v>0</v>
      </c>
      <c r="K120" s="109">
        <v>0</v>
      </c>
      <c r="L120" s="110">
        <f>K120/K108</f>
        <v>0</v>
      </c>
      <c r="M120" s="25">
        <v>0</v>
      </c>
      <c r="N120" s="111">
        <f>M120/M108</f>
        <v>0</v>
      </c>
      <c r="O120" s="154"/>
    </row>
    <row r="121" spans="1:15" ht="15" thickBot="1" x14ac:dyDescent="0.4">
      <c r="D121" s="26"/>
      <c r="F121" s="26"/>
      <c r="H121" s="26"/>
      <c r="J121" s="26"/>
      <c r="L121" s="26"/>
      <c r="N121" s="26"/>
    </row>
    <row r="122" spans="1:15" ht="14.5" customHeight="1" thickBot="1" x14ac:dyDescent="0.4">
      <c r="A122" t="s">
        <v>92</v>
      </c>
      <c r="B122" s="65" t="s">
        <v>166</v>
      </c>
      <c r="C122" s="66">
        <v>0</v>
      </c>
      <c r="D122" s="67"/>
      <c r="E122" s="66">
        <v>0</v>
      </c>
      <c r="F122" s="67"/>
      <c r="G122" s="66">
        <v>0</v>
      </c>
      <c r="H122" s="67"/>
      <c r="I122" s="66">
        <v>0</v>
      </c>
      <c r="J122" s="67"/>
      <c r="K122" s="66">
        <v>0</v>
      </c>
      <c r="L122" s="67"/>
      <c r="M122" s="68">
        <f>SUM(C122,E122,G122,I122,K122)</f>
        <v>0</v>
      </c>
      <c r="N122" s="67"/>
      <c r="O122" s="152" t="s">
        <v>93</v>
      </c>
    </row>
    <row r="123" spans="1:15" ht="15" thickBot="1" x14ac:dyDescent="0.4">
      <c r="A123" t="s">
        <v>92</v>
      </c>
      <c r="B123" s="69" t="s">
        <v>167</v>
      </c>
      <c r="C123" s="70">
        <v>15598.825019999989</v>
      </c>
      <c r="D123" s="71">
        <f>SUM(D125:D135)</f>
        <v>0.36650196362033455</v>
      </c>
      <c r="E123" s="70">
        <v>15598.825019999989</v>
      </c>
      <c r="F123" s="71">
        <f>SUM(F125:F135)</f>
        <v>0.36650196362033455</v>
      </c>
      <c r="G123" s="70">
        <v>15598.825019999989</v>
      </c>
      <c r="H123" s="71">
        <f>SUM(H125:H135)</f>
        <v>0.36650196362033455</v>
      </c>
      <c r="I123" s="70">
        <v>15598.825019999989</v>
      </c>
      <c r="J123" s="71">
        <f>SUM(J125:J135)</f>
        <v>0.36650196362033455</v>
      </c>
      <c r="K123" s="70">
        <v>15598.825019999989</v>
      </c>
      <c r="L123" s="71">
        <f>SUM(L125:L135)</f>
        <v>0.36650196362033455</v>
      </c>
      <c r="M123" s="70">
        <f>SUM(C123,E123,G123,I123,K123)</f>
        <v>77994.125099999947</v>
      </c>
      <c r="N123" s="71">
        <f>SUM(N125:N135)</f>
        <v>7.3300392724066896E-2</v>
      </c>
      <c r="O123" s="153"/>
    </row>
    <row r="124" spans="1:15" ht="15" thickBot="1" x14ac:dyDescent="0.4">
      <c r="A124" t="s">
        <v>92</v>
      </c>
      <c r="B124" s="72" t="s">
        <v>168</v>
      </c>
      <c r="C124" s="73"/>
      <c r="D124" s="74">
        <f>(SUM(D125:D135)+C122)/C123</f>
        <v>2.3495485278565861E-5</v>
      </c>
      <c r="E124" s="73"/>
      <c r="F124" s="74">
        <f>(SUM(F125:F135)+E122)/E123</f>
        <v>2.3495485278565861E-5</v>
      </c>
      <c r="G124" s="73"/>
      <c r="H124" s="74">
        <f>(SUM(H125:H135)+G122)/G123</f>
        <v>2.3495485278565861E-5</v>
      </c>
      <c r="I124" s="73"/>
      <c r="J124" s="74">
        <f>(SUM(J125:J135)+I122)/I123</f>
        <v>2.3495485278565861E-5</v>
      </c>
      <c r="K124" s="73"/>
      <c r="L124" s="74">
        <f>(SUM(L125:L135)+K122)/K123</f>
        <v>2.3495485278565861E-5</v>
      </c>
      <c r="M124" s="73"/>
      <c r="N124" s="74">
        <f>(SUM(N125:N135)+M122)/M123</f>
        <v>9.398194111426342E-7</v>
      </c>
      <c r="O124" s="153"/>
    </row>
    <row r="125" spans="1:15" x14ac:dyDescent="0.35">
      <c r="A125" t="s">
        <v>92</v>
      </c>
      <c r="B125" s="75" t="s">
        <v>169</v>
      </c>
      <c r="C125" s="76">
        <v>800</v>
      </c>
      <c r="D125" s="77">
        <f>C125/C123</f>
        <v>5.1285914097650452E-2</v>
      </c>
      <c r="E125" s="78">
        <v>800</v>
      </c>
      <c r="F125" s="79">
        <f>E125/E123</f>
        <v>5.1285914097650452E-2</v>
      </c>
      <c r="G125" s="80">
        <v>800</v>
      </c>
      <c r="H125" s="81">
        <f>G125/G123</f>
        <v>5.1285914097650452E-2</v>
      </c>
      <c r="I125" s="82">
        <v>800</v>
      </c>
      <c r="J125" s="83">
        <f>I125/I123</f>
        <v>5.1285914097650452E-2</v>
      </c>
      <c r="K125" s="84">
        <v>800</v>
      </c>
      <c r="L125" s="85">
        <f>K125/K123</f>
        <v>5.1285914097650452E-2</v>
      </c>
      <c r="M125" s="86">
        <v>800</v>
      </c>
      <c r="N125" s="87">
        <f>M125/M123</f>
        <v>1.025718281953009E-2</v>
      </c>
      <c r="O125" s="153"/>
    </row>
    <row r="126" spans="1:15" x14ac:dyDescent="0.35">
      <c r="A126" t="s">
        <v>92</v>
      </c>
      <c r="B126" s="75" t="s">
        <v>170</v>
      </c>
      <c r="C126" s="88">
        <v>0</v>
      </c>
      <c r="D126" s="77">
        <f>C126/C123</f>
        <v>0</v>
      </c>
      <c r="E126" s="90">
        <v>0</v>
      </c>
      <c r="F126" s="79">
        <f>E126/E123</f>
        <v>0</v>
      </c>
      <c r="G126" s="91">
        <v>0</v>
      </c>
      <c r="H126" s="81">
        <f>G126/G123</f>
        <v>0</v>
      </c>
      <c r="I126" s="92">
        <v>0</v>
      </c>
      <c r="J126" s="83">
        <f>I126/I123</f>
        <v>0</v>
      </c>
      <c r="K126" s="93">
        <v>0</v>
      </c>
      <c r="L126" s="85">
        <f>K126/K123</f>
        <v>0</v>
      </c>
      <c r="M126" s="23">
        <v>0</v>
      </c>
      <c r="N126" s="87">
        <f>M126/M123</f>
        <v>0</v>
      </c>
      <c r="O126" s="153"/>
    </row>
    <row r="127" spans="1:15" x14ac:dyDescent="0.35">
      <c r="A127" t="s">
        <v>92</v>
      </c>
      <c r="B127" s="75" t="s">
        <v>171</v>
      </c>
      <c r="C127" s="88">
        <v>104</v>
      </c>
      <c r="D127" s="77">
        <f>C127/C123</f>
        <v>6.6671688326945585E-3</v>
      </c>
      <c r="E127" s="90">
        <v>104</v>
      </c>
      <c r="F127" s="79">
        <f>E127/E123</f>
        <v>6.6671688326945585E-3</v>
      </c>
      <c r="G127" s="91">
        <v>104</v>
      </c>
      <c r="H127" s="81">
        <f>G127/G123</f>
        <v>6.6671688326945585E-3</v>
      </c>
      <c r="I127" s="92">
        <v>104</v>
      </c>
      <c r="J127" s="83">
        <f>I127/I123</f>
        <v>6.6671688326945585E-3</v>
      </c>
      <c r="K127" s="93">
        <v>104</v>
      </c>
      <c r="L127" s="85">
        <f>K127/K123</f>
        <v>6.6671688326945585E-3</v>
      </c>
      <c r="M127" s="23">
        <v>104</v>
      </c>
      <c r="N127" s="87">
        <f>M127/M123</f>
        <v>1.3334337665389117E-3</v>
      </c>
      <c r="O127" s="153"/>
    </row>
    <row r="128" spans="1:15" x14ac:dyDescent="0.35">
      <c r="A128" t="s">
        <v>92</v>
      </c>
      <c r="B128" s="75" t="s">
        <v>172</v>
      </c>
      <c r="C128" s="88">
        <v>0</v>
      </c>
      <c r="D128" s="77">
        <f>C128/C123</f>
        <v>0</v>
      </c>
      <c r="E128" s="90">
        <v>0</v>
      </c>
      <c r="F128" s="79">
        <f>E128/E123</f>
        <v>0</v>
      </c>
      <c r="G128" s="91">
        <v>0</v>
      </c>
      <c r="H128" s="81">
        <f>G128/G123</f>
        <v>0</v>
      </c>
      <c r="I128" s="92">
        <v>0</v>
      </c>
      <c r="J128" s="83">
        <f>I128/I123</f>
        <v>0</v>
      </c>
      <c r="K128" s="93">
        <v>0</v>
      </c>
      <c r="L128" s="85">
        <f>K128/K123</f>
        <v>0</v>
      </c>
      <c r="M128" s="23">
        <v>0</v>
      </c>
      <c r="N128" s="87">
        <f>M128/M123</f>
        <v>0</v>
      </c>
      <c r="O128" s="153"/>
    </row>
    <row r="129" spans="1:15" x14ac:dyDescent="0.35">
      <c r="A129" t="s">
        <v>92</v>
      </c>
      <c r="B129" s="75" t="s">
        <v>173</v>
      </c>
      <c r="C129" s="94">
        <v>3619</v>
      </c>
      <c r="D129" s="77">
        <f>C129/C123</f>
        <v>0.23200465389924621</v>
      </c>
      <c r="E129" s="95">
        <v>3619</v>
      </c>
      <c r="F129" s="79">
        <f>E129/E123</f>
        <v>0.23200465389924621</v>
      </c>
      <c r="G129" s="96">
        <v>3619</v>
      </c>
      <c r="H129" s="81">
        <f>G129/G123</f>
        <v>0.23200465389924621</v>
      </c>
      <c r="I129" s="97">
        <v>3619</v>
      </c>
      <c r="J129" s="83">
        <f>I129/I123</f>
        <v>0.23200465389924621</v>
      </c>
      <c r="K129" s="98">
        <v>3619</v>
      </c>
      <c r="L129" s="85">
        <f>K129/K123</f>
        <v>0.23200465389924621</v>
      </c>
      <c r="M129" s="99">
        <v>3619</v>
      </c>
      <c r="N129" s="87">
        <f>M129/M123</f>
        <v>4.6400930779849241E-2</v>
      </c>
      <c r="O129" s="153"/>
    </row>
    <row r="130" spans="1:15" x14ac:dyDescent="0.35">
      <c r="A130" t="s">
        <v>92</v>
      </c>
      <c r="B130" s="75" t="s">
        <v>174</v>
      </c>
      <c r="C130" s="88">
        <v>956</v>
      </c>
      <c r="D130" s="77">
        <f>C130/C123</f>
        <v>6.1286667346692289E-2</v>
      </c>
      <c r="E130" s="90">
        <v>956</v>
      </c>
      <c r="F130" s="79">
        <f>E130/E123</f>
        <v>6.1286667346692289E-2</v>
      </c>
      <c r="G130" s="91">
        <v>956</v>
      </c>
      <c r="H130" s="81">
        <f>G130/G123</f>
        <v>6.1286667346692289E-2</v>
      </c>
      <c r="I130" s="92">
        <v>956</v>
      </c>
      <c r="J130" s="83">
        <f>I130/I123</f>
        <v>6.1286667346692289E-2</v>
      </c>
      <c r="K130" s="93">
        <v>956</v>
      </c>
      <c r="L130" s="85">
        <f>K130/K123</f>
        <v>6.1286667346692289E-2</v>
      </c>
      <c r="M130" s="23">
        <v>956</v>
      </c>
      <c r="N130" s="87">
        <f>M130/M123</f>
        <v>1.2257333469338457E-2</v>
      </c>
      <c r="O130" s="153"/>
    </row>
    <row r="131" spans="1:15" x14ac:dyDescent="0.35">
      <c r="A131" t="s">
        <v>92</v>
      </c>
      <c r="B131" s="75" t="s">
        <v>175</v>
      </c>
      <c r="C131" s="88">
        <v>0</v>
      </c>
      <c r="D131" s="77">
        <f>C131/C123</f>
        <v>0</v>
      </c>
      <c r="E131" s="90">
        <v>0</v>
      </c>
      <c r="F131" s="79">
        <f>E131/E123</f>
        <v>0</v>
      </c>
      <c r="G131" s="91">
        <v>0</v>
      </c>
      <c r="H131" s="81">
        <f>G131/G123</f>
        <v>0</v>
      </c>
      <c r="I131" s="92">
        <v>0</v>
      </c>
      <c r="J131" s="83">
        <f>I131/I123</f>
        <v>0</v>
      </c>
      <c r="K131" s="93">
        <v>0</v>
      </c>
      <c r="L131" s="85">
        <f>K131/K123</f>
        <v>0</v>
      </c>
      <c r="M131" s="23">
        <v>0</v>
      </c>
      <c r="N131" s="87">
        <f>M131/M123</f>
        <v>0</v>
      </c>
      <c r="O131" s="153"/>
    </row>
    <row r="132" spans="1:15" x14ac:dyDescent="0.35">
      <c r="A132" t="s">
        <v>92</v>
      </c>
      <c r="B132" s="75" t="s">
        <v>176</v>
      </c>
      <c r="C132" s="88">
        <v>238</v>
      </c>
      <c r="D132" s="77">
        <f>C132/C123</f>
        <v>1.5257559444051008E-2</v>
      </c>
      <c r="E132" s="90">
        <v>238</v>
      </c>
      <c r="F132" s="79">
        <f>E132/E123</f>
        <v>1.5257559444051008E-2</v>
      </c>
      <c r="G132" s="91">
        <v>238</v>
      </c>
      <c r="H132" s="81">
        <f>G132/G123</f>
        <v>1.5257559444051008E-2</v>
      </c>
      <c r="I132" s="92">
        <v>238</v>
      </c>
      <c r="J132" s="83">
        <f>I132/I123</f>
        <v>1.5257559444051008E-2</v>
      </c>
      <c r="K132" s="93">
        <v>238</v>
      </c>
      <c r="L132" s="85">
        <f>K132/K123</f>
        <v>1.5257559444051008E-2</v>
      </c>
      <c r="M132" s="23">
        <v>238</v>
      </c>
      <c r="N132" s="87">
        <f>M132/M123</f>
        <v>3.0515118888102019E-3</v>
      </c>
      <c r="O132" s="153"/>
    </row>
    <row r="133" spans="1:15" x14ac:dyDescent="0.35">
      <c r="A133" t="s">
        <v>92</v>
      </c>
      <c r="B133" s="75" t="s">
        <v>177</v>
      </c>
      <c r="C133" s="88">
        <v>0</v>
      </c>
      <c r="D133" s="77">
        <f>C133/C123</f>
        <v>0</v>
      </c>
      <c r="E133" s="90">
        <v>0</v>
      </c>
      <c r="F133" s="79">
        <f>E133/E123</f>
        <v>0</v>
      </c>
      <c r="G133" s="91">
        <v>0</v>
      </c>
      <c r="H133" s="81">
        <f>G133/G123</f>
        <v>0</v>
      </c>
      <c r="I133" s="92">
        <v>0</v>
      </c>
      <c r="J133" s="83">
        <f>I133/I123</f>
        <v>0</v>
      </c>
      <c r="K133" s="93">
        <v>0</v>
      </c>
      <c r="L133" s="85">
        <f>K133/K123</f>
        <v>0</v>
      </c>
      <c r="M133" s="23">
        <v>0</v>
      </c>
      <c r="N133" s="87">
        <f>M133/M123</f>
        <v>0</v>
      </c>
      <c r="O133" s="153"/>
    </row>
    <row r="134" spans="1:15" x14ac:dyDescent="0.35">
      <c r="A134" t="s">
        <v>92</v>
      </c>
      <c r="B134" s="75" t="s">
        <v>178</v>
      </c>
      <c r="C134" s="88">
        <v>0</v>
      </c>
      <c r="D134" s="77">
        <f>C134/C123</f>
        <v>0</v>
      </c>
      <c r="E134" s="90">
        <v>0</v>
      </c>
      <c r="F134" s="79">
        <f>E134/E123</f>
        <v>0</v>
      </c>
      <c r="G134" s="91">
        <v>0</v>
      </c>
      <c r="H134" s="81">
        <f>G134/G123</f>
        <v>0</v>
      </c>
      <c r="I134" s="92">
        <v>0</v>
      </c>
      <c r="J134" s="83">
        <f>I134/I123</f>
        <v>0</v>
      </c>
      <c r="K134" s="93">
        <v>0</v>
      </c>
      <c r="L134" s="85">
        <f>K134/K123</f>
        <v>0</v>
      </c>
      <c r="M134" s="23">
        <v>0</v>
      </c>
      <c r="N134" s="87">
        <f>M134/M123</f>
        <v>0</v>
      </c>
      <c r="O134" s="153"/>
    </row>
    <row r="135" spans="1:15" ht="15" thickBot="1" x14ac:dyDescent="0.4">
      <c r="A135" t="s">
        <v>92</v>
      </c>
      <c r="B135" s="100" t="s">
        <v>179</v>
      </c>
      <c r="C135" s="101">
        <v>0</v>
      </c>
      <c r="D135" s="113">
        <f t="shared" ref="D135" si="18">C135/$C$33</f>
        <v>0</v>
      </c>
      <c r="E135" s="103">
        <v>0</v>
      </c>
      <c r="F135" s="104">
        <f>E135/E123</f>
        <v>0</v>
      </c>
      <c r="G135" s="105">
        <v>0</v>
      </c>
      <c r="H135" s="106">
        <f>G135/G123</f>
        <v>0</v>
      </c>
      <c r="I135" s="107">
        <v>0</v>
      </c>
      <c r="J135" s="108">
        <f>I135/I123</f>
        <v>0</v>
      </c>
      <c r="K135" s="109">
        <v>0</v>
      </c>
      <c r="L135" s="110">
        <f>K135/K123</f>
        <v>0</v>
      </c>
      <c r="M135" s="25">
        <v>0</v>
      </c>
      <c r="N135" s="111">
        <f>M135/M123</f>
        <v>0</v>
      </c>
      <c r="O135" s="154"/>
    </row>
    <row r="136" spans="1:15" ht="15" thickBot="1" x14ac:dyDescent="0.4">
      <c r="D136" s="26"/>
      <c r="F136" s="26"/>
      <c r="H136" s="26"/>
      <c r="J136" s="26"/>
      <c r="L136" s="26"/>
      <c r="N136" s="26"/>
    </row>
    <row r="137" spans="1:15" ht="14.5" customHeight="1" thickBot="1" x14ac:dyDescent="0.4">
      <c r="A137" t="s">
        <v>94</v>
      </c>
      <c r="B137" s="65" t="s">
        <v>166</v>
      </c>
      <c r="C137" s="66">
        <v>0</v>
      </c>
      <c r="D137" s="67"/>
      <c r="E137" s="66">
        <v>0</v>
      </c>
      <c r="F137" s="67"/>
      <c r="G137" s="66">
        <v>0</v>
      </c>
      <c r="H137" s="67"/>
      <c r="I137" s="66">
        <v>0</v>
      </c>
      <c r="J137" s="67"/>
      <c r="K137" s="66">
        <v>0</v>
      </c>
      <c r="L137" s="67"/>
      <c r="M137" s="68">
        <f>SUM(C137,E137,G137,I137,K137)</f>
        <v>0</v>
      </c>
      <c r="N137" s="67"/>
      <c r="O137" s="152" t="s">
        <v>95</v>
      </c>
    </row>
    <row r="138" spans="1:15" ht="15" thickBot="1" x14ac:dyDescent="0.4">
      <c r="A138" t="s">
        <v>94</v>
      </c>
      <c r="B138" s="69" t="s">
        <v>167</v>
      </c>
      <c r="C138" s="70">
        <v>15598.825019999989</v>
      </c>
      <c r="D138" s="71">
        <f>SUM(D140:D150)</f>
        <v>0.36650196362033455</v>
      </c>
      <c r="E138" s="70">
        <v>15598.825019999989</v>
      </c>
      <c r="F138" s="71">
        <f>SUM(F140:F150)</f>
        <v>0.36650196362033455</v>
      </c>
      <c r="G138" s="70">
        <v>15598.825019999989</v>
      </c>
      <c r="H138" s="71">
        <f>SUM(H140:H150)</f>
        <v>0.36650196362033455</v>
      </c>
      <c r="I138" s="70">
        <v>15598.825019999989</v>
      </c>
      <c r="J138" s="71">
        <f>SUM(J140:J150)</f>
        <v>0.36650196362033455</v>
      </c>
      <c r="K138" s="70">
        <v>15598.825019999989</v>
      </c>
      <c r="L138" s="71">
        <f>SUM(L140:L150)</f>
        <v>0.36650196362033455</v>
      </c>
      <c r="M138" s="70">
        <f>SUM(C138,E138,G138,I138,K138)</f>
        <v>77994.125099999947</v>
      </c>
      <c r="N138" s="71">
        <f>SUM(N140:N150)</f>
        <v>7.3300392724066896E-2</v>
      </c>
      <c r="O138" s="153"/>
    </row>
    <row r="139" spans="1:15" ht="15" thickBot="1" x14ac:dyDescent="0.4">
      <c r="A139" t="s">
        <v>94</v>
      </c>
      <c r="B139" s="72" t="s">
        <v>168</v>
      </c>
      <c r="C139" s="73"/>
      <c r="D139" s="74">
        <f>(SUM(D140:D150)+C137)/C138</f>
        <v>2.3495485278565861E-5</v>
      </c>
      <c r="E139" s="73"/>
      <c r="F139" s="74">
        <f>(SUM(F140:F150)+E137)/E138</f>
        <v>2.3495485278565861E-5</v>
      </c>
      <c r="G139" s="73"/>
      <c r="H139" s="74">
        <f>(SUM(H140:H150)+G137)/G138</f>
        <v>2.3495485278565861E-5</v>
      </c>
      <c r="I139" s="73"/>
      <c r="J139" s="74">
        <f>(SUM(J140:J150)+I137)/I138</f>
        <v>2.3495485278565861E-5</v>
      </c>
      <c r="K139" s="73"/>
      <c r="L139" s="74">
        <f>(SUM(L140:L150)+K137)/K138</f>
        <v>2.3495485278565861E-5</v>
      </c>
      <c r="M139" s="73"/>
      <c r="N139" s="74">
        <f>(SUM(N140:N150)+M137)/M138</f>
        <v>9.398194111426342E-7</v>
      </c>
      <c r="O139" s="153"/>
    </row>
    <row r="140" spans="1:15" x14ac:dyDescent="0.35">
      <c r="A140" t="s">
        <v>94</v>
      </c>
      <c r="B140" s="75" t="s">
        <v>169</v>
      </c>
      <c r="C140" s="76">
        <v>800</v>
      </c>
      <c r="D140" s="77">
        <f>C140/C138</f>
        <v>5.1285914097650452E-2</v>
      </c>
      <c r="E140" s="78">
        <v>800</v>
      </c>
      <c r="F140" s="79">
        <f>E140/E138</f>
        <v>5.1285914097650452E-2</v>
      </c>
      <c r="G140" s="80">
        <v>800</v>
      </c>
      <c r="H140" s="81">
        <f>G140/G138</f>
        <v>5.1285914097650452E-2</v>
      </c>
      <c r="I140" s="82">
        <v>800</v>
      </c>
      <c r="J140" s="83">
        <f>I140/I138</f>
        <v>5.1285914097650452E-2</v>
      </c>
      <c r="K140" s="84">
        <v>800</v>
      </c>
      <c r="L140" s="85">
        <f>K140/K138</f>
        <v>5.1285914097650452E-2</v>
      </c>
      <c r="M140" s="86">
        <v>800</v>
      </c>
      <c r="N140" s="87">
        <f>M140/M138</f>
        <v>1.025718281953009E-2</v>
      </c>
      <c r="O140" s="153"/>
    </row>
    <row r="141" spans="1:15" x14ac:dyDescent="0.35">
      <c r="A141" t="s">
        <v>94</v>
      </c>
      <c r="B141" s="75" t="s">
        <v>170</v>
      </c>
      <c r="C141" s="88">
        <v>0</v>
      </c>
      <c r="D141" s="77">
        <f>C141/C138</f>
        <v>0</v>
      </c>
      <c r="E141" s="90">
        <v>0</v>
      </c>
      <c r="F141" s="79">
        <f>E141/E138</f>
        <v>0</v>
      </c>
      <c r="G141" s="91">
        <v>0</v>
      </c>
      <c r="H141" s="81">
        <f>G141/G138</f>
        <v>0</v>
      </c>
      <c r="I141" s="92">
        <v>0</v>
      </c>
      <c r="J141" s="83">
        <f>I141/I138</f>
        <v>0</v>
      </c>
      <c r="K141" s="93">
        <v>0</v>
      </c>
      <c r="L141" s="85">
        <f>K141/K138</f>
        <v>0</v>
      </c>
      <c r="M141" s="23">
        <v>0</v>
      </c>
      <c r="N141" s="87">
        <f>M141/M138</f>
        <v>0</v>
      </c>
      <c r="O141" s="153"/>
    </row>
    <row r="142" spans="1:15" x14ac:dyDescent="0.35">
      <c r="A142" t="s">
        <v>94</v>
      </c>
      <c r="B142" s="75" t="s">
        <v>171</v>
      </c>
      <c r="C142" s="88">
        <v>104</v>
      </c>
      <c r="D142" s="77">
        <f>C142/C138</f>
        <v>6.6671688326945585E-3</v>
      </c>
      <c r="E142" s="90">
        <v>104</v>
      </c>
      <c r="F142" s="79">
        <f>E142/E138</f>
        <v>6.6671688326945585E-3</v>
      </c>
      <c r="G142" s="91">
        <v>104</v>
      </c>
      <c r="H142" s="81">
        <f>G142/G138</f>
        <v>6.6671688326945585E-3</v>
      </c>
      <c r="I142" s="92">
        <v>104</v>
      </c>
      <c r="J142" s="83">
        <f>I142/I138</f>
        <v>6.6671688326945585E-3</v>
      </c>
      <c r="K142" s="93">
        <v>104</v>
      </c>
      <c r="L142" s="85">
        <f>K142/K138</f>
        <v>6.6671688326945585E-3</v>
      </c>
      <c r="M142" s="23">
        <v>104</v>
      </c>
      <c r="N142" s="87">
        <f>M142/M138</f>
        <v>1.3334337665389117E-3</v>
      </c>
      <c r="O142" s="153"/>
    </row>
    <row r="143" spans="1:15" x14ac:dyDescent="0.35">
      <c r="A143" t="s">
        <v>94</v>
      </c>
      <c r="B143" s="75" t="s">
        <v>172</v>
      </c>
      <c r="C143" s="88">
        <v>0</v>
      </c>
      <c r="D143" s="77">
        <f>C143/C138</f>
        <v>0</v>
      </c>
      <c r="E143" s="90">
        <v>0</v>
      </c>
      <c r="F143" s="79">
        <f>E143/E138</f>
        <v>0</v>
      </c>
      <c r="G143" s="91">
        <v>0</v>
      </c>
      <c r="H143" s="81">
        <f>G143/G138</f>
        <v>0</v>
      </c>
      <c r="I143" s="92">
        <v>0</v>
      </c>
      <c r="J143" s="83">
        <f>I143/I138</f>
        <v>0</v>
      </c>
      <c r="K143" s="93">
        <v>0</v>
      </c>
      <c r="L143" s="85">
        <f>K143/K138</f>
        <v>0</v>
      </c>
      <c r="M143" s="23">
        <v>0</v>
      </c>
      <c r="N143" s="87">
        <f>M143/M138</f>
        <v>0</v>
      </c>
      <c r="O143" s="153"/>
    </row>
    <row r="144" spans="1:15" x14ac:dyDescent="0.35">
      <c r="A144" t="s">
        <v>94</v>
      </c>
      <c r="B144" s="75" t="s">
        <v>173</v>
      </c>
      <c r="C144" s="94">
        <v>3619</v>
      </c>
      <c r="D144" s="77">
        <f>C144/C138</f>
        <v>0.23200465389924621</v>
      </c>
      <c r="E144" s="95">
        <v>3619</v>
      </c>
      <c r="F144" s="79">
        <f>E144/E138</f>
        <v>0.23200465389924621</v>
      </c>
      <c r="G144" s="96">
        <v>3619</v>
      </c>
      <c r="H144" s="81">
        <f>G144/G138</f>
        <v>0.23200465389924621</v>
      </c>
      <c r="I144" s="97">
        <v>3619</v>
      </c>
      <c r="J144" s="83">
        <f>I144/I138</f>
        <v>0.23200465389924621</v>
      </c>
      <c r="K144" s="98">
        <v>3619</v>
      </c>
      <c r="L144" s="85">
        <f>K144/K138</f>
        <v>0.23200465389924621</v>
      </c>
      <c r="M144" s="99">
        <v>3619</v>
      </c>
      <c r="N144" s="87">
        <f>M144/M138</f>
        <v>4.6400930779849241E-2</v>
      </c>
      <c r="O144" s="153"/>
    </row>
    <row r="145" spans="1:15" x14ac:dyDescent="0.35">
      <c r="A145" t="s">
        <v>94</v>
      </c>
      <c r="B145" s="75" t="s">
        <v>174</v>
      </c>
      <c r="C145" s="88">
        <v>956</v>
      </c>
      <c r="D145" s="77">
        <f>C145/C138</f>
        <v>6.1286667346692289E-2</v>
      </c>
      <c r="E145" s="90">
        <v>956</v>
      </c>
      <c r="F145" s="79">
        <f>E145/E138</f>
        <v>6.1286667346692289E-2</v>
      </c>
      <c r="G145" s="91">
        <v>956</v>
      </c>
      <c r="H145" s="81">
        <f>G145/G138</f>
        <v>6.1286667346692289E-2</v>
      </c>
      <c r="I145" s="92">
        <v>956</v>
      </c>
      <c r="J145" s="83">
        <f>I145/I138</f>
        <v>6.1286667346692289E-2</v>
      </c>
      <c r="K145" s="93">
        <v>956</v>
      </c>
      <c r="L145" s="85">
        <f>K145/K138</f>
        <v>6.1286667346692289E-2</v>
      </c>
      <c r="M145" s="23">
        <v>956</v>
      </c>
      <c r="N145" s="87">
        <f>M145/M138</f>
        <v>1.2257333469338457E-2</v>
      </c>
      <c r="O145" s="153"/>
    </row>
    <row r="146" spans="1:15" x14ac:dyDescent="0.35">
      <c r="A146" t="s">
        <v>94</v>
      </c>
      <c r="B146" s="75" t="s">
        <v>175</v>
      </c>
      <c r="C146" s="88">
        <v>0</v>
      </c>
      <c r="D146" s="77">
        <f>C146/C138</f>
        <v>0</v>
      </c>
      <c r="E146" s="90">
        <v>0</v>
      </c>
      <c r="F146" s="79">
        <f>E146/E138</f>
        <v>0</v>
      </c>
      <c r="G146" s="91">
        <v>0</v>
      </c>
      <c r="H146" s="81">
        <f>G146/G138</f>
        <v>0</v>
      </c>
      <c r="I146" s="92">
        <v>0</v>
      </c>
      <c r="J146" s="83">
        <f>I146/I138</f>
        <v>0</v>
      </c>
      <c r="K146" s="93">
        <v>0</v>
      </c>
      <c r="L146" s="85">
        <f>K146/K138</f>
        <v>0</v>
      </c>
      <c r="M146" s="23">
        <v>0</v>
      </c>
      <c r="N146" s="87">
        <f>M146/M138</f>
        <v>0</v>
      </c>
      <c r="O146" s="153"/>
    </row>
    <row r="147" spans="1:15" x14ac:dyDescent="0.35">
      <c r="A147" t="s">
        <v>94</v>
      </c>
      <c r="B147" s="75" t="s">
        <v>176</v>
      </c>
      <c r="C147" s="88">
        <v>238</v>
      </c>
      <c r="D147" s="77">
        <f>C147/C138</f>
        <v>1.5257559444051008E-2</v>
      </c>
      <c r="E147" s="90">
        <v>238</v>
      </c>
      <c r="F147" s="79">
        <f>E147/E138</f>
        <v>1.5257559444051008E-2</v>
      </c>
      <c r="G147" s="91">
        <v>238</v>
      </c>
      <c r="H147" s="81">
        <f>G147/G138</f>
        <v>1.5257559444051008E-2</v>
      </c>
      <c r="I147" s="92">
        <v>238</v>
      </c>
      <c r="J147" s="83">
        <f>I147/I138</f>
        <v>1.5257559444051008E-2</v>
      </c>
      <c r="K147" s="93">
        <v>238</v>
      </c>
      <c r="L147" s="85">
        <f>K147/K138</f>
        <v>1.5257559444051008E-2</v>
      </c>
      <c r="M147" s="23">
        <v>238</v>
      </c>
      <c r="N147" s="87">
        <f>M147/M138</f>
        <v>3.0515118888102019E-3</v>
      </c>
      <c r="O147" s="153"/>
    </row>
    <row r="148" spans="1:15" x14ac:dyDescent="0.35">
      <c r="A148" t="s">
        <v>94</v>
      </c>
      <c r="B148" s="75" t="s">
        <v>177</v>
      </c>
      <c r="C148" s="88">
        <v>0</v>
      </c>
      <c r="D148" s="77">
        <f>C148/C138</f>
        <v>0</v>
      </c>
      <c r="E148" s="90">
        <v>0</v>
      </c>
      <c r="F148" s="79">
        <f>E148/E138</f>
        <v>0</v>
      </c>
      <c r="G148" s="91">
        <v>0</v>
      </c>
      <c r="H148" s="81">
        <f>G148/G138</f>
        <v>0</v>
      </c>
      <c r="I148" s="92">
        <v>0</v>
      </c>
      <c r="J148" s="83">
        <f>I148/I138</f>
        <v>0</v>
      </c>
      <c r="K148" s="93">
        <v>0</v>
      </c>
      <c r="L148" s="85">
        <f>K148/K138</f>
        <v>0</v>
      </c>
      <c r="M148" s="23">
        <v>0</v>
      </c>
      <c r="N148" s="87">
        <f>M148/M138</f>
        <v>0</v>
      </c>
      <c r="O148" s="153"/>
    </row>
    <row r="149" spans="1:15" x14ac:dyDescent="0.35">
      <c r="A149" t="s">
        <v>94</v>
      </c>
      <c r="B149" s="75" t="s">
        <v>178</v>
      </c>
      <c r="C149" s="88">
        <v>0</v>
      </c>
      <c r="D149" s="77">
        <f>C149/C138</f>
        <v>0</v>
      </c>
      <c r="E149" s="90">
        <v>0</v>
      </c>
      <c r="F149" s="79">
        <f>E149/E138</f>
        <v>0</v>
      </c>
      <c r="G149" s="91">
        <v>0</v>
      </c>
      <c r="H149" s="81">
        <f>G149/G138</f>
        <v>0</v>
      </c>
      <c r="I149" s="92">
        <v>0</v>
      </c>
      <c r="J149" s="83">
        <f>I149/I138</f>
        <v>0</v>
      </c>
      <c r="K149" s="93">
        <v>0</v>
      </c>
      <c r="L149" s="85">
        <f>K149/K138</f>
        <v>0</v>
      </c>
      <c r="M149" s="23">
        <v>0</v>
      </c>
      <c r="N149" s="87">
        <f>M149/M138</f>
        <v>0</v>
      </c>
      <c r="O149" s="153"/>
    </row>
    <row r="150" spans="1:15" ht="15" thickBot="1" x14ac:dyDescent="0.4">
      <c r="A150" t="s">
        <v>94</v>
      </c>
      <c r="B150" s="100" t="s">
        <v>179</v>
      </c>
      <c r="C150" s="101">
        <v>0</v>
      </c>
      <c r="D150" s="113">
        <f t="shared" ref="D150" si="19">C150/$C$33</f>
        <v>0</v>
      </c>
      <c r="E150" s="103">
        <v>0</v>
      </c>
      <c r="F150" s="104">
        <f>E150/E138</f>
        <v>0</v>
      </c>
      <c r="G150" s="105">
        <v>0</v>
      </c>
      <c r="H150" s="106">
        <f>G150/G138</f>
        <v>0</v>
      </c>
      <c r="I150" s="107">
        <v>0</v>
      </c>
      <c r="J150" s="108">
        <f>I150/I138</f>
        <v>0</v>
      </c>
      <c r="K150" s="109">
        <v>0</v>
      </c>
      <c r="L150" s="110">
        <f>K150/K138</f>
        <v>0</v>
      </c>
      <c r="M150" s="25">
        <v>0</v>
      </c>
      <c r="N150" s="111">
        <f>M150/M138</f>
        <v>0</v>
      </c>
      <c r="O150" s="154"/>
    </row>
    <row r="151" spans="1:15" ht="15" thickBot="1" x14ac:dyDescent="0.4">
      <c r="B151" s="24"/>
    </row>
    <row r="152" spans="1:15" ht="14.5" customHeight="1" thickBot="1" x14ac:dyDescent="0.4">
      <c r="A152" t="s">
        <v>96</v>
      </c>
      <c r="B152" s="65" t="s">
        <v>166</v>
      </c>
      <c r="C152" s="66">
        <v>0</v>
      </c>
      <c r="D152" s="67"/>
      <c r="E152" s="66">
        <v>0</v>
      </c>
      <c r="F152" s="67"/>
      <c r="G152" s="66">
        <v>0</v>
      </c>
      <c r="H152" s="67"/>
      <c r="I152" s="66">
        <v>0</v>
      </c>
      <c r="J152" s="67"/>
      <c r="K152" s="66">
        <v>0</v>
      </c>
      <c r="L152" s="67"/>
      <c r="M152" s="68">
        <f>SUM(C152,E152,G152,I152,K152)</f>
        <v>0</v>
      </c>
      <c r="N152" s="67"/>
      <c r="O152" s="152" t="s">
        <v>97</v>
      </c>
    </row>
    <row r="153" spans="1:15" ht="15" thickBot="1" x14ac:dyDescent="0.4">
      <c r="A153" t="s">
        <v>96</v>
      </c>
      <c r="B153" s="69" t="s">
        <v>167</v>
      </c>
      <c r="C153" s="70">
        <v>15598.825019999989</v>
      </c>
      <c r="D153" s="71">
        <f>SUM(D155:D165)</f>
        <v>0.36650196362033455</v>
      </c>
      <c r="E153" s="70">
        <v>15598.825019999989</v>
      </c>
      <c r="F153" s="71">
        <f>SUM(F155:F165)</f>
        <v>0.36650196362033455</v>
      </c>
      <c r="G153" s="70">
        <v>15598.825019999989</v>
      </c>
      <c r="H153" s="71">
        <f>SUM(H155:H165)</f>
        <v>0.36650196362033455</v>
      </c>
      <c r="I153" s="70">
        <v>15598.825019999989</v>
      </c>
      <c r="J153" s="71">
        <f>SUM(J155:J165)</f>
        <v>0.36650196362033455</v>
      </c>
      <c r="K153" s="70">
        <v>15598.825019999989</v>
      </c>
      <c r="L153" s="71">
        <f>SUM(L155:L165)</f>
        <v>0.36650196362033455</v>
      </c>
      <c r="M153" s="70">
        <f>SUM(C153,E153,G153,I153,K153)</f>
        <v>77994.125099999947</v>
      </c>
      <c r="N153" s="71">
        <f>SUM(N155:N165)</f>
        <v>7.3300392724066896E-2</v>
      </c>
      <c r="O153" s="153"/>
    </row>
    <row r="154" spans="1:15" ht="15" thickBot="1" x14ac:dyDescent="0.4">
      <c r="A154" t="s">
        <v>96</v>
      </c>
      <c r="B154" s="72" t="s">
        <v>168</v>
      </c>
      <c r="C154" s="73"/>
      <c r="D154" s="74">
        <f>(SUM(D155:D165)+C152)/C153</f>
        <v>2.3495485278565861E-5</v>
      </c>
      <c r="E154" s="73"/>
      <c r="F154" s="74">
        <f>(SUM(F155:F165)+E152)/E153</f>
        <v>2.3495485278565861E-5</v>
      </c>
      <c r="G154" s="73"/>
      <c r="H154" s="74">
        <f>(SUM(H155:H165)+G152)/G153</f>
        <v>2.3495485278565861E-5</v>
      </c>
      <c r="I154" s="73"/>
      <c r="J154" s="74">
        <f>(SUM(J155:J165)+I152)/I153</f>
        <v>2.3495485278565861E-5</v>
      </c>
      <c r="K154" s="73"/>
      <c r="L154" s="74">
        <f>(SUM(L155:L165)+K152)/K153</f>
        <v>2.3495485278565861E-5</v>
      </c>
      <c r="M154" s="73"/>
      <c r="N154" s="74">
        <f>(SUM(N155:N165)+M152)/M153</f>
        <v>9.398194111426342E-7</v>
      </c>
      <c r="O154" s="153"/>
    </row>
    <row r="155" spans="1:15" x14ac:dyDescent="0.35">
      <c r="A155" t="s">
        <v>96</v>
      </c>
      <c r="B155" s="75" t="s">
        <v>169</v>
      </c>
      <c r="C155" s="76">
        <v>800</v>
      </c>
      <c r="D155" s="77">
        <f>C155/C153</f>
        <v>5.1285914097650452E-2</v>
      </c>
      <c r="E155" s="78">
        <v>800</v>
      </c>
      <c r="F155" s="79">
        <f>E155/E153</f>
        <v>5.1285914097650452E-2</v>
      </c>
      <c r="G155" s="80">
        <v>800</v>
      </c>
      <c r="H155" s="81">
        <f>G155/G153</f>
        <v>5.1285914097650452E-2</v>
      </c>
      <c r="I155" s="82">
        <v>800</v>
      </c>
      <c r="J155" s="83">
        <f>I155/I153</f>
        <v>5.1285914097650452E-2</v>
      </c>
      <c r="K155" s="84">
        <v>800</v>
      </c>
      <c r="L155" s="85">
        <f>K155/K153</f>
        <v>5.1285914097650452E-2</v>
      </c>
      <c r="M155" s="86">
        <v>800</v>
      </c>
      <c r="N155" s="87">
        <f>M155/M153</f>
        <v>1.025718281953009E-2</v>
      </c>
      <c r="O155" s="153"/>
    </row>
    <row r="156" spans="1:15" x14ac:dyDescent="0.35">
      <c r="A156" t="s">
        <v>96</v>
      </c>
      <c r="B156" s="75" t="s">
        <v>170</v>
      </c>
      <c r="C156" s="88">
        <v>0</v>
      </c>
      <c r="D156" s="77">
        <f>C156/C153</f>
        <v>0</v>
      </c>
      <c r="E156" s="90">
        <v>0</v>
      </c>
      <c r="F156" s="79">
        <f>E156/E153</f>
        <v>0</v>
      </c>
      <c r="G156" s="91">
        <v>0</v>
      </c>
      <c r="H156" s="81">
        <f>G156/G153</f>
        <v>0</v>
      </c>
      <c r="I156" s="92">
        <v>0</v>
      </c>
      <c r="J156" s="83">
        <f>I156/I153</f>
        <v>0</v>
      </c>
      <c r="K156" s="93">
        <v>0</v>
      </c>
      <c r="L156" s="85">
        <f>K156/K153</f>
        <v>0</v>
      </c>
      <c r="M156" s="23">
        <v>0</v>
      </c>
      <c r="N156" s="87">
        <f>M156/M153</f>
        <v>0</v>
      </c>
      <c r="O156" s="153"/>
    </row>
    <row r="157" spans="1:15" x14ac:dyDescent="0.35">
      <c r="A157" t="s">
        <v>96</v>
      </c>
      <c r="B157" s="75" t="s">
        <v>171</v>
      </c>
      <c r="C157" s="88">
        <v>104</v>
      </c>
      <c r="D157" s="77">
        <f>C157/C153</f>
        <v>6.6671688326945585E-3</v>
      </c>
      <c r="E157" s="90">
        <v>104</v>
      </c>
      <c r="F157" s="79">
        <f>E157/E153</f>
        <v>6.6671688326945585E-3</v>
      </c>
      <c r="G157" s="91">
        <v>104</v>
      </c>
      <c r="H157" s="81">
        <f>G157/G153</f>
        <v>6.6671688326945585E-3</v>
      </c>
      <c r="I157" s="92">
        <v>104</v>
      </c>
      <c r="J157" s="83">
        <f>I157/I153</f>
        <v>6.6671688326945585E-3</v>
      </c>
      <c r="K157" s="93">
        <v>104</v>
      </c>
      <c r="L157" s="85">
        <f>K157/K153</f>
        <v>6.6671688326945585E-3</v>
      </c>
      <c r="M157" s="23">
        <v>104</v>
      </c>
      <c r="N157" s="87">
        <f>M157/M153</f>
        <v>1.3334337665389117E-3</v>
      </c>
      <c r="O157" s="153"/>
    </row>
    <row r="158" spans="1:15" x14ac:dyDescent="0.35">
      <c r="A158" t="s">
        <v>96</v>
      </c>
      <c r="B158" s="75" t="s">
        <v>172</v>
      </c>
      <c r="C158" s="88">
        <v>0</v>
      </c>
      <c r="D158" s="77">
        <f>C158/C153</f>
        <v>0</v>
      </c>
      <c r="E158" s="90">
        <v>0</v>
      </c>
      <c r="F158" s="79">
        <f>E158/E153</f>
        <v>0</v>
      </c>
      <c r="G158" s="91">
        <v>0</v>
      </c>
      <c r="H158" s="81">
        <f>G158/G153</f>
        <v>0</v>
      </c>
      <c r="I158" s="92">
        <v>0</v>
      </c>
      <c r="J158" s="83">
        <f>I158/I153</f>
        <v>0</v>
      </c>
      <c r="K158" s="93">
        <v>0</v>
      </c>
      <c r="L158" s="85">
        <f>K158/K153</f>
        <v>0</v>
      </c>
      <c r="M158" s="23">
        <v>0</v>
      </c>
      <c r="N158" s="87">
        <f>M158/M153</f>
        <v>0</v>
      </c>
      <c r="O158" s="153"/>
    </row>
    <row r="159" spans="1:15" x14ac:dyDescent="0.35">
      <c r="A159" t="s">
        <v>96</v>
      </c>
      <c r="B159" s="75" t="s">
        <v>173</v>
      </c>
      <c r="C159" s="94">
        <v>3619</v>
      </c>
      <c r="D159" s="77">
        <f>C159/C153</f>
        <v>0.23200465389924621</v>
      </c>
      <c r="E159" s="95">
        <v>3619</v>
      </c>
      <c r="F159" s="79">
        <f>E159/E153</f>
        <v>0.23200465389924621</v>
      </c>
      <c r="G159" s="96">
        <v>3619</v>
      </c>
      <c r="H159" s="81">
        <f>G159/G153</f>
        <v>0.23200465389924621</v>
      </c>
      <c r="I159" s="97">
        <v>3619</v>
      </c>
      <c r="J159" s="83">
        <f>I159/I153</f>
        <v>0.23200465389924621</v>
      </c>
      <c r="K159" s="98">
        <v>3619</v>
      </c>
      <c r="L159" s="85">
        <f>K159/K153</f>
        <v>0.23200465389924621</v>
      </c>
      <c r="M159" s="99">
        <v>3619</v>
      </c>
      <c r="N159" s="87">
        <f>M159/M153</f>
        <v>4.6400930779849241E-2</v>
      </c>
      <c r="O159" s="153"/>
    </row>
    <row r="160" spans="1:15" x14ac:dyDescent="0.35">
      <c r="A160" t="s">
        <v>96</v>
      </c>
      <c r="B160" s="75" t="s">
        <v>174</v>
      </c>
      <c r="C160" s="88">
        <v>956</v>
      </c>
      <c r="D160" s="77">
        <f>C160/C153</f>
        <v>6.1286667346692289E-2</v>
      </c>
      <c r="E160" s="90">
        <v>956</v>
      </c>
      <c r="F160" s="79">
        <f>E160/E153</f>
        <v>6.1286667346692289E-2</v>
      </c>
      <c r="G160" s="91">
        <v>956</v>
      </c>
      <c r="H160" s="81">
        <f>G160/G153</f>
        <v>6.1286667346692289E-2</v>
      </c>
      <c r="I160" s="92">
        <v>956</v>
      </c>
      <c r="J160" s="83">
        <f>I160/I153</f>
        <v>6.1286667346692289E-2</v>
      </c>
      <c r="K160" s="93">
        <v>956</v>
      </c>
      <c r="L160" s="85">
        <f>K160/K153</f>
        <v>6.1286667346692289E-2</v>
      </c>
      <c r="M160" s="23">
        <v>956</v>
      </c>
      <c r="N160" s="87">
        <f>M160/M153</f>
        <v>1.2257333469338457E-2</v>
      </c>
      <c r="O160" s="153"/>
    </row>
    <row r="161" spans="1:15" x14ac:dyDescent="0.35">
      <c r="A161" t="s">
        <v>96</v>
      </c>
      <c r="B161" s="75" t="s">
        <v>175</v>
      </c>
      <c r="C161" s="88">
        <v>0</v>
      </c>
      <c r="D161" s="77">
        <f>C161/C153</f>
        <v>0</v>
      </c>
      <c r="E161" s="90">
        <v>0</v>
      </c>
      <c r="F161" s="79">
        <f>E161/E153</f>
        <v>0</v>
      </c>
      <c r="G161" s="91">
        <v>0</v>
      </c>
      <c r="H161" s="81">
        <f>G161/G153</f>
        <v>0</v>
      </c>
      <c r="I161" s="92">
        <v>0</v>
      </c>
      <c r="J161" s="83">
        <f>I161/I153</f>
        <v>0</v>
      </c>
      <c r="K161" s="93">
        <v>0</v>
      </c>
      <c r="L161" s="85">
        <f>K161/K153</f>
        <v>0</v>
      </c>
      <c r="M161" s="23">
        <v>0</v>
      </c>
      <c r="N161" s="87">
        <f>M161/M153</f>
        <v>0</v>
      </c>
      <c r="O161" s="153"/>
    </row>
    <row r="162" spans="1:15" x14ac:dyDescent="0.35">
      <c r="A162" t="s">
        <v>96</v>
      </c>
      <c r="B162" s="75" t="s">
        <v>176</v>
      </c>
      <c r="C162" s="88">
        <v>238</v>
      </c>
      <c r="D162" s="77">
        <f>C162/C153</f>
        <v>1.5257559444051008E-2</v>
      </c>
      <c r="E162" s="90">
        <v>238</v>
      </c>
      <c r="F162" s="79">
        <f>E162/E153</f>
        <v>1.5257559444051008E-2</v>
      </c>
      <c r="G162" s="91">
        <v>238</v>
      </c>
      <c r="H162" s="81">
        <f>G162/G153</f>
        <v>1.5257559444051008E-2</v>
      </c>
      <c r="I162" s="92">
        <v>238</v>
      </c>
      <c r="J162" s="83">
        <f>I162/I153</f>
        <v>1.5257559444051008E-2</v>
      </c>
      <c r="K162" s="93">
        <v>238</v>
      </c>
      <c r="L162" s="85">
        <f>K162/K153</f>
        <v>1.5257559444051008E-2</v>
      </c>
      <c r="M162" s="23">
        <v>238</v>
      </c>
      <c r="N162" s="87">
        <f>M162/M153</f>
        <v>3.0515118888102019E-3</v>
      </c>
      <c r="O162" s="153"/>
    </row>
    <row r="163" spans="1:15" x14ac:dyDescent="0.35">
      <c r="A163" t="s">
        <v>96</v>
      </c>
      <c r="B163" s="75" t="s">
        <v>177</v>
      </c>
      <c r="C163" s="88">
        <v>0</v>
      </c>
      <c r="D163" s="77">
        <f>C163/C153</f>
        <v>0</v>
      </c>
      <c r="E163" s="90">
        <v>0</v>
      </c>
      <c r="F163" s="79">
        <f>E163/E153</f>
        <v>0</v>
      </c>
      <c r="G163" s="91">
        <v>0</v>
      </c>
      <c r="H163" s="81">
        <f>G163/G153</f>
        <v>0</v>
      </c>
      <c r="I163" s="92">
        <v>0</v>
      </c>
      <c r="J163" s="83">
        <f>I163/I153</f>
        <v>0</v>
      </c>
      <c r="K163" s="93">
        <v>0</v>
      </c>
      <c r="L163" s="85">
        <f>K163/K153</f>
        <v>0</v>
      </c>
      <c r="M163" s="23">
        <v>0</v>
      </c>
      <c r="N163" s="87">
        <f>M163/M153</f>
        <v>0</v>
      </c>
      <c r="O163" s="153"/>
    </row>
    <row r="164" spans="1:15" x14ac:dyDescent="0.35">
      <c r="A164" t="s">
        <v>96</v>
      </c>
      <c r="B164" s="75" t="s">
        <v>178</v>
      </c>
      <c r="C164" s="88">
        <v>0</v>
      </c>
      <c r="D164" s="77">
        <f>C164/C153</f>
        <v>0</v>
      </c>
      <c r="E164" s="90">
        <v>0</v>
      </c>
      <c r="F164" s="79">
        <f>E164/E153</f>
        <v>0</v>
      </c>
      <c r="G164" s="91">
        <v>0</v>
      </c>
      <c r="H164" s="81">
        <f>G164/G153</f>
        <v>0</v>
      </c>
      <c r="I164" s="92">
        <v>0</v>
      </c>
      <c r="J164" s="83">
        <f>I164/I153</f>
        <v>0</v>
      </c>
      <c r="K164" s="93">
        <v>0</v>
      </c>
      <c r="L164" s="85">
        <f>K164/K153</f>
        <v>0</v>
      </c>
      <c r="M164" s="23">
        <v>0</v>
      </c>
      <c r="N164" s="87">
        <f>M164/M153</f>
        <v>0</v>
      </c>
      <c r="O164" s="153"/>
    </row>
    <row r="165" spans="1:15" ht="15" thickBot="1" x14ac:dyDescent="0.4">
      <c r="A165" t="s">
        <v>96</v>
      </c>
      <c r="B165" s="100" t="s">
        <v>179</v>
      </c>
      <c r="C165" s="101">
        <v>0</v>
      </c>
      <c r="D165" s="113">
        <f t="shared" ref="D165" si="20">C165/$C$33</f>
        <v>0</v>
      </c>
      <c r="E165" s="103">
        <v>0</v>
      </c>
      <c r="F165" s="104">
        <f>E165/E153</f>
        <v>0</v>
      </c>
      <c r="G165" s="105">
        <v>0</v>
      </c>
      <c r="H165" s="106">
        <f>G165/G153</f>
        <v>0</v>
      </c>
      <c r="I165" s="107">
        <v>0</v>
      </c>
      <c r="J165" s="108">
        <f>I165/I153</f>
        <v>0</v>
      </c>
      <c r="K165" s="109">
        <v>0</v>
      </c>
      <c r="L165" s="110">
        <f>K165/K153</f>
        <v>0</v>
      </c>
      <c r="M165" s="25">
        <v>0</v>
      </c>
      <c r="N165" s="111">
        <f>M165/M153</f>
        <v>0</v>
      </c>
      <c r="O165" s="154"/>
    </row>
    <row r="166" spans="1:15" ht="15" thickBot="1" x14ac:dyDescent="0.4">
      <c r="D166" s="26"/>
      <c r="F166" s="26"/>
      <c r="H166" s="26"/>
      <c r="J166" s="26"/>
      <c r="L166" s="26"/>
      <c r="N166" s="26"/>
    </row>
    <row r="167" spans="1:15" ht="14.5" customHeight="1" thickBot="1" x14ac:dyDescent="0.4">
      <c r="A167" t="s">
        <v>98</v>
      </c>
      <c r="B167" s="65" t="s">
        <v>166</v>
      </c>
      <c r="C167" s="66">
        <v>0</v>
      </c>
      <c r="D167" s="67"/>
      <c r="E167" s="66">
        <v>0</v>
      </c>
      <c r="F167" s="67"/>
      <c r="G167" s="66">
        <v>0</v>
      </c>
      <c r="H167" s="67"/>
      <c r="I167" s="66">
        <v>0</v>
      </c>
      <c r="J167" s="67"/>
      <c r="K167" s="66">
        <v>0</v>
      </c>
      <c r="L167" s="67"/>
      <c r="M167" s="68">
        <f>SUM(C167,E167,G167,I167,K167)</f>
        <v>0</v>
      </c>
      <c r="N167" s="67"/>
      <c r="O167" s="152" t="s">
        <v>99</v>
      </c>
    </row>
    <row r="168" spans="1:15" ht="15" thickBot="1" x14ac:dyDescent="0.4">
      <c r="A168" t="s">
        <v>98</v>
      </c>
      <c r="B168" s="69" t="s">
        <v>167</v>
      </c>
      <c r="C168" s="70">
        <v>15598.825019999989</v>
      </c>
      <c r="D168" s="71">
        <f>SUM(D170:D180)</f>
        <v>0.36650196362033455</v>
      </c>
      <c r="E168" s="70">
        <v>15598.825019999989</v>
      </c>
      <c r="F168" s="71">
        <f>SUM(F170:F180)</f>
        <v>0.36650196362033455</v>
      </c>
      <c r="G168" s="70">
        <v>15598.825019999989</v>
      </c>
      <c r="H168" s="71">
        <f>SUM(H170:H180)</f>
        <v>0.36650196362033455</v>
      </c>
      <c r="I168" s="70">
        <v>15598.825019999989</v>
      </c>
      <c r="J168" s="71">
        <f>SUM(J170:J180)</f>
        <v>0.36650196362033455</v>
      </c>
      <c r="K168" s="70">
        <v>15598.825019999989</v>
      </c>
      <c r="L168" s="71">
        <f>SUM(L170:L180)</f>
        <v>0.36650196362033455</v>
      </c>
      <c r="M168" s="70">
        <f>SUM(C168,E168,G168,I168,K168)</f>
        <v>77994.125099999947</v>
      </c>
      <c r="N168" s="71">
        <f>SUM(N170:N180)</f>
        <v>7.3300392724066896E-2</v>
      </c>
      <c r="O168" s="153"/>
    </row>
    <row r="169" spans="1:15" ht="15" thickBot="1" x14ac:dyDescent="0.4">
      <c r="A169" t="s">
        <v>98</v>
      </c>
      <c r="B169" s="72" t="s">
        <v>168</v>
      </c>
      <c r="C169" s="73"/>
      <c r="D169" s="74">
        <f>(SUM(D170:D180)+C167)/C168</f>
        <v>2.3495485278565861E-5</v>
      </c>
      <c r="E169" s="73"/>
      <c r="F169" s="74">
        <f>(SUM(F170:F180)+E167)/E168</f>
        <v>2.3495485278565861E-5</v>
      </c>
      <c r="G169" s="73"/>
      <c r="H169" s="74">
        <f>(SUM(H170:H180)+G167)/G168</f>
        <v>2.3495485278565861E-5</v>
      </c>
      <c r="I169" s="73"/>
      <c r="J169" s="74">
        <f>(SUM(J170:J180)+I167)/I168</f>
        <v>2.3495485278565861E-5</v>
      </c>
      <c r="K169" s="73"/>
      <c r="L169" s="74">
        <f>(SUM(L170:L180)+K167)/K168</f>
        <v>2.3495485278565861E-5</v>
      </c>
      <c r="M169" s="73"/>
      <c r="N169" s="74">
        <f>(SUM(N170:N180)+M167)/M168</f>
        <v>9.398194111426342E-7</v>
      </c>
      <c r="O169" s="153"/>
    </row>
    <row r="170" spans="1:15" x14ac:dyDescent="0.35">
      <c r="A170" t="s">
        <v>98</v>
      </c>
      <c r="B170" s="75" t="s">
        <v>169</v>
      </c>
      <c r="C170" s="76">
        <v>800</v>
      </c>
      <c r="D170" s="77">
        <f>C170/C168</f>
        <v>5.1285914097650452E-2</v>
      </c>
      <c r="E170" s="78">
        <v>800</v>
      </c>
      <c r="F170" s="79">
        <f>E170/E168</f>
        <v>5.1285914097650452E-2</v>
      </c>
      <c r="G170" s="80">
        <v>800</v>
      </c>
      <c r="H170" s="81">
        <f>G170/G168</f>
        <v>5.1285914097650452E-2</v>
      </c>
      <c r="I170" s="82">
        <v>800</v>
      </c>
      <c r="J170" s="83">
        <f>I170/I168</f>
        <v>5.1285914097650452E-2</v>
      </c>
      <c r="K170" s="84">
        <v>800</v>
      </c>
      <c r="L170" s="85">
        <f>K170/K168</f>
        <v>5.1285914097650452E-2</v>
      </c>
      <c r="M170" s="86">
        <v>800</v>
      </c>
      <c r="N170" s="87">
        <f>M170/M168</f>
        <v>1.025718281953009E-2</v>
      </c>
      <c r="O170" s="153"/>
    </row>
    <row r="171" spans="1:15" x14ac:dyDescent="0.35">
      <c r="A171" t="s">
        <v>98</v>
      </c>
      <c r="B171" s="75" t="s">
        <v>170</v>
      </c>
      <c r="C171" s="88">
        <v>0</v>
      </c>
      <c r="D171" s="77">
        <f>C171/C168</f>
        <v>0</v>
      </c>
      <c r="E171" s="90">
        <v>0</v>
      </c>
      <c r="F171" s="79">
        <f>E171/E168</f>
        <v>0</v>
      </c>
      <c r="G171" s="91">
        <v>0</v>
      </c>
      <c r="H171" s="81">
        <f>G171/G168</f>
        <v>0</v>
      </c>
      <c r="I171" s="92">
        <v>0</v>
      </c>
      <c r="J171" s="83">
        <f>I171/I168</f>
        <v>0</v>
      </c>
      <c r="K171" s="93">
        <v>0</v>
      </c>
      <c r="L171" s="85">
        <f>K171/K168</f>
        <v>0</v>
      </c>
      <c r="M171" s="23">
        <v>0</v>
      </c>
      <c r="N171" s="87">
        <f>M171/M168</f>
        <v>0</v>
      </c>
      <c r="O171" s="153"/>
    </row>
    <row r="172" spans="1:15" x14ac:dyDescent="0.35">
      <c r="A172" t="s">
        <v>98</v>
      </c>
      <c r="B172" s="75" t="s">
        <v>171</v>
      </c>
      <c r="C172" s="88">
        <v>104</v>
      </c>
      <c r="D172" s="77">
        <f>C172/C168</f>
        <v>6.6671688326945585E-3</v>
      </c>
      <c r="E172" s="90">
        <v>104</v>
      </c>
      <c r="F172" s="79">
        <f>E172/E168</f>
        <v>6.6671688326945585E-3</v>
      </c>
      <c r="G172" s="91">
        <v>104</v>
      </c>
      <c r="H172" s="81">
        <f>G172/G168</f>
        <v>6.6671688326945585E-3</v>
      </c>
      <c r="I172" s="92">
        <v>104</v>
      </c>
      <c r="J172" s="83">
        <f>I172/I168</f>
        <v>6.6671688326945585E-3</v>
      </c>
      <c r="K172" s="93">
        <v>104</v>
      </c>
      <c r="L172" s="85">
        <f>K172/K168</f>
        <v>6.6671688326945585E-3</v>
      </c>
      <c r="M172" s="23">
        <v>104</v>
      </c>
      <c r="N172" s="87">
        <f>M172/M168</f>
        <v>1.3334337665389117E-3</v>
      </c>
      <c r="O172" s="153"/>
    </row>
    <row r="173" spans="1:15" x14ac:dyDescent="0.35">
      <c r="A173" t="s">
        <v>98</v>
      </c>
      <c r="B173" s="75" t="s">
        <v>172</v>
      </c>
      <c r="C173" s="88">
        <v>0</v>
      </c>
      <c r="D173" s="77">
        <f>C173/C168</f>
        <v>0</v>
      </c>
      <c r="E173" s="90">
        <v>0</v>
      </c>
      <c r="F173" s="79">
        <f>E173/E168</f>
        <v>0</v>
      </c>
      <c r="G173" s="91">
        <v>0</v>
      </c>
      <c r="H173" s="81">
        <f>G173/G168</f>
        <v>0</v>
      </c>
      <c r="I173" s="92">
        <v>0</v>
      </c>
      <c r="J173" s="83">
        <f>I173/I168</f>
        <v>0</v>
      </c>
      <c r="K173" s="93">
        <v>0</v>
      </c>
      <c r="L173" s="85">
        <f>K173/K168</f>
        <v>0</v>
      </c>
      <c r="M173" s="23">
        <v>0</v>
      </c>
      <c r="N173" s="87">
        <f>M173/M168</f>
        <v>0</v>
      </c>
      <c r="O173" s="153"/>
    </row>
    <row r="174" spans="1:15" x14ac:dyDescent="0.35">
      <c r="A174" t="s">
        <v>98</v>
      </c>
      <c r="B174" s="75" t="s">
        <v>173</v>
      </c>
      <c r="C174" s="94">
        <v>3619</v>
      </c>
      <c r="D174" s="77">
        <f>C174/C168</f>
        <v>0.23200465389924621</v>
      </c>
      <c r="E174" s="95">
        <v>3619</v>
      </c>
      <c r="F174" s="79">
        <f>E174/E168</f>
        <v>0.23200465389924621</v>
      </c>
      <c r="G174" s="96">
        <v>3619</v>
      </c>
      <c r="H174" s="81">
        <f>G174/G168</f>
        <v>0.23200465389924621</v>
      </c>
      <c r="I174" s="97">
        <v>3619</v>
      </c>
      <c r="J174" s="83">
        <f>I174/I168</f>
        <v>0.23200465389924621</v>
      </c>
      <c r="K174" s="98">
        <v>3619</v>
      </c>
      <c r="L174" s="85">
        <f>K174/K168</f>
        <v>0.23200465389924621</v>
      </c>
      <c r="M174" s="99">
        <v>3619</v>
      </c>
      <c r="N174" s="87">
        <f>M174/M168</f>
        <v>4.6400930779849241E-2</v>
      </c>
      <c r="O174" s="153"/>
    </row>
    <row r="175" spans="1:15" x14ac:dyDescent="0.35">
      <c r="A175" t="s">
        <v>98</v>
      </c>
      <c r="B175" s="75" t="s">
        <v>174</v>
      </c>
      <c r="C175" s="88">
        <v>956</v>
      </c>
      <c r="D175" s="77">
        <f>C175/C168</f>
        <v>6.1286667346692289E-2</v>
      </c>
      <c r="E175" s="90">
        <v>956</v>
      </c>
      <c r="F175" s="79">
        <f>E175/E168</f>
        <v>6.1286667346692289E-2</v>
      </c>
      <c r="G175" s="91">
        <v>956</v>
      </c>
      <c r="H175" s="81">
        <f>G175/G168</f>
        <v>6.1286667346692289E-2</v>
      </c>
      <c r="I175" s="92">
        <v>956</v>
      </c>
      <c r="J175" s="83">
        <f>I175/I168</f>
        <v>6.1286667346692289E-2</v>
      </c>
      <c r="K175" s="93">
        <v>956</v>
      </c>
      <c r="L175" s="85">
        <f>K175/K168</f>
        <v>6.1286667346692289E-2</v>
      </c>
      <c r="M175" s="23">
        <v>956</v>
      </c>
      <c r="N175" s="87">
        <f>M175/M168</f>
        <v>1.2257333469338457E-2</v>
      </c>
      <c r="O175" s="153"/>
    </row>
    <row r="176" spans="1:15" x14ac:dyDescent="0.35">
      <c r="A176" t="s">
        <v>98</v>
      </c>
      <c r="B176" s="75" t="s">
        <v>175</v>
      </c>
      <c r="C176" s="88">
        <v>0</v>
      </c>
      <c r="D176" s="77">
        <f>C176/C168</f>
        <v>0</v>
      </c>
      <c r="E176" s="90">
        <v>0</v>
      </c>
      <c r="F176" s="79">
        <f>E176/E168</f>
        <v>0</v>
      </c>
      <c r="G176" s="91">
        <v>0</v>
      </c>
      <c r="H176" s="81">
        <f>G176/G168</f>
        <v>0</v>
      </c>
      <c r="I176" s="92">
        <v>0</v>
      </c>
      <c r="J176" s="83">
        <f>I176/I168</f>
        <v>0</v>
      </c>
      <c r="K176" s="93">
        <v>0</v>
      </c>
      <c r="L176" s="85">
        <f>K176/K168</f>
        <v>0</v>
      </c>
      <c r="M176" s="23">
        <v>0</v>
      </c>
      <c r="N176" s="87">
        <f>M176/M168</f>
        <v>0</v>
      </c>
      <c r="O176" s="153"/>
    </row>
    <row r="177" spans="1:15" x14ac:dyDescent="0.35">
      <c r="A177" t="s">
        <v>98</v>
      </c>
      <c r="B177" s="75" t="s">
        <v>176</v>
      </c>
      <c r="C177" s="88">
        <v>238</v>
      </c>
      <c r="D177" s="77">
        <f>C177/C168</f>
        <v>1.5257559444051008E-2</v>
      </c>
      <c r="E177" s="90">
        <v>238</v>
      </c>
      <c r="F177" s="79">
        <f>E177/E168</f>
        <v>1.5257559444051008E-2</v>
      </c>
      <c r="G177" s="91">
        <v>238</v>
      </c>
      <c r="H177" s="81">
        <f>G177/G168</f>
        <v>1.5257559444051008E-2</v>
      </c>
      <c r="I177" s="92">
        <v>238</v>
      </c>
      <c r="J177" s="83">
        <f>I177/I168</f>
        <v>1.5257559444051008E-2</v>
      </c>
      <c r="K177" s="93">
        <v>238</v>
      </c>
      <c r="L177" s="85">
        <f>K177/K168</f>
        <v>1.5257559444051008E-2</v>
      </c>
      <c r="M177" s="23">
        <v>238</v>
      </c>
      <c r="N177" s="87">
        <f>M177/M168</f>
        <v>3.0515118888102019E-3</v>
      </c>
      <c r="O177" s="153"/>
    </row>
    <row r="178" spans="1:15" x14ac:dyDescent="0.35">
      <c r="A178" t="s">
        <v>98</v>
      </c>
      <c r="B178" s="75" t="s">
        <v>177</v>
      </c>
      <c r="C178" s="88">
        <v>0</v>
      </c>
      <c r="D178" s="77">
        <f>C178/C168</f>
        <v>0</v>
      </c>
      <c r="E178" s="90">
        <v>0</v>
      </c>
      <c r="F178" s="79">
        <f>E178/E168</f>
        <v>0</v>
      </c>
      <c r="G178" s="91">
        <v>0</v>
      </c>
      <c r="H178" s="81">
        <f>G178/G168</f>
        <v>0</v>
      </c>
      <c r="I178" s="92">
        <v>0</v>
      </c>
      <c r="J178" s="83">
        <f>I178/I168</f>
        <v>0</v>
      </c>
      <c r="K178" s="93">
        <v>0</v>
      </c>
      <c r="L178" s="85">
        <f>K178/K168</f>
        <v>0</v>
      </c>
      <c r="M178" s="23">
        <v>0</v>
      </c>
      <c r="N178" s="87">
        <f>M178/M168</f>
        <v>0</v>
      </c>
      <c r="O178" s="153"/>
    </row>
    <row r="179" spans="1:15" x14ac:dyDescent="0.35">
      <c r="A179" t="s">
        <v>98</v>
      </c>
      <c r="B179" s="75" t="s">
        <v>178</v>
      </c>
      <c r="C179" s="88">
        <v>0</v>
      </c>
      <c r="D179" s="77">
        <f>C179/C168</f>
        <v>0</v>
      </c>
      <c r="E179" s="90">
        <v>0</v>
      </c>
      <c r="F179" s="79">
        <f>E179/E168</f>
        <v>0</v>
      </c>
      <c r="G179" s="91">
        <v>0</v>
      </c>
      <c r="H179" s="81">
        <f>G179/G168</f>
        <v>0</v>
      </c>
      <c r="I179" s="92">
        <v>0</v>
      </c>
      <c r="J179" s="83">
        <f>I179/I168</f>
        <v>0</v>
      </c>
      <c r="K179" s="93">
        <v>0</v>
      </c>
      <c r="L179" s="85">
        <f>K179/K168</f>
        <v>0</v>
      </c>
      <c r="M179" s="23">
        <v>0</v>
      </c>
      <c r="N179" s="87">
        <f>M179/M168</f>
        <v>0</v>
      </c>
      <c r="O179" s="153"/>
    </row>
    <row r="180" spans="1:15" ht="15" thickBot="1" x14ac:dyDescent="0.4">
      <c r="A180" t="s">
        <v>98</v>
      </c>
      <c r="B180" s="100" t="s">
        <v>179</v>
      </c>
      <c r="C180" s="101">
        <v>0</v>
      </c>
      <c r="D180" s="113">
        <f t="shared" ref="D180" si="21">C180/$C$33</f>
        <v>0</v>
      </c>
      <c r="E180" s="103">
        <v>0</v>
      </c>
      <c r="F180" s="104">
        <f>E180/E168</f>
        <v>0</v>
      </c>
      <c r="G180" s="105">
        <v>0</v>
      </c>
      <c r="H180" s="106">
        <f>G180/G168</f>
        <v>0</v>
      </c>
      <c r="I180" s="107">
        <v>0</v>
      </c>
      <c r="J180" s="108">
        <f>I180/I168</f>
        <v>0</v>
      </c>
      <c r="K180" s="109">
        <v>0</v>
      </c>
      <c r="L180" s="110">
        <f>K180/K168</f>
        <v>0</v>
      </c>
      <c r="M180" s="25">
        <v>0</v>
      </c>
      <c r="N180" s="111">
        <f>M180/M168</f>
        <v>0</v>
      </c>
      <c r="O180" s="154"/>
    </row>
    <row r="181" spans="1:15" ht="15" thickBot="1" x14ac:dyDescent="0.4">
      <c r="D181" s="26"/>
      <c r="F181" s="26"/>
      <c r="H181" s="26"/>
      <c r="J181" s="26"/>
      <c r="L181" s="26"/>
      <c r="N181" s="26"/>
    </row>
    <row r="182" spans="1:15" ht="14.5" customHeight="1" thickBot="1" x14ac:dyDescent="0.4">
      <c r="A182" t="s">
        <v>100</v>
      </c>
      <c r="B182" s="65" t="s">
        <v>166</v>
      </c>
      <c r="C182" s="66">
        <v>0</v>
      </c>
      <c r="D182" s="67"/>
      <c r="E182" s="66">
        <v>0</v>
      </c>
      <c r="F182" s="67"/>
      <c r="G182" s="66">
        <v>0</v>
      </c>
      <c r="H182" s="67"/>
      <c r="I182" s="66">
        <v>0</v>
      </c>
      <c r="J182" s="67"/>
      <c r="K182" s="66">
        <v>0</v>
      </c>
      <c r="L182" s="67"/>
      <c r="M182" s="68">
        <f>SUM(C182,E182,G182,I182,K182)</f>
        <v>0</v>
      </c>
      <c r="N182" s="67"/>
      <c r="O182" s="152" t="s">
        <v>101</v>
      </c>
    </row>
    <row r="183" spans="1:15" ht="15" thickBot="1" x14ac:dyDescent="0.4">
      <c r="A183" t="s">
        <v>100</v>
      </c>
      <c r="B183" s="69" t="s">
        <v>167</v>
      </c>
      <c r="C183" s="70">
        <v>15598.825019999989</v>
      </c>
      <c r="D183" s="71">
        <f>SUM(D185:D195)</f>
        <v>0.36650196362033455</v>
      </c>
      <c r="E183" s="70">
        <v>15598.825019999989</v>
      </c>
      <c r="F183" s="71">
        <f>SUM(F185:F195)</f>
        <v>0.36650196362033455</v>
      </c>
      <c r="G183" s="70">
        <v>15598.825019999989</v>
      </c>
      <c r="H183" s="71">
        <f>SUM(H185:H195)</f>
        <v>0.36650196362033455</v>
      </c>
      <c r="I183" s="70">
        <v>15598.825019999989</v>
      </c>
      <c r="J183" s="71">
        <f>SUM(J185:J195)</f>
        <v>0.36650196362033455</v>
      </c>
      <c r="K183" s="70">
        <v>15598.825019999989</v>
      </c>
      <c r="L183" s="71">
        <f>SUM(L185:L195)</f>
        <v>0.36650196362033455</v>
      </c>
      <c r="M183" s="70">
        <f>SUM(C183,E183,G183,I183,K183)</f>
        <v>77994.125099999947</v>
      </c>
      <c r="N183" s="71">
        <f>SUM(N185:N195)</f>
        <v>7.3300392724066896E-2</v>
      </c>
      <c r="O183" s="153"/>
    </row>
    <row r="184" spans="1:15" ht="15" thickBot="1" x14ac:dyDescent="0.4">
      <c r="A184" t="s">
        <v>100</v>
      </c>
      <c r="B184" s="72" t="s">
        <v>168</v>
      </c>
      <c r="C184" s="73"/>
      <c r="D184" s="74">
        <f>(SUM(D185:D195)+C182)/C183</f>
        <v>2.3495485278565861E-5</v>
      </c>
      <c r="E184" s="73"/>
      <c r="F184" s="74">
        <f>(SUM(F185:F195)+E182)/E183</f>
        <v>2.3495485278565861E-5</v>
      </c>
      <c r="G184" s="73"/>
      <c r="H184" s="74">
        <f>(SUM(H185:H195)+G182)/G183</f>
        <v>2.3495485278565861E-5</v>
      </c>
      <c r="I184" s="73"/>
      <c r="J184" s="74">
        <f>(SUM(J185:J195)+I182)/I183</f>
        <v>2.3495485278565861E-5</v>
      </c>
      <c r="K184" s="73"/>
      <c r="L184" s="74">
        <f>(SUM(L185:L195)+K182)/K183</f>
        <v>2.3495485278565861E-5</v>
      </c>
      <c r="M184" s="73"/>
      <c r="N184" s="74">
        <f>(SUM(N185:N195)+M182)/M183</f>
        <v>9.398194111426342E-7</v>
      </c>
      <c r="O184" s="153"/>
    </row>
    <row r="185" spans="1:15" x14ac:dyDescent="0.35">
      <c r="A185" t="s">
        <v>100</v>
      </c>
      <c r="B185" s="75" t="s">
        <v>169</v>
      </c>
      <c r="C185" s="76">
        <v>800</v>
      </c>
      <c r="D185" s="77">
        <f>C185/C183</f>
        <v>5.1285914097650452E-2</v>
      </c>
      <c r="E185" s="78">
        <v>800</v>
      </c>
      <c r="F185" s="79">
        <f>E185/E183</f>
        <v>5.1285914097650452E-2</v>
      </c>
      <c r="G185" s="80">
        <v>800</v>
      </c>
      <c r="H185" s="81">
        <f>G185/G183</f>
        <v>5.1285914097650452E-2</v>
      </c>
      <c r="I185" s="82">
        <v>800</v>
      </c>
      <c r="J185" s="83">
        <f>I185/I183</f>
        <v>5.1285914097650452E-2</v>
      </c>
      <c r="K185" s="84">
        <v>800</v>
      </c>
      <c r="L185" s="85">
        <f>K185/K183</f>
        <v>5.1285914097650452E-2</v>
      </c>
      <c r="M185" s="86">
        <v>800</v>
      </c>
      <c r="N185" s="87">
        <f>M185/M183</f>
        <v>1.025718281953009E-2</v>
      </c>
      <c r="O185" s="153"/>
    </row>
    <row r="186" spans="1:15" x14ac:dyDescent="0.35">
      <c r="A186" t="s">
        <v>100</v>
      </c>
      <c r="B186" s="75" t="s">
        <v>170</v>
      </c>
      <c r="C186" s="88">
        <v>0</v>
      </c>
      <c r="D186" s="77">
        <f>C186/C183</f>
        <v>0</v>
      </c>
      <c r="E186" s="90">
        <v>0</v>
      </c>
      <c r="F186" s="79">
        <f>E186/E183</f>
        <v>0</v>
      </c>
      <c r="G186" s="91">
        <v>0</v>
      </c>
      <c r="H186" s="81">
        <f>G186/G183</f>
        <v>0</v>
      </c>
      <c r="I186" s="92">
        <v>0</v>
      </c>
      <c r="J186" s="83">
        <f>I186/I183</f>
        <v>0</v>
      </c>
      <c r="K186" s="93">
        <v>0</v>
      </c>
      <c r="L186" s="85">
        <f>K186/K183</f>
        <v>0</v>
      </c>
      <c r="M186" s="23">
        <v>0</v>
      </c>
      <c r="N186" s="87">
        <f>M186/M183</f>
        <v>0</v>
      </c>
      <c r="O186" s="153"/>
    </row>
    <row r="187" spans="1:15" x14ac:dyDescent="0.35">
      <c r="A187" t="s">
        <v>100</v>
      </c>
      <c r="B187" s="75" t="s">
        <v>171</v>
      </c>
      <c r="C187" s="88">
        <v>104</v>
      </c>
      <c r="D187" s="77">
        <f>C187/C183</f>
        <v>6.6671688326945585E-3</v>
      </c>
      <c r="E187" s="90">
        <v>104</v>
      </c>
      <c r="F187" s="79">
        <f>E187/E183</f>
        <v>6.6671688326945585E-3</v>
      </c>
      <c r="G187" s="91">
        <v>104</v>
      </c>
      <c r="H187" s="81">
        <f>G187/G183</f>
        <v>6.6671688326945585E-3</v>
      </c>
      <c r="I187" s="92">
        <v>104</v>
      </c>
      <c r="J187" s="83">
        <f>I187/I183</f>
        <v>6.6671688326945585E-3</v>
      </c>
      <c r="K187" s="93">
        <v>104</v>
      </c>
      <c r="L187" s="85">
        <f>K187/K183</f>
        <v>6.6671688326945585E-3</v>
      </c>
      <c r="M187" s="23">
        <v>104</v>
      </c>
      <c r="N187" s="87">
        <f>M187/M183</f>
        <v>1.3334337665389117E-3</v>
      </c>
      <c r="O187" s="153"/>
    </row>
    <row r="188" spans="1:15" x14ac:dyDescent="0.35">
      <c r="A188" t="s">
        <v>100</v>
      </c>
      <c r="B188" s="75" t="s">
        <v>172</v>
      </c>
      <c r="C188" s="88">
        <v>0</v>
      </c>
      <c r="D188" s="77">
        <f>C188/C183</f>
        <v>0</v>
      </c>
      <c r="E188" s="90">
        <v>0</v>
      </c>
      <c r="F188" s="79">
        <f>E188/E183</f>
        <v>0</v>
      </c>
      <c r="G188" s="91">
        <v>0</v>
      </c>
      <c r="H188" s="81">
        <f>G188/G183</f>
        <v>0</v>
      </c>
      <c r="I188" s="92">
        <v>0</v>
      </c>
      <c r="J188" s="83">
        <f>I188/I183</f>
        <v>0</v>
      </c>
      <c r="K188" s="93">
        <v>0</v>
      </c>
      <c r="L188" s="85">
        <f>K188/K183</f>
        <v>0</v>
      </c>
      <c r="M188" s="23">
        <v>0</v>
      </c>
      <c r="N188" s="87">
        <f>M188/M183</f>
        <v>0</v>
      </c>
      <c r="O188" s="153"/>
    </row>
    <row r="189" spans="1:15" x14ac:dyDescent="0.35">
      <c r="A189" t="s">
        <v>100</v>
      </c>
      <c r="B189" s="75" t="s">
        <v>173</v>
      </c>
      <c r="C189" s="94">
        <v>3619</v>
      </c>
      <c r="D189" s="77">
        <f>C189/C183</f>
        <v>0.23200465389924621</v>
      </c>
      <c r="E189" s="95">
        <v>3619</v>
      </c>
      <c r="F189" s="79">
        <f>E189/E183</f>
        <v>0.23200465389924621</v>
      </c>
      <c r="G189" s="96">
        <v>3619</v>
      </c>
      <c r="H189" s="81">
        <f>G189/G183</f>
        <v>0.23200465389924621</v>
      </c>
      <c r="I189" s="97">
        <v>3619</v>
      </c>
      <c r="J189" s="83">
        <f>I189/I183</f>
        <v>0.23200465389924621</v>
      </c>
      <c r="K189" s="98">
        <v>3619</v>
      </c>
      <c r="L189" s="85">
        <f>K189/K183</f>
        <v>0.23200465389924621</v>
      </c>
      <c r="M189" s="99">
        <v>3619</v>
      </c>
      <c r="N189" s="87">
        <f>M189/M183</f>
        <v>4.6400930779849241E-2</v>
      </c>
      <c r="O189" s="153"/>
    </row>
    <row r="190" spans="1:15" x14ac:dyDescent="0.35">
      <c r="A190" t="s">
        <v>100</v>
      </c>
      <c r="B190" s="75" t="s">
        <v>174</v>
      </c>
      <c r="C190" s="88">
        <v>956</v>
      </c>
      <c r="D190" s="77">
        <f>C190/C183</f>
        <v>6.1286667346692289E-2</v>
      </c>
      <c r="E190" s="90">
        <v>956</v>
      </c>
      <c r="F190" s="79">
        <f>E190/E183</f>
        <v>6.1286667346692289E-2</v>
      </c>
      <c r="G190" s="91">
        <v>956</v>
      </c>
      <c r="H190" s="81">
        <f>G190/G183</f>
        <v>6.1286667346692289E-2</v>
      </c>
      <c r="I190" s="92">
        <v>956</v>
      </c>
      <c r="J190" s="83">
        <f>I190/I183</f>
        <v>6.1286667346692289E-2</v>
      </c>
      <c r="K190" s="93">
        <v>956</v>
      </c>
      <c r="L190" s="85">
        <f>K190/K183</f>
        <v>6.1286667346692289E-2</v>
      </c>
      <c r="M190" s="23">
        <v>956</v>
      </c>
      <c r="N190" s="87">
        <f>M190/M183</f>
        <v>1.2257333469338457E-2</v>
      </c>
      <c r="O190" s="153"/>
    </row>
    <row r="191" spans="1:15" x14ac:dyDescent="0.35">
      <c r="A191" t="s">
        <v>100</v>
      </c>
      <c r="B191" s="75" t="s">
        <v>175</v>
      </c>
      <c r="C191" s="88">
        <v>0</v>
      </c>
      <c r="D191" s="77">
        <f>C191/C183</f>
        <v>0</v>
      </c>
      <c r="E191" s="90">
        <v>0</v>
      </c>
      <c r="F191" s="79">
        <f>E191/E183</f>
        <v>0</v>
      </c>
      <c r="G191" s="91">
        <v>0</v>
      </c>
      <c r="H191" s="81">
        <f>G191/G183</f>
        <v>0</v>
      </c>
      <c r="I191" s="92">
        <v>0</v>
      </c>
      <c r="J191" s="83">
        <f>I191/I183</f>
        <v>0</v>
      </c>
      <c r="K191" s="93">
        <v>0</v>
      </c>
      <c r="L191" s="85">
        <f>K191/K183</f>
        <v>0</v>
      </c>
      <c r="M191" s="23">
        <v>0</v>
      </c>
      <c r="N191" s="87">
        <f>M191/M183</f>
        <v>0</v>
      </c>
      <c r="O191" s="153"/>
    </row>
    <row r="192" spans="1:15" x14ac:dyDescent="0.35">
      <c r="A192" t="s">
        <v>100</v>
      </c>
      <c r="B192" s="75" t="s">
        <v>176</v>
      </c>
      <c r="C192" s="88">
        <v>238</v>
      </c>
      <c r="D192" s="77">
        <f>C192/C183</f>
        <v>1.5257559444051008E-2</v>
      </c>
      <c r="E192" s="90">
        <v>238</v>
      </c>
      <c r="F192" s="79">
        <f>E192/E183</f>
        <v>1.5257559444051008E-2</v>
      </c>
      <c r="G192" s="91">
        <v>238</v>
      </c>
      <c r="H192" s="81">
        <f>G192/G183</f>
        <v>1.5257559444051008E-2</v>
      </c>
      <c r="I192" s="92">
        <v>238</v>
      </c>
      <c r="J192" s="83">
        <f>I192/I183</f>
        <v>1.5257559444051008E-2</v>
      </c>
      <c r="K192" s="93">
        <v>238</v>
      </c>
      <c r="L192" s="85">
        <f>K192/K183</f>
        <v>1.5257559444051008E-2</v>
      </c>
      <c r="M192" s="23">
        <v>238</v>
      </c>
      <c r="N192" s="87">
        <f>M192/M183</f>
        <v>3.0515118888102019E-3</v>
      </c>
      <c r="O192" s="153"/>
    </row>
    <row r="193" spans="1:15" x14ac:dyDescent="0.35">
      <c r="A193" t="s">
        <v>100</v>
      </c>
      <c r="B193" s="75" t="s">
        <v>177</v>
      </c>
      <c r="C193" s="88">
        <v>0</v>
      </c>
      <c r="D193" s="77">
        <f>C193/C183</f>
        <v>0</v>
      </c>
      <c r="E193" s="90">
        <v>0</v>
      </c>
      <c r="F193" s="79">
        <f>E193/E183</f>
        <v>0</v>
      </c>
      <c r="G193" s="91">
        <v>0</v>
      </c>
      <c r="H193" s="81">
        <f>G193/G183</f>
        <v>0</v>
      </c>
      <c r="I193" s="92">
        <v>0</v>
      </c>
      <c r="J193" s="83">
        <f>I193/I183</f>
        <v>0</v>
      </c>
      <c r="K193" s="93">
        <v>0</v>
      </c>
      <c r="L193" s="85">
        <f>K193/K183</f>
        <v>0</v>
      </c>
      <c r="M193" s="23">
        <v>0</v>
      </c>
      <c r="N193" s="87">
        <f>M193/M183</f>
        <v>0</v>
      </c>
      <c r="O193" s="153"/>
    </row>
    <row r="194" spans="1:15" x14ac:dyDescent="0.35">
      <c r="A194" t="s">
        <v>100</v>
      </c>
      <c r="B194" s="75" t="s">
        <v>178</v>
      </c>
      <c r="C194" s="88">
        <v>0</v>
      </c>
      <c r="D194" s="77">
        <f>C194/C183</f>
        <v>0</v>
      </c>
      <c r="E194" s="90">
        <v>0</v>
      </c>
      <c r="F194" s="79">
        <f>E194/E183</f>
        <v>0</v>
      </c>
      <c r="G194" s="91">
        <v>0</v>
      </c>
      <c r="H194" s="81">
        <f>G194/G183</f>
        <v>0</v>
      </c>
      <c r="I194" s="92">
        <v>0</v>
      </c>
      <c r="J194" s="83">
        <f>I194/I183</f>
        <v>0</v>
      </c>
      <c r="K194" s="93">
        <v>0</v>
      </c>
      <c r="L194" s="85">
        <f>K194/K183</f>
        <v>0</v>
      </c>
      <c r="M194" s="23">
        <v>0</v>
      </c>
      <c r="N194" s="87">
        <f>M194/M183</f>
        <v>0</v>
      </c>
      <c r="O194" s="153"/>
    </row>
    <row r="195" spans="1:15" ht="15" thickBot="1" x14ac:dyDescent="0.4">
      <c r="A195" t="s">
        <v>100</v>
      </c>
      <c r="B195" s="100" t="s">
        <v>179</v>
      </c>
      <c r="C195" s="101">
        <v>0</v>
      </c>
      <c r="D195" s="113">
        <f t="shared" ref="D195" si="22">C195/$C$33</f>
        <v>0</v>
      </c>
      <c r="E195" s="103">
        <v>0</v>
      </c>
      <c r="F195" s="104">
        <f>E195/E183</f>
        <v>0</v>
      </c>
      <c r="G195" s="105">
        <v>0</v>
      </c>
      <c r="H195" s="106">
        <f>G195/G183</f>
        <v>0</v>
      </c>
      <c r="I195" s="107">
        <v>0</v>
      </c>
      <c r="J195" s="108">
        <f>I195/I183</f>
        <v>0</v>
      </c>
      <c r="K195" s="109">
        <v>0</v>
      </c>
      <c r="L195" s="110">
        <f>K195/K183</f>
        <v>0</v>
      </c>
      <c r="M195" s="25">
        <v>0</v>
      </c>
      <c r="N195" s="111">
        <f>M195/M183</f>
        <v>0</v>
      </c>
      <c r="O195" s="154"/>
    </row>
    <row r="196" spans="1:15" ht="15" thickBot="1" x14ac:dyDescent="0.4">
      <c r="D196" s="26"/>
      <c r="F196" s="26"/>
      <c r="H196" s="26"/>
      <c r="J196" s="26"/>
      <c r="L196" s="26"/>
      <c r="N196" s="26"/>
    </row>
    <row r="197" spans="1:15" ht="14.5" customHeight="1" thickBot="1" x14ac:dyDescent="0.4">
      <c r="A197" t="s">
        <v>102</v>
      </c>
      <c r="B197" s="65" t="s">
        <v>166</v>
      </c>
      <c r="C197" s="66">
        <v>0</v>
      </c>
      <c r="D197" s="67"/>
      <c r="E197" s="66">
        <v>0</v>
      </c>
      <c r="F197" s="67"/>
      <c r="G197" s="66">
        <v>0</v>
      </c>
      <c r="H197" s="67"/>
      <c r="I197" s="66">
        <v>0</v>
      </c>
      <c r="J197" s="67"/>
      <c r="K197" s="66">
        <v>0</v>
      </c>
      <c r="L197" s="67"/>
      <c r="M197" s="68">
        <f>SUM(C197,E197,G197,I197,K197)</f>
        <v>0</v>
      </c>
      <c r="N197" s="67"/>
      <c r="O197" s="152" t="s">
        <v>103</v>
      </c>
    </row>
    <row r="198" spans="1:15" ht="15" thickBot="1" x14ac:dyDescent="0.4">
      <c r="A198" t="s">
        <v>102</v>
      </c>
      <c r="B198" s="69" t="s">
        <v>167</v>
      </c>
      <c r="C198" s="70">
        <v>15598.825019999989</v>
      </c>
      <c r="D198" s="71">
        <f>SUM(D200:D210)</f>
        <v>0.36650196362033455</v>
      </c>
      <c r="E198" s="70">
        <v>15598.825019999989</v>
      </c>
      <c r="F198" s="71">
        <f>SUM(F200:F210)</f>
        <v>0.36650196362033455</v>
      </c>
      <c r="G198" s="70">
        <v>15598.825019999989</v>
      </c>
      <c r="H198" s="71">
        <f>SUM(H200:H210)</f>
        <v>0.36650196362033455</v>
      </c>
      <c r="I198" s="70">
        <v>15598.825019999989</v>
      </c>
      <c r="J198" s="71">
        <f>SUM(J200:J210)</f>
        <v>0.36650196362033455</v>
      </c>
      <c r="K198" s="70">
        <v>15598.825019999989</v>
      </c>
      <c r="L198" s="71">
        <f>SUM(L200:L210)</f>
        <v>0.36650196362033455</v>
      </c>
      <c r="M198" s="70">
        <f>SUM(C198,E198,G198,I198,K198)</f>
        <v>77994.125099999947</v>
      </c>
      <c r="N198" s="71">
        <f>SUM(N200:N210)</f>
        <v>7.3300392724066896E-2</v>
      </c>
      <c r="O198" s="153"/>
    </row>
    <row r="199" spans="1:15" ht="15" thickBot="1" x14ac:dyDescent="0.4">
      <c r="A199" t="s">
        <v>102</v>
      </c>
      <c r="B199" s="72" t="s">
        <v>168</v>
      </c>
      <c r="C199" s="73"/>
      <c r="D199" s="74">
        <f>(SUM(D200:D210)+C197)/C198</f>
        <v>2.3495485278565861E-5</v>
      </c>
      <c r="E199" s="73"/>
      <c r="F199" s="74">
        <f>(SUM(F200:F210)+E197)/E198</f>
        <v>2.3495485278565861E-5</v>
      </c>
      <c r="G199" s="73"/>
      <c r="H199" s="74">
        <f>(SUM(H200:H210)+G197)/G198</f>
        <v>2.3495485278565861E-5</v>
      </c>
      <c r="I199" s="73"/>
      <c r="J199" s="74">
        <f>(SUM(J200:J210)+I197)/I198</f>
        <v>2.3495485278565861E-5</v>
      </c>
      <c r="K199" s="73"/>
      <c r="L199" s="74">
        <f>(SUM(L200:L210)+K197)/K198</f>
        <v>2.3495485278565861E-5</v>
      </c>
      <c r="M199" s="73"/>
      <c r="N199" s="74">
        <f>(SUM(N200:N210)+M197)/M198</f>
        <v>9.398194111426342E-7</v>
      </c>
      <c r="O199" s="153"/>
    </row>
    <row r="200" spans="1:15" x14ac:dyDescent="0.35">
      <c r="A200" t="s">
        <v>102</v>
      </c>
      <c r="B200" s="75" t="s">
        <v>169</v>
      </c>
      <c r="C200" s="76">
        <v>800</v>
      </c>
      <c r="D200" s="77">
        <f>C200/C198</f>
        <v>5.1285914097650452E-2</v>
      </c>
      <c r="E200" s="78">
        <v>800</v>
      </c>
      <c r="F200" s="79">
        <f>E200/E198</f>
        <v>5.1285914097650452E-2</v>
      </c>
      <c r="G200" s="80">
        <v>800</v>
      </c>
      <c r="H200" s="81">
        <f>G200/G198</f>
        <v>5.1285914097650452E-2</v>
      </c>
      <c r="I200" s="82">
        <v>800</v>
      </c>
      <c r="J200" s="83">
        <f>I200/I198</f>
        <v>5.1285914097650452E-2</v>
      </c>
      <c r="K200" s="84">
        <v>800</v>
      </c>
      <c r="L200" s="85">
        <f>K200/K198</f>
        <v>5.1285914097650452E-2</v>
      </c>
      <c r="M200" s="86">
        <v>800</v>
      </c>
      <c r="N200" s="87">
        <f>M200/M198</f>
        <v>1.025718281953009E-2</v>
      </c>
      <c r="O200" s="153"/>
    </row>
    <row r="201" spans="1:15" x14ac:dyDescent="0.35">
      <c r="A201" t="s">
        <v>102</v>
      </c>
      <c r="B201" s="75" t="s">
        <v>170</v>
      </c>
      <c r="C201" s="88">
        <v>0</v>
      </c>
      <c r="D201" s="77">
        <f>C201/C198</f>
        <v>0</v>
      </c>
      <c r="E201" s="90">
        <v>0</v>
      </c>
      <c r="F201" s="79">
        <f>E201/E198</f>
        <v>0</v>
      </c>
      <c r="G201" s="91">
        <v>0</v>
      </c>
      <c r="H201" s="81">
        <f>G201/G198</f>
        <v>0</v>
      </c>
      <c r="I201" s="92">
        <v>0</v>
      </c>
      <c r="J201" s="83">
        <f>I201/I198</f>
        <v>0</v>
      </c>
      <c r="K201" s="93">
        <v>0</v>
      </c>
      <c r="L201" s="85">
        <f>K201/K198</f>
        <v>0</v>
      </c>
      <c r="M201" s="23">
        <v>0</v>
      </c>
      <c r="N201" s="87">
        <f>M201/M198</f>
        <v>0</v>
      </c>
      <c r="O201" s="153"/>
    </row>
    <row r="202" spans="1:15" x14ac:dyDescent="0.35">
      <c r="A202" t="s">
        <v>102</v>
      </c>
      <c r="B202" s="75" t="s">
        <v>171</v>
      </c>
      <c r="C202" s="88">
        <v>104</v>
      </c>
      <c r="D202" s="77">
        <f>C202/C198</f>
        <v>6.6671688326945585E-3</v>
      </c>
      <c r="E202" s="90">
        <v>104</v>
      </c>
      <c r="F202" s="79">
        <f>E202/E198</f>
        <v>6.6671688326945585E-3</v>
      </c>
      <c r="G202" s="91">
        <v>104</v>
      </c>
      <c r="H202" s="81">
        <f>G202/G198</f>
        <v>6.6671688326945585E-3</v>
      </c>
      <c r="I202" s="92">
        <v>104</v>
      </c>
      <c r="J202" s="83">
        <f>I202/I198</f>
        <v>6.6671688326945585E-3</v>
      </c>
      <c r="K202" s="93">
        <v>104</v>
      </c>
      <c r="L202" s="85">
        <f>K202/K198</f>
        <v>6.6671688326945585E-3</v>
      </c>
      <c r="M202" s="23">
        <v>104</v>
      </c>
      <c r="N202" s="87">
        <f>M202/M198</f>
        <v>1.3334337665389117E-3</v>
      </c>
      <c r="O202" s="153"/>
    </row>
    <row r="203" spans="1:15" x14ac:dyDescent="0.35">
      <c r="A203" t="s">
        <v>102</v>
      </c>
      <c r="B203" s="75" t="s">
        <v>172</v>
      </c>
      <c r="C203" s="88">
        <v>0</v>
      </c>
      <c r="D203" s="77">
        <f>C203/C198</f>
        <v>0</v>
      </c>
      <c r="E203" s="90">
        <v>0</v>
      </c>
      <c r="F203" s="79">
        <f>E203/E198</f>
        <v>0</v>
      </c>
      <c r="G203" s="91">
        <v>0</v>
      </c>
      <c r="H203" s="81">
        <f>G203/G198</f>
        <v>0</v>
      </c>
      <c r="I203" s="92">
        <v>0</v>
      </c>
      <c r="J203" s="83">
        <f>I203/I198</f>
        <v>0</v>
      </c>
      <c r="K203" s="93">
        <v>0</v>
      </c>
      <c r="L203" s="85">
        <f>K203/K198</f>
        <v>0</v>
      </c>
      <c r="M203" s="23">
        <v>0</v>
      </c>
      <c r="N203" s="87">
        <f>M203/M198</f>
        <v>0</v>
      </c>
      <c r="O203" s="153"/>
    </row>
    <row r="204" spans="1:15" x14ac:dyDescent="0.35">
      <c r="A204" t="s">
        <v>102</v>
      </c>
      <c r="B204" s="75" t="s">
        <v>173</v>
      </c>
      <c r="C204" s="94">
        <v>3619</v>
      </c>
      <c r="D204" s="77">
        <f>C204/C198</f>
        <v>0.23200465389924621</v>
      </c>
      <c r="E204" s="95">
        <v>3619</v>
      </c>
      <c r="F204" s="79">
        <f>E204/E198</f>
        <v>0.23200465389924621</v>
      </c>
      <c r="G204" s="96">
        <v>3619</v>
      </c>
      <c r="H204" s="81">
        <f>G204/G198</f>
        <v>0.23200465389924621</v>
      </c>
      <c r="I204" s="97">
        <v>3619</v>
      </c>
      <c r="J204" s="83">
        <f>I204/I198</f>
        <v>0.23200465389924621</v>
      </c>
      <c r="K204" s="98">
        <v>3619</v>
      </c>
      <c r="L204" s="85">
        <f>K204/K198</f>
        <v>0.23200465389924621</v>
      </c>
      <c r="M204" s="99">
        <v>3619</v>
      </c>
      <c r="N204" s="87">
        <f>M204/M198</f>
        <v>4.6400930779849241E-2</v>
      </c>
      <c r="O204" s="153"/>
    </row>
    <row r="205" spans="1:15" x14ac:dyDescent="0.35">
      <c r="A205" t="s">
        <v>102</v>
      </c>
      <c r="B205" s="75" t="s">
        <v>174</v>
      </c>
      <c r="C205" s="88">
        <v>956</v>
      </c>
      <c r="D205" s="77">
        <f>C205/C198</f>
        <v>6.1286667346692289E-2</v>
      </c>
      <c r="E205" s="90">
        <v>956</v>
      </c>
      <c r="F205" s="79">
        <f>E205/E198</f>
        <v>6.1286667346692289E-2</v>
      </c>
      <c r="G205" s="91">
        <v>956</v>
      </c>
      <c r="H205" s="81">
        <f>G205/G198</f>
        <v>6.1286667346692289E-2</v>
      </c>
      <c r="I205" s="92">
        <v>956</v>
      </c>
      <c r="J205" s="83">
        <f>I205/I198</f>
        <v>6.1286667346692289E-2</v>
      </c>
      <c r="K205" s="93">
        <v>956</v>
      </c>
      <c r="L205" s="85">
        <f>K205/K198</f>
        <v>6.1286667346692289E-2</v>
      </c>
      <c r="M205" s="23">
        <v>956</v>
      </c>
      <c r="N205" s="87">
        <f>M205/M198</f>
        <v>1.2257333469338457E-2</v>
      </c>
      <c r="O205" s="153"/>
    </row>
    <row r="206" spans="1:15" x14ac:dyDescent="0.35">
      <c r="A206" t="s">
        <v>102</v>
      </c>
      <c r="B206" s="75" t="s">
        <v>175</v>
      </c>
      <c r="C206" s="88">
        <v>0</v>
      </c>
      <c r="D206" s="77">
        <f>C206/C198</f>
        <v>0</v>
      </c>
      <c r="E206" s="90">
        <v>0</v>
      </c>
      <c r="F206" s="79">
        <f>E206/E198</f>
        <v>0</v>
      </c>
      <c r="G206" s="91">
        <v>0</v>
      </c>
      <c r="H206" s="81">
        <f>G206/G198</f>
        <v>0</v>
      </c>
      <c r="I206" s="92">
        <v>0</v>
      </c>
      <c r="J206" s="83">
        <f>I206/I198</f>
        <v>0</v>
      </c>
      <c r="K206" s="93">
        <v>0</v>
      </c>
      <c r="L206" s="85">
        <f>K206/K198</f>
        <v>0</v>
      </c>
      <c r="M206" s="23">
        <v>0</v>
      </c>
      <c r="N206" s="87">
        <f>M206/M198</f>
        <v>0</v>
      </c>
      <c r="O206" s="153"/>
    </row>
    <row r="207" spans="1:15" x14ac:dyDescent="0.35">
      <c r="A207" t="s">
        <v>102</v>
      </c>
      <c r="B207" s="75" t="s">
        <v>176</v>
      </c>
      <c r="C207" s="88">
        <v>238</v>
      </c>
      <c r="D207" s="77">
        <f>C207/C198</f>
        <v>1.5257559444051008E-2</v>
      </c>
      <c r="E207" s="90">
        <v>238</v>
      </c>
      <c r="F207" s="79">
        <f>E207/E198</f>
        <v>1.5257559444051008E-2</v>
      </c>
      <c r="G207" s="91">
        <v>238</v>
      </c>
      <c r="H207" s="81">
        <f>G207/G198</f>
        <v>1.5257559444051008E-2</v>
      </c>
      <c r="I207" s="92">
        <v>238</v>
      </c>
      <c r="J207" s="83">
        <f>I207/I198</f>
        <v>1.5257559444051008E-2</v>
      </c>
      <c r="K207" s="93">
        <v>238</v>
      </c>
      <c r="L207" s="85">
        <f>K207/K198</f>
        <v>1.5257559444051008E-2</v>
      </c>
      <c r="M207" s="23">
        <v>238</v>
      </c>
      <c r="N207" s="87">
        <f>M207/M198</f>
        <v>3.0515118888102019E-3</v>
      </c>
      <c r="O207" s="153"/>
    </row>
    <row r="208" spans="1:15" x14ac:dyDescent="0.35">
      <c r="A208" t="s">
        <v>102</v>
      </c>
      <c r="B208" s="75" t="s">
        <v>177</v>
      </c>
      <c r="C208" s="88">
        <v>0</v>
      </c>
      <c r="D208" s="77">
        <f>C208/C198</f>
        <v>0</v>
      </c>
      <c r="E208" s="90">
        <v>0</v>
      </c>
      <c r="F208" s="79">
        <f>E208/E198</f>
        <v>0</v>
      </c>
      <c r="G208" s="91">
        <v>0</v>
      </c>
      <c r="H208" s="81">
        <f>G208/G198</f>
        <v>0</v>
      </c>
      <c r="I208" s="92">
        <v>0</v>
      </c>
      <c r="J208" s="83">
        <f>I208/I198</f>
        <v>0</v>
      </c>
      <c r="K208" s="93">
        <v>0</v>
      </c>
      <c r="L208" s="85">
        <f>K208/K198</f>
        <v>0</v>
      </c>
      <c r="M208" s="23">
        <v>0</v>
      </c>
      <c r="N208" s="87">
        <f>M208/M198</f>
        <v>0</v>
      </c>
      <c r="O208" s="153"/>
    </row>
    <row r="209" spans="1:15" x14ac:dyDescent="0.35">
      <c r="A209" t="s">
        <v>102</v>
      </c>
      <c r="B209" s="75" t="s">
        <v>178</v>
      </c>
      <c r="C209" s="88">
        <v>0</v>
      </c>
      <c r="D209" s="77">
        <f>C209/C198</f>
        <v>0</v>
      </c>
      <c r="E209" s="90">
        <v>0</v>
      </c>
      <c r="F209" s="79">
        <f>E209/E198</f>
        <v>0</v>
      </c>
      <c r="G209" s="91">
        <v>0</v>
      </c>
      <c r="H209" s="81">
        <f>G209/G198</f>
        <v>0</v>
      </c>
      <c r="I209" s="92">
        <v>0</v>
      </c>
      <c r="J209" s="83">
        <f>I209/I198</f>
        <v>0</v>
      </c>
      <c r="K209" s="93">
        <v>0</v>
      </c>
      <c r="L209" s="85">
        <f>K209/K198</f>
        <v>0</v>
      </c>
      <c r="M209" s="23">
        <v>0</v>
      </c>
      <c r="N209" s="87">
        <f>M209/M198</f>
        <v>0</v>
      </c>
      <c r="O209" s="153"/>
    </row>
    <row r="210" spans="1:15" ht="15" thickBot="1" x14ac:dyDescent="0.4">
      <c r="A210" t="s">
        <v>102</v>
      </c>
      <c r="B210" s="100" t="s">
        <v>179</v>
      </c>
      <c r="C210" s="101">
        <v>0</v>
      </c>
      <c r="D210" s="113">
        <f t="shared" ref="D210" si="23">C210/$C$33</f>
        <v>0</v>
      </c>
      <c r="E210" s="103">
        <v>0</v>
      </c>
      <c r="F210" s="104">
        <f>E210/E198</f>
        <v>0</v>
      </c>
      <c r="G210" s="105">
        <v>0</v>
      </c>
      <c r="H210" s="106">
        <f>G210/G198</f>
        <v>0</v>
      </c>
      <c r="I210" s="107">
        <v>0</v>
      </c>
      <c r="J210" s="108">
        <f>I210/I198</f>
        <v>0</v>
      </c>
      <c r="K210" s="109">
        <v>0</v>
      </c>
      <c r="L210" s="110">
        <f>K210/K198</f>
        <v>0</v>
      </c>
      <c r="M210" s="25">
        <v>0</v>
      </c>
      <c r="N210" s="111">
        <f>M210/M198</f>
        <v>0</v>
      </c>
      <c r="O210" s="154"/>
    </row>
    <row r="211" spans="1:15" ht="15" thickBot="1" x14ac:dyDescent="0.4">
      <c r="B211" s="24"/>
    </row>
    <row r="212" spans="1:15" ht="14.5" customHeight="1" thickBot="1" x14ac:dyDescent="0.4">
      <c r="A212" t="s">
        <v>104</v>
      </c>
      <c r="B212" s="65" t="s">
        <v>166</v>
      </c>
      <c r="C212" s="66">
        <v>0</v>
      </c>
      <c r="D212" s="67"/>
      <c r="E212" s="66">
        <v>0</v>
      </c>
      <c r="F212" s="67"/>
      <c r="G212" s="66">
        <v>0</v>
      </c>
      <c r="H212" s="67"/>
      <c r="I212" s="66">
        <v>0</v>
      </c>
      <c r="J212" s="67"/>
      <c r="K212" s="66">
        <v>0</v>
      </c>
      <c r="L212" s="67"/>
      <c r="M212" s="68">
        <f>SUM(C212,E212,G212,I212,K212)</f>
        <v>0</v>
      </c>
      <c r="N212" s="67"/>
      <c r="O212" s="152" t="s">
        <v>105</v>
      </c>
    </row>
    <row r="213" spans="1:15" ht="15" thickBot="1" x14ac:dyDescent="0.4">
      <c r="A213" t="s">
        <v>104</v>
      </c>
      <c r="B213" s="69" t="s">
        <v>167</v>
      </c>
      <c r="C213" s="70">
        <v>15598.825019999989</v>
      </c>
      <c r="D213" s="71">
        <f>SUM(D215:D225)</f>
        <v>0.36650196362033455</v>
      </c>
      <c r="E213" s="70">
        <v>15598.825019999989</v>
      </c>
      <c r="F213" s="71">
        <f>SUM(F215:F225)</f>
        <v>0.36650196362033455</v>
      </c>
      <c r="G213" s="70">
        <v>15598.825019999989</v>
      </c>
      <c r="H213" s="71">
        <f>SUM(H215:H225)</f>
        <v>0.36650196362033455</v>
      </c>
      <c r="I213" s="70">
        <v>15598.825019999989</v>
      </c>
      <c r="J213" s="71">
        <f>SUM(J215:J225)</f>
        <v>0.36650196362033455</v>
      </c>
      <c r="K213" s="70">
        <v>15598.825019999989</v>
      </c>
      <c r="L213" s="71">
        <f>SUM(L215:L225)</f>
        <v>0.36650196362033455</v>
      </c>
      <c r="M213" s="70">
        <f>SUM(C213,E213,G213,I213,K213)</f>
        <v>77994.125099999947</v>
      </c>
      <c r="N213" s="71">
        <f>SUM(N215:N225)</f>
        <v>7.3300392724066896E-2</v>
      </c>
      <c r="O213" s="153"/>
    </row>
    <row r="214" spans="1:15" ht="15" thickBot="1" x14ac:dyDescent="0.4">
      <c r="A214" t="s">
        <v>104</v>
      </c>
      <c r="B214" s="72" t="s">
        <v>168</v>
      </c>
      <c r="C214" s="73"/>
      <c r="D214" s="74">
        <f>(SUM(D215:D225)+C212)/C213</f>
        <v>2.3495485278565861E-5</v>
      </c>
      <c r="E214" s="73"/>
      <c r="F214" s="74">
        <f>(SUM(F215:F225)+E212)/E213</f>
        <v>2.3495485278565861E-5</v>
      </c>
      <c r="G214" s="73"/>
      <c r="H214" s="74">
        <f>(SUM(H215:H225)+G212)/G213</f>
        <v>2.3495485278565861E-5</v>
      </c>
      <c r="I214" s="73"/>
      <c r="J214" s="74">
        <f>(SUM(J215:J225)+I212)/I213</f>
        <v>2.3495485278565861E-5</v>
      </c>
      <c r="K214" s="73"/>
      <c r="L214" s="74">
        <f>(SUM(L215:L225)+K212)/K213</f>
        <v>2.3495485278565861E-5</v>
      </c>
      <c r="M214" s="73"/>
      <c r="N214" s="74">
        <f>(SUM(N215:N225)+M212)/M213</f>
        <v>9.398194111426342E-7</v>
      </c>
      <c r="O214" s="153"/>
    </row>
    <row r="215" spans="1:15" x14ac:dyDescent="0.35">
      <c r="A215" t="s">
        <v>104</v>
      </c>
      <c r="B215" s="75" t="s">
        <v>169</v>
      </c>
      <c r="C215" s="76">
        <v>800</v>
      </c>
      <c r="D215" s="77">
        <f>C215/C213</f>
        <v>5.1285914097650452E-2</v>
      </c>
      <c r="E215" s="78">
        <v>800</v>
      </c>
      <c r="F215" s="79">
        <f>E215/E213</f>
        <v>5.1285914097650452E-2</v>
      </c>
      <c r="G215" s="80">
        <v>800</v>
      </c>
      <c r="H215" s="81">
        <f>G215/G213</f>
        <v>5.1285914097650452E-2</v>
      </c>
      <c r="I215" s="82">
        <v>800</v>
      </c>
      <c r="J215" s="83">
        <f>I215/I213</f>
        <v>5.1285914097650452E-2</v>
      </c>
      <c r="K215" s="84">
        <v>800</v>
      </c>
      <c r="L215" s="85">
        <f>K215/K213</f>
        <v>5.1285914097650452E-2</v>
      </c>
      <c r="M215" s="86">
        <v>800</v>
      </c>
      <c r="N215" s="87">
        <f>M215/M213</f>
        <v>1.025718281953009E-2</v>
      </c>
      <c r="O215" s="153"/>
    </row>
    <row r="216" spans="1:15" x14ac:dyDescent="0.35">
      <c r="A216" t="s">
        <v>104</v>
      </c>
      <c r="B216" s="75" t="s">
        <v>170</v>
      </c>
      <c r="C216" s="88">
        <v>0</v>
      </c>
      <c r="D216" s="77">
        <f>C216/C213</f>
        <v>0</v>
      </c>
      <c r="E216" s="90">
        <v>0</v>
      </c>
      <c r="F216" s="79">
        <f>E216/E213</f>
        <v>0</v>
      </c>
      <c r="G216" s="91">
        <v>0</v>
      </c>
      <c r="H216" s="81">
        <f>G216/G213</f>
        <v>0</v>
      </c>
      <c r="I216" s="92">
        <v>0</v>
      </c>
      <c r="J216" s="83">
        <f>I216/I213</f>
        <v>0</v>
      </c>
      <c r="K216" s="93">
        <v>0</v>
      </c>
      <c r="L216" s="85">
        <f>K216/K213</f>
        <v>0</v>
      </c>
      <c r="M216" s="23">
        <v>0</v>
      </c>
      <c r="N216" s="87">
        <f>M216/M213</f>
        <v>0</v>
      </c>
      <c r="O216" s="153"/>
    </row>
    <row r="217" spans="1:15" x14ac:dyDescent="0.35">
      <c r="A217" t="s">
        <v>104</v>
      </c>
      <c r="B217" s="75" t="s">
        <v>171</v>
      </c>
      <c r="C217" s="88">
        <v>104</v>
      </c>
      <c r="D217" s="77">
        <f>C217/C213</f>
        <v>6.6671688326945585E-3</v>
      </c>
      <c r="E217" s="90">
        <v>104</v>
      </c>
      <c r="F217" s="79">
        <f>E217/E213</f>
        <v>6.6671688326945585E-3</v>
      </c>
      <c r="G217" s="91">
        <v>104</v>
      </c>
      <c r="H217" s="81">
        <f>G217/G213</f>
        <v>6.6671688326945585E-3</v>
      </c>
      <c r="I217" s="92">
        <v>104</v>
      </c>
      <c r="J217" s="83">
        <f>I217/I213</f>
        <v>6.6671688326945585E-3</v>
      </c>
      <c r="K217" s="93">
        <v>104</v>
      </c>
      <c r="L217" s="85">
        <f>K217/K213</f>
        <v>6.6671688326945585E-3</v>
      </c>
      <c r="M217" s="23">
        <v>104</v>
      </c>
      <c r="N217" s="87">
        <f>M217/M213</f>
        <v>1.3334337665389117E-3</v>
      </c>
      <c r="O217" s="153"/>
    </row>
    <row r="218" spans="1:15" x14ac:dyDescent="0.35">
      <c r="A218" t="s">
        <v>104</v>
      </c>
      <c r="B218" s="75" t="s">
        <v>172</v>
      </c>
      <c r="C218" s="88">
        <v>0</v>
      </c>
      <c r="D218" s="77">
        <f>C218/C213</f>
        <v>0</v>
      </c>
      <c r="E218" s="90">
        <v>0</v>
      </c>
      <c r="F218" s="79">
        <f>E218/E213</f>
        <v>0</v>
      </c>
      <c r="G218" s="91">
        <v>0</v>
      </c>
      <c r="H218" s="81">
        <f>G218/G213</f>
        <v>0</v>
      </c>
      <c r="I218" s="92">
        <v>0</v>
      </c>
      <c r="J218" s="83">
        <f>I218/I213</f>
        <v>0</v>
      </c>
      <c r="K218" s="93">
        <v>0</v>
      </c>
      <c r="L218" s="85">
        <f>K218/K213</f>
        <v>0</v>
      </c>
      <c r="M218" s="23">
        <v>0</v>
      </c>
      <c r="N218" s="87">
        <f>M218/M213</f>
        <v>0</v>
      </c>
      <c r="O218" s="153"/>
    </row>
    <row r="219" spans="1:15" x14ac:dyDescent="0.35">
      <c r="A219" t="s">
        <v>104</v>
      </c>
      <c r="B219" s="75" t="s">
        <v>173</v>
      </c>
      <c r="C219" s="94">
        <v>3619</v>
      </c>
      <c r="D219" s="77">
        <f>C219/C213</f>
        <v>0.23200465389924621</v>
      </c>
      <c r="E219" s="95">
        <v>3619</v>
      </c>
      <c r="F219" s="79">
        <f>E219/E213</f>
        <v>0.23200465389924621</v>
      </c>
      <c r="G219" s="96">
        <v>3619</v>
      </c>
      <c r="H219" s="81">
        <f>G219/G213</f>
        <v>0.23200465389924621</v>
      </c>
      <c r="I219" s="97">
        <v>3619</v>
      </c>
      <c r="J219" s="83">
        <f>I219/I213</f>
        <v>0.23200465389924621</v>
      </c>
      <c r="K219" s="98">
        <v>3619</v>
      </c>
      <c r="L219" s="85">
        <f>K219/K213</f>
        <v>0.23200465389924621</v>
      </c>
      <c r="M219" s="99">
        <v>3619</v>
      </c>
      <c r="N219" s="87">
        <f>M219/M213</f>
        <v>4.6400930779849241E-2</v>
      </c>
      <c r="O219" s="153"/>
    </row>
    <row r="220" spans="1:15" x14ac:dyDescent="0.35">
      <c r="A220" t="s">
        <v>104</v>
      </c>
      <c r="B220" s="75" t="s">
        <v>174</v>
      </c>
      <c r="C220" s="88">
        <v>956</v>
      </c>
      <c r="D220" s="77">
        <f>C220/C213</f>
        <v>6.1286667346692289E-2</v>
      </c>
      <c r="E220" s="90">
        <v>956</v>
      </c>
      <c r="F220" s="79">
        <f>E220/E213</f>
        <v>6.1286667346692289E-2</v>
      </c>
      <c r="G220" s="91">
        <v>956</v>
      </c>
      <c r="H220" s="81">
        <f>G220/G213</f>
        <v>6.1286667346692289E-2</v>
      </c>
      <c r="I220" s="92">
        <v>956</v>
      </c>
      <c r="J220" s="83">
        <f>I220/I213</f>
        <v>6.1286667346692289E-2</v>
      </c>
      <c r="K220" s="93">
        <v>956</v>
      </c>
      <c r="L220" s="85">
        <f>K220/K213</f>
        <v>6.1286667346692289E-2</v>
      </c>
      <c r="M220" s="23">
        <v>956</v>
      </c>
      <c r="N220" s="87">
        <f>M220/M213</f>
        <v>1.2257333469338457E-2</v>
      </c>
      <c r="O220" s="153"/>
    </row>
    <row r="221" spans="1:15" x14ac:dyDescent="0.35">
      <c r="A221" t="s">
        <v>104</v>
      </c>
      <c r="B221" s="75" t="s">
        <v>175</v>
      </c>
      <c r="C221" s="88">
        <v>0</v>
      </c>
      <c r="D221" s="77">
        <f>C221/C213</f>
        <v>0</v>
      </c>
      <c r="E221" s="90">
        <v>0</v>
      </c>
      <c r="F221" s="79">
        <f>E221/E213</f>
        <v>0</v>
      </c>
      <c r="G221" s="91">
        <v>0</v>
      </c>
      <c r="H221" s="81">
        <f>G221/G213</f>
        <v>0</v>
      </c>
      <c r="I221" s="92">
        <v>0</v>
      </c>
      <c r="J221" s="83">
        <f>I221/I213</f>
        <v>0</v>
      </c>
      <c r="K221" s="93">
        <v>0</v>
      </c>
      <c r="L221" s="85">
        <f>K221/K213</f>
        <v>0</v>
      </c>
      <c r="M221" s="23">
        <v>0</v>
      </c>
      <c r="N221" s="87">
        <f>M221/M213</f>
        <v>0</v>
      </c>
      <c r="O221" s="153"/>
    </row>
    <row r="222" spans="1:15" x14ac:dyDescent="0.35">
      <c r="A222" t="s">
        <v>104</v>
      </c>
      <c r="B222" s="75" t="s">
        <v>176</v>
      </c>
      <c r="C222" s="88">
        <v>238</v>
      </c>
      <c r="D222" s="77">
        <f>C222/C213</f>
        <v>1.5257559444051008E-2</v>
      </c>
      <c r="E222" s="90">
        <v>238</v>
      </c>
      <c r="F222" s="79">
        <f>E222/E213</f>
        <v>1.5257559444051008E-2</v>
      </c>
      <c r="G222" s="91">
        <v>238</v>
      </c>
      <c r="H222" s="81">
        <f>G222/G213</f>
        <v>1.5257559444051008E-2</v>
      </c>
      <c r="I222" s="92">
        <v>238</v>
      </c>
      <c r="J222" s="83">
        <f>I222/I213</f>
        <v>1.5257559444051008E-2</v>
      </c>
      <c r="K222" s="93">
        <v>238</v>
      </c>
      <c r="L222" s="85">
        <f>K222/K213</f>
        <v>1.5257559444051008E-2</v>
      </c>
      <c r="M222" s="23">
        <v>238</v>
      </c>
      <c r="N222" s="87">
        <f>M222/M213</f>
        <v>3.0515118888102019E-3</v>
      </c>
      <c r="O222" s="153"/>
    </row>
    <row r="223" spans="1:15" x14ac:dyDescent="0.35">
      <c r="A223" t="s">
        <v>104</v>
      </c>
      <c r="B223" s="75" t="s">
        <v>177</v>
      </c>
      <c r="C223" s="88">
        <v>0</v>
      </c>
      <c r="D223" s="77">
        <f>C223/C213</f>
        <v>0</v>
      </c>
      <c r="E223" s="90">
        <v>0</v>
      </c>
      <c r="F223" s="79">
        <f>E223/E213</f>
        <v>0</v>
      </c>
      <c r="G223" s="91">
        <v>0</v>
      </c>
      <c r="H223" s="81">
        <f>G223/G213</f>
        <v>0</v>
      </c>
      <c r="I223" s="92">
        <v>0</v>
      </c>
      <c r="J223" s="83">
        <f>I223/I213</f>
        <v>0</v>
      </c>
      <c r="K223" s="93">
        <v>0</v>
      </c>
      <c r="L223" s="85">
        <f>K223/K213</f>
        <v>0</v>
      </c>
      <c r="M223" s="23">
        <v>0</v>
      </c>
      <c r="N223" s="87">
        <f>M223/M213</f>
        <v>0</v>
      </c>
      <c r="O223" s="153"/>
    </row>
    <row r="224" spans="1:15" x14ac:dyDescent="0.35">
      <c r="A224" t="s">
        <v>104</v>
      </c>
      <c r="B224" s="75" t="s">
        <v>178</v>
      </c>
      <c r="C224" s="88">
        <v>0</v>
      </c>
      <c r="D224" s="77">
        <f>C224/C213</f>
        <v>0</v>
      </c>
      <c r="E224" s="90">
        <v>0</v>
      </c>
      <c r="F224" s="79">
        <f>E224/E213</f>
        <v>0</v>
      </c>
      <c r="G224" s="91">
        <v>0</v>
      </c>
      <c r="H224" s="81">
        <f>G224/G213</f>
        <v>0</v>
      </c>
      <c r="I224" s="92">
        <v>0</v>
      </c>
      <c r="J224" s="83">
        <f>I224/I213</f>
        <v>0</v>
      </c>
      <c r="K224" s="93">
        <v>0</v>
      </c>
      <c r="L224" s="85">
        <f>K224/K213</f>
        <v>0</v>
      </c>
      <c r="M224" s="23">
        <v>0</v>
      </c>
      <c r="N224" s="87">
        <f>M224/M213</f>
        <v>0</v>
      </c>
      <c r="O224" s="153"/>
    </row>
    <row r="225" spans="1:15" ht="15" thickBot="1" x14ac:dyDescent="0.4">
      <c r="A225" t="s">
        <v>104</v>
      </c>
      <c r="B225" s="100" t="s">
        <v>179</v>
      </c>
      <c r="C225" s="101">
        <v>0</v>
      </c>
      <c r="D225" s="113">
        <f t="shared" ref="D225" si="24">C225/$C$33</f>
        <v>0</v>
      </c>
      <c r="E225" s="103">
        <v>0</v>
      </c>
      <c r="F225" s="104">
        <f>E225/E213</f>
        <v>0</v>
      </c>
      <c r="G225" s="105">
        <v>0</v>
      </c>
      <c r="H225" s="106">
        <f>G225/G213</f>
        <v>0</v>
      </c>
      <c r="I225" s="107">
        <v>0</v>
      </c>
      <c r="J225" s="108">
        <f>I225/I213</f>
        <v>0</v>
      </c>
      <c r="K225" s="109">
        <v>0</v>
      </c>
      <c r="L225" s="110">
        <f>K225/K213</f>
        <v>0</v>
      </c>
      <c r="M225" s="25">
        <v>0</v>
      </c>
      <c r="N225" s="111">
        <f>M225/M213</f>
        <v>0</v>
      </c>
      <c r="O225" s="154"/>
    </row>
    <row r="226" spans="1:15" ht="15" thickBot="1" x14ac:dyDescent="0.4">
      <c r="D226" s="26"/>
      <c r="F226" s="26"/>
      <c r="H226" s="26"/>
      <c r="J226" s="26"/>
      <c r="L226" s="26"/>
      <c r="N226" s="26"/>
    </row>
    <row r="227" spans="1:15" ht="14.5" customHeight="1" thickBot="1" x14ac:dyDescent="0.4">
      <c r="A227" t="s">
        <v>106</v>
      </c>
      <c r="B227" s="65" t="s">
        <v>166</v>
      </c>
      <c r="C227" s="66">
        <v>0</v>
      </c>
      <c r="D227" s="67"/>
      <c r="E227" s="66">
        <v>0</v>
      </c>
      <c r="F227" s="67"/>
      <c r="G227" s="66">
        <v>0</v>
      </c>
      <c r="H227" s="67"/>
      <c r="I227" s="66">
        <v>0</v>
      </c>
      <c r="J227" s="67"/>
      <c r="K227" s="66">
        <v>0</v>
      </c>
      <c r="L227" s="67"/>
      <c r="M227" s="68">
        <f>SUM(C227,E227,G227,I227,K227)</f>
        <v>0</v>
      </c>
      <c r="N227" s="67"/>
      <c r="O227" s="152" t="s">
        <v>107</v>
      </c>
    </row>
    <row r="228" spans="1:15" ht="15" thickBot="1" x14ac:dyDescent="0.4">
      <c r="A228" t="s">
        <v>106</v>
      </c>
      <c r="B228" s="69" t="s">
        <v>167</v>
      </c>
      <c r="C228" s="70">
        <v>15598.825019999989</v>
      </c>
      <c r="D228" s="71">
        <f>SUM(D230:D240)</f>
        <v>0.36650196362033455</v>
      </c>
      <c r="E228" s="70">
        <v>15598.825019999989</v>
      </c>
      <c r="F228" s="71">
        <f>SUM(F230:F240)</f>
        <v>0.36650196362033455</v>
      </c>
      <c r="G228" s="70">
        <v>15598.825019999989</v>
      </c>
      <c r="H228" s="71">
        <f>SUM(H230:H240)</f>
        <v>0.36650196362033455</v>
      </c>
      <c r="I228" s="70">
        <v>15598.825019999989</v>
      </c>
      <c r="J228" s="71">
        <f>SUM(J230:J240)</f>
        <v>0.36650196362033455</v>
      </c>
      <c r="K228" s="70">
        <v>15598.825019999989</v>
      </c>
      <c r="L228" s="71">
        <f>SUM(L230:L240)</f>
        <v>0.36650196362033455</v>
      </c>
      <c r="M228" s="70">
        <f>SUM(C228,E228,G228,I228,K228)</f>
        <v>77994.125099999947</v>
      </c>
      <c r="N228" s="71">
        <f>SUM(N230:N240)</f>
        <v>7.3300392724066896E-2</v>
      </c>
      <c r="O228" s="153"/>
    </row>
    <row r="229" spans="1:15" ht="15" thickBot="1" x14ac:dyDescent="0.4">
      <c r="A229" t="s">
        <v>106</v>
      </c>
      <c r="B229" s="72" t="s">
        <v>168</v>
      </c>
      <c r="C229" s="73"/>
      <c r="D229" s="74">
        <f>(SUM(D230:D240)+C227)/C228</f>
        <v>2.3495485278565861E-5</v>
      </c>
      <c r="E229" s="73"/>
      <c r="F229" s="74">
        <f>(SUM(F230:F240)+E227)/E228</f>
        <v>2.3495485278565861E-5</v>
      </c>
      <c r="G229" s="73"/>
      <c r="H229" s="74">
        <f>(SUM(H230:H240)+G227)/G228</f>
        <v>2.3495485278565861E-5</v>
      </c>
      <c r="I229" s="73"/>
      <c r="J229" s="74">
        <f>(SUM(J230:J240)+I227)/I228</f>
        <v>2.3495485278565861E-5</v>
      </c>
      <c r="K229" s="73"/>
      <c r="L229" s="74">
        <f>(SUM(L230:L240)+K227)/K228</f>
        <v>2.3495485278565861E-5</v>
      </c>
      <c r="M229" s="73"/>
      <c r="N229" s="74">
        <f>(SUM(N230:N240)+M227)/M228</f>
        <v>9.398194111426342E-7</v>
      </c>
      <c r="O229" s="153"/>
    </row>
    <row r="230" spans="1:15" x14ac:dyDescent="0.35">
      <c r="A230" t="s">
        <v>106</v>
      </c>
      <c r="B230" s="75" t="s">
        <v>169</v>
      </c>
      <c r="C230" s="76">
        <v>800</v>
      </c>
      <c r="D230" s="77">
        <f>C230/C228</f>
        <v>5.1285914097650452E-2</v>
      </c>
      <c r="E230" s="78">
        <v>800</v>
      </c>
      <c r="F230" s="79">
        <f>E230/E228</f>
        <v>5.1285914097650452E-2</v>
      </c>
      <c r="G230" s="80">
        <v>800</v>
      </c>
      <c r="H230" s="81">
        <f>G230/G228</f>
        <v>5.1285914097650452E-2</v>
      </c>
      <c r="I230" s="82">
        <v>800</v>
      </c>
      <c r="J230" s="83">
        <f>I230/I228</f>
        <v>5.1285914097650452E-2</v>
      </c>
      <c r="K230" s="84">
        <v>800</v>
      </c>
      <c r="L230" s="85">
        <f>K230/K228</f>
        <v>5.1285914097650452E-2</v>
      </c>
      <c r="M230" s="86">
        <v>800</v>
      </c>
      <c r="N230" s="87">
        <f>M230/M228</f>
        <v>1.025718281953009E-2</v>
      </c>
      <c r="O230" s="153"/>
    </row>
    <row r="231" spans="1:15" x14ac:dyDescent="0.35">
      <c r="A231" t="s">
        <v>106</v>
      </c>
      <c r="B231" s="75" t="s">
        <v>170</v>
      </c>
      <c r="C231" s="88">
        <v>0</v>
      </c>
      <c r="D231" s="77">
        <f>C231/C228</f>
        <v>0</v>
      </c>
      <c r="E231" s="90">
        <v>0</v>
      </c>
      <c r="F231" s="79">
        <f>E231/E228</f>
        <v>0</v>
      </c>
      <c r="G231" s="91">
        <v>0</v>
      </c>
      <c r="H231" s="81">
        <f>G231/G228</f>
        <v>0</v>
      </c>
      <c r="I231" s="92">
        <v>0</v>
      </c>
      <c r="J231" s="83">
        <f>I231/I228</f>
        <v>0</v>
      </c>
      <c r="K231" s="93">
        <v>0</v>
      </c>
      <c r="L231" s="85">
        <f>K231/K228</f>
        <v>0</v>
      </c>
      <c r="M231" s="23">
        <v>0</v>
      </c>
      <c r="N231" s="87">
        <f>M231/M228</f>
        <v>0</v>
      </c>
      <c r="O231" s="153"/>
    </row>
    <row r="232" spans="1:15" x14ac:dyDescent="0.35">
      <c r="A232" t="s">
        <v>106</v>
      </c>
      <c r="B232" s="75" t="s">
        <v>171</v>
      </c>
      <c r="C232" s="88">
        <v>104</v>
      </c>
      <c r="D232" s="77">
        <f>C232/C228</f>
        <v>6.6671688326945585E-3</v>
      </c>
      <c r="E232" s="90">
        <v>104</v>
      </c>
      <c r="F232" s="79">
        <f>E232/E228</f>
        <v>6.6671688326945585E-3</v>
      </c>
      <c r="G232" s="91">
        <v>104</v>
      </c>
      <c r="H232" s="81">
        <f>G232/G228</f>
        <v>6.6671688326945585E-3</v>
      </c>
      <c r="I232" s="92">
        <v>104</v>
      </c>
      <c r="J232" s="83">
        <f>I232/I228</f>
        <v>6.6671688326945585E-3</v>
      </c>
      <c r="K232" s="93">
        <v>104</v>
      </c>
      <c r="L232" s="85">
        <f>K232/K228</f>
        <v>6.6671688326945585E-3</v>
      </c>
      <c r="M232" s="23">
        <v>104</v>
      </c>
      <c r="N232" s="87">
        <f>M232/M228</f>
        <v>1.3334337665389117E-3</v>
      </c>
      <c r="O232" s="153"/>
    </row>
    <row r="233" spans="1:15" x14ac:dyDescent="0.35">
      <c r="A233" t="s">
        <v>106</v>
      </c>
      <c r="B233" s="75" t="s">
        <v>172</v>
      </c>
      <c r="C233" s="88">
        <v>0</v>
      </c>
      <c r="D233" s="77">
        <f>C233/C228</f>
        <v>0</v>
      </c>
      <c r="E233" s="90">
        <v>0</v>
      </c>
      <c r="F233" s="79">
        <f>E233/E228</f>
        <v>0</v>
      </c>
      <c r="G233" s="91">
        <v>0</v>
      </c>
      <c r="H233" s="81">
        <f>G233/G228</f>
        <v>0</v>
      </c>
      <c r="I233" s="92">
        <v>0</v>
      </c>
      <c r="J233" s="83">
        <f>I233/I228</f>
        <v>0</v>
      </c>
      <c r="K233" s="93">
        <v>0</v>
      </c>
      <c r="L233" s="85">
        <f>K233/K228</f>
        <v>0</v>
      </c>
      <c r="M233" s="23">
        <v>0</v>
      </c>
      <c r="N233" s="87">
        <f>M233/M228</f>
        <v>0</v>
      </c>
      <c r="O233" s="153"/>
    </row>
    <row r="234" spans="1:15" x14ac:dyDescent="0.35">
      <c r="A234" t="s">
        <v>106</v>
      </c>
      <c r="B234" s="75" t="s">
        <v>173</v>
      </c>
      <c r="C234" s="94">
        <v>3619</v>
      </c>
      <c r="D234" s="77">
        <f>C234/C228</f>
        <v>0.23200465389924621</v>
      </c>
      <c r="E234" s="95">
        <v>3619</v>
      </c>
      <c r="F234" s="79">
        <f>E234/E228</f>
        <v>0.23200465389924621</v>
      </c>
      <c r="G234" s="96">
        <v>3619</v>
      </c>
      <c r="H234" s="81">
        <f>G234/G228</f>
        <v>0.23200465389924621</v>
      </c>
      <c r="I234" s="97">
        <v>3619</v>
      </c>
      <c r="J234" s="83">
        <f>I234/I228</f>
        <v>0.23200465389924621</v>
      </c>
      <c r="K234" s="98">
        <v>3619</v>
      </c>
      <c r="L234" s="85">
        <f>K234/K228</f>
        <v>0.23200465389924621</v>
      </c>
      <c r="M234" s="99">
        <v>3619</v>
      </c>
      <c r="N234" s="87">
        <f>M234/M228</f>
        <v>4.6400930779849241E-2</v>
      </c>
      <c r="O234" s="153"/>
    </row>
    <row r="235" spans="1:15" x14ac:dyDescent="0.35">
      <c r="A235" t="s">
        <v>106</v>
      </c>
      <c r="B235" s="75" t="s">
        <v>174</v>
      </c>
      <c r="C235" s="88">
        <v>956</v>
      </c>
      <c r="D235" s="77">
        <f>C235/C228</f>
        <v>6.1286667346692289E-2</v>
      </c>
      <c r="E235" s="90">
        <v>956</v>
      </c>
      <c r="F235" s="79">
        <f>E235/E228</f>
        <v>6.1286667346692289E-2</v>
      </c>
      <c r="G235" s="91">
        <v>956</v>
      </c>
      <c r="H235" s="81">
        <f>G235/G228</f>
        <v>6.1286667346692289E-2</v>
      </c>
      <c r="I235" s="92">
        <v>956</v>
      </c>
      <c r="J235" s="83">
        <f>I235/I228</f>
        <v>6.1286667346692289E-2</v>
      </c>
      <c r="K235" s="93">
        <v>956</v>
      </c>
      <c r="L235" s="85">
        <f>K235/K228</f>
        <v>6.1286667346692289E-2</v>
      </c>
      <c r="M235" s="23">
        <v>956</v>
      </c>
      <c r="N235" s="87">
        <f>M235/M228</f>
        <v>1.2257333469338457E-2</v>
      </c>
      <c r="O235" s="153"/>
    </row>
    <row r="236" spans="1:15" x14ac:dyDescent="0.35">
      <c r="A236" t="s">
        <v>106</v>
      </c>
      <c r="B236" s="75" t="s">
        <v>175</v>
      </c>
      <c r="C236" s="88">
        <v>0</v>
      </c>
      <c r="D236" s="77">
        <f>C236/C228</f>
        <v>0</v>
      </c>
      <c r="E236" s="90">
        <v>0</v>
      </c>
      <c r="F236" s="79">
        <f>E236/E228</f>
        <v>0</v>
      </c>
      <c r="G236" s="91">
        <v>0</v>
      </c>
      <c r="H236" s="81">
        <f>G236/G228</f>
        <v>0</v>
      </c>
      <c r="I236" s="92">
        <v>0</v>
      </c>
      <c r="J236" s="83">
        <f>I236/I228</f>
        <v>0</v>
      </c>
      <c r="K236" s="93">
        <v>0</v>
      </c>
      <c r="L236" s="85">
        <f>K236/K228</f>
        <v>0</v>
      </c>
      <c r="M236" s="23">
        <v>0</v>
      </c>
      <c r="N236" s="87">
        <f>M236/M228</f>
        <v>0</v>
      </c>
      <c r="O236" s="153"/>
    </row>
    <row r="237" spans="1:15" x14ac:dyDescent="0.35">
      <c r="A237" t="s">
        <v>106</v>
      </c>
      <c r="B237" s="75" t="s">
        <v>176</v>
      </c>
      <c r="C237" s="88">
        <v>238</v>
      </c>
      <c r="D237" s="77">
        <f>C237/C228</f>
        <v>1.5257559444051008E-2</v>
      </c>
      <c r="E237" s="90">
        <v>238</v>
      </c>
      <c r="F237" s="79">
        <f>E237/E228</f>
        <v>1.5257559444051008E-2</v>
      </c>
      <c r="G237" s="91">
        <v>238</v>
      </c>
      <c r="H237" s="81">
        <f>G237/G228</f>
        <v>1.5257559444051008E-2</v>
      </c>
      <c r="I237" s="92">
        <v>238</v>
      </c>
      <c r="J237" s="83">
        <f>I237/I228</f>
        <v>1.5257559444051008E-2</v>
      </c>
      <c r="K237" s="93">
        <v>238</v>
      </c>
      <c r="L237" s="85">
        <f>K237/K228</f>
        <v>1.5257559444051008E-2</v>
      </c>
      <c r="M237" s="23">
        <v>238</v>
      </c>
      <c r="N237" s="87">
        <f>M237/M228</f>
        <v>3.0515118888102019E-3</v>
      </c>
      <c r="O237" s="153"/>
    </row>
    <row r="238" spans="1:15" x14ac:dyDescent="0.35">
      <c r="A238" t="s">
        <v>106</v>
      </c>
      <c r="B238" s="75" t="s">
        <v>177</v>
      </c>
      <c r="C238" s="88">
        <v>0</v>
      </c>
      <c r="D238" s="77">
        <f>C238/C228</f>
        <v>0</v>
      </c>
      <c r="E238" s="90">
        <v>0</v>
      </c>
      <c r="F238" s="79">
        <f>E238/E228</f>
        <v>0</v>
      </c>
      <c r="G238" s="91">
        <v>0</v>
      </c>
      <c r="H238" s="81">
        <f>G238/G228</f>
        <v>0</v>
      </c>
      <c r="I238" s="92">
        <v>0</v>
      </c>
      <c r="J238" s="83">
        <f>I238/I228</f>
        <v>0</v>
      </c>
      <c r="K238" s="93">
        <v>0</v>
      </c>
      <c r="L238" s="85">
        <f>K238/K228</f>
        <v>0</v>
      </c>
      <c r="M238" s="23">
        <v>0</v>
      </c>
      <c r="N238" s="87">
        <f>M238/M228</f>
        <v>0</v>
      </c>
      <c r="O238" s="153"/>
    </row>
    <row r="239" spans="1:15" x14ac:dyDescent="0.35">
      <c r="A239" t="s">
        <v>106</v>
      </c>
      <c r="B239" s="75" t="s">
        <v>178</v>
      </c>
      <c r="C239" s="88">
        <v>0</v>
      </c>
      <c r="D239" s="77">
        <f>C239/C228</f>
        <v>0</v>
      </c>
      <c r="E239" s="90">
        <v>0</v>
      </c>
      <c r="F239" s="79">
        <f>E239/E228</f>
        <v>0</v>
      </c>
      <c r="G239" s="91">
        <v>0</v>
      </c>
      <c r="H239" s="81">
        <f>G239/G228</f>
        <v>0</v>
      </c>
      <c r="I239" s="92">
        <v>0</v>
      </c>
      <c r="J239" s="83">
        <f>I239/I228</f>
        <v>0</v>
      </c>
      <c r="K239" s="93">
        <v>0</v>
      </c>
      <c r="L239" s="85">
        <f>K239/K228</f>
        <v>0</v>
      </c>
      <c r="M239" s="23">
        <v>0</v>
      </c>
      <c r="N239" s="87">
        <f>M239/M228</f>
        <v>0</v>
      </c>
      <c r="O239" s="153"/>
    </row>
    <row r="240" spans="1:15" ht="15" thickBot="1" x14ac:dyDescent="0.4">
      <c r="A240" t="s">
        <v>106</v>
      </c>
      <c r="B240" s="100" t="s">
        <v>179</v>
      </c>
      <c r="C240" s="101">
        <v>0</v>
      </c>
      <c r="D240" s="113">
        <f t="shared" ref="D240" si="25">C240/$C$33</f>
        <v>0</v>
      </c>
      <c r="E240" s="103">
        <v>0</v>
      </c>
      <c r="F240" s="104">
        <f>E240/E228</f>
        <v>0</v>
      </c>
      <c r="G240" s="105">
        <v>0</v>
      </c>
      <c r="H240" s="106">
        <f>G240/G228</f>
        <v>0</v>
      </c>
      <c r="I240" s="107">
        <v>0</v>
      </c>
      <c r="J240" s="108">
        <f>I240/I228</f>
        <v>0</v>
      </c>
      <c r="K240" s="109">
        <v>0</v>
      </c>
      <c r="L240" s="110">
        <f>K240/K228</f>
        <v>0</v>
      </c>
      <c r="M240" s="25">
        <v>0</v>
      </c>
      <c r="N240" s="111">
        <f>M240/M228</f>
        <v>0</v>
      </c>
      <c r="O240" s="154"/>
    </row>
    <row r="241" spans="1:15" ht="15" thickBot="1" x14ac:dyDescent="0.4">
      <c r="D241" s="26"/>
      <c r="F241" s="26"/>
      <c r="H241" s="26"/>
      <c r="J241" s="26"/>
      <c r="L241" s="26"/>
      <c r="N241" s="26"/>
    </row>
    <row r="242" spans="1:15" ht="14.5" customHeight="1" thickBot="1" x14ac:dyDescent="0.4">
      <c r="A242" t="s">
        <v>108</v>
      </c>
      <c r="B242" s="65" t="s">
        <v>166</v>
      </c>
      <c r="C242" s="66">
        <v>0</v>
      </c>
      <c r="D242" s="67"/>
      <c r="E242" s="66">
        <v>0</v>
      </c>
      <c r="F242" s="67"/>
      <c r="G242" s="66">
        <v>0</v>
      </c>
      <c r="H242" s="67"/>
      <c r="I242" s="66">
        <v>0</v>
      </c>
      <c r="J242" s="67"/>
      <c r="K242" s="66">
        <v>0</v>
      </c>
      <c r="L242" s="67"/>
      <c r="M242" s="68">
        <f>SUM(C242,E242,G242,I242,K242)</f>
        <v>0</v>
      </c>
      <c r="N242" s="67"/>
      <c r="O242" s="152" t="s">
        <v>109</v>
      </c>
    </row>
    <row r="243" spans="1:15" ht="15" thickBot="1" x14ac:dyDescent="0.4">
      <c r="A243" t="s">
        <v>108</v>
      </c>
      <c r="B243" s="69" t="s">
        <v>167</v>
      </c>
      <c r="C243" s="70">
        <v>15598.825019999989</v>
      </c>
      <c r="D243" s="71">
        <f>SUM(D245:D255)</f>
        <v>0.36650196362033455</v>
      </c>
      <c r="E243" s="70">
        <v>15598.825019999989</v>
      </c>
      <c r="F243" s="71">
        <f>SUM(F245:F255)</f>
        <v>0.36650196362033455</v>
      </c>
      <c r="G243" s="70">
        <v>15598.825019999989</v>
      </c>
      <c r="H243" s="71">
        <f>SUM(H245:H255)</f>
        <v>0.36650196362033455</v>
      </c>
      <c r="I243" s="70">
        <v>15598.825019999989</v>
      </c>
      <c r="J243" s="71">
        <f>SUM(J245:J255)</f>
        <v>0.36650196362033455</v>
      </c>
      <c r="K243" s="70">
        <v>15598.825019999989</v>
      </c>
      <c r="L243" s="71">
        <f>SUM(L245:L255)</f>
        <v>0.36650196362033455</v>
      </c>
      <c r="M243" s="70">
        <f>SUM(C243,E243,G243,I243,K243)</f>
        <v>77994.125099999947</v>
      </c>
      <c r="N243" s="71">
        <f>SUM(N245:N255)</f>
        <v>7.3300392724066896E-2</v>
      </c>
      <c r="O243" s="153"/>
    </row>
    <row r="244" spans="1:15" ht="15" thickBot="1" x14ac:dyDescent="0.4">
      <c r="A244" t="s">
        <v>108</v>
      </c>
      <c r="B244" s="72" t="s">
        <v>168</v>
      </c>
      <c r="C244" s="73"/>
      <c r="D244" s="74">
        <f>(SUM(D245:D255)+C242)/C243</f>
        <v>2.3495485278565861E-5</v>
      </c>
      <c r="E244" s="73"/>
      <c r="F244" s="74">
        <f>(SUM(F245:F255)+E242)/E243</f>
        <v>2.3495485278565861E-5</v>
      </c>
      <c r="G244" s="73"/>
      <c r="H244" s="74">
        <f>(SUM(H245:H255)+G242)/G243</f>
        <v>2.3495485278565861E-5</v>
      </c>
      <c r="I244" s="73"/>
      <c r="J244" s="74">
        <f>(SUM(J245:J255)+I242)/I243</f>
        <v>2.3495485278565861E-5</v>
      </c>
      <c r="K244" s="73"/>
      <c r="L244" s="74">
        <f>(SUM(L245:L255)+K242)/K243</f>
        <v>2.3495485278565861E-5</v>
      </c>
      <c r="M244" s="73"/>
      <c r="N244" s="74">
        <f>(SUM(N245:N255)+M242)/M243</f>
        <v>9.398194111426342E-7</v>
      </c>
      <c r="O244" s="153"/>
    </row>
    <row r="245" spans="1:15" x14ac:dyDescent="0.35">
      <c r="A245" t="s">
        <v>108</v>
      </c>
      <c r="B245" s="75" t="s">
        <v>169</v>
      </c>
      <c r="C245" s="76">
        <v>800</v>
      </c>
      <c r="D245" s="77">
        <f>C245/C243</f>
        <v>5.1285914097650452E-2</v>
      </c>
      <c r="E245" s="78">
        <v>800</v>
      </c>
      <c r="F245" s="79">
        <f>E245/E243</f>
        <v>5.1285914097650452E-2</v>
      </c>
      <c r="G245" s="80">
        <v>800</v>
      </c>
      <c r="H245" s="81">
        <f>G245/G243</f>
        <v>5.1285914097650452E-2</v>
      </c>
      <c r="I245" s="82">
        <v>800</v>
      </c>
      <c r="J245" s="83">
        <f>I245/I243</f>
        <v>5.1285914097650452E-2</v>
      </c>
      <c r="K245" s="84">
        <v>800</v>
      </c>
      <c r="L245" s="85">
        <f>K245/K243</f>
        <v>5.1285914097650452E-2</v>
      </c>
      <c r="M245" s="86">
        <v>800</v>
      </c>
      <c r="N245" s="87">
        <f>M245/M243</f>
        <v>1.025718281953009E-2</v>
      </c>
      <c r="O245" s="153"/>
    </row>
    <row r="246" spans="1:15" x14ac:dyDescent="0.35">
      <c r="A246" t="s">
        <v>108</v>
      </c>
      <c r="B246" s="75" t="s">
        <v>170</v>
      </c>
      <c r="C246" s="88">
        <v>0</v>
      </c>
      <c r="D246" s="77">
        <f>C246/C243</f>
        <v>0</v>
      </c>
      <c r="E246" s="90">
        <v>0</v>
      </c>
      <c r="F246" s="79">
        <f>E246/E243</f>
        <v>0</v>
      </c>
      <c r="G246" s="91">
        <v>0</v>
      </c>
      <c r="H246" s="81">
        <f>G246/G243</f>
        <v>0</v>
      </c>
      <c r="I246" s="92">
        <v>0</v>
      </c>
      <c r="J246" s="83">
        <f>I246/I243</f>
        <v>0</v>
      </c>
      <c r="K246" s="93">
        <v>0</v>
      </c>
      <c r="L246" s="85">
        <f>K246/K243</f>
        <v>0</v>
      </c>
      <c r="M246" s="23">
        <v>0</v>
      </c>
      <c r="N246" s="87">
        <f>M246/M243</f>
        <v>0</v>
      </c>
      <c r="O246" s="153"/>
    </row>
    <row r="247" spans="1:15" x14ac:dyDescent="0.35">
      <c r="A247" t="s">
        <v>108</v>
      </c>
      <c r="B247" s="75" t="s">
        <v>171</v>
      </c>
      <c r="C247" s="88">
        <v>104</v>
      </c>
      <c r="D247" s="77">
        <f>C247/C243</f>
        <v>6.6671688326945585E-3</v>
      </c>
      <c r="E247" s="90">
        <v>104</v>
      </c>
      <c r="F247" s="79">
        <f>E247/E243</f>
        <v>6.6671688326945585E-3</v>
      </c>
      <c r="G247" s="91">
        <v>104</v>
      </c>
      <c r="H247" s="81">
        <f>G247/G243</f>
        <v>6.6671688326945585E-3</v>
      </c>
      <c r="I247" s="92">
        <v>104</v>
      </c>
      <c r="J247" s="83">
        <f>I247/I243</f>
        <v>6.6671688326945585E-3</v>
      </c>
      <c r="K247" s="93">
        <v>104</v>
      </c>
      <c r="L247" s="85">
        <f>K247/K243</f>
        <v>6.6671688326945585E-3</v>
      </c>
      <c r="M247" s="23">
        <v>104</v>
      </c>
      <c r="N247" s="87">
        <f>M247/M243</f>
        <v>1.3334337665389117E-3</v>
      </c>
      <c r="O247" s="153"/>
    </row>
    <row r="248" spans="1:15" x14ac:dyDescent="0.35">
      <c r="A248" t="s">
        <v>108</v>
      </c>
      <c r="B248" s="75" t="s">
        <v>172</v>
      </c>
      <c r="C248" s="88">
        <v>0</v>
      </c>
      <c r="D248" s="77">
        <f>C248/C243</f>
        <v>0</v>
      </c>
      <c r="E248" s="90">
        <v>0</v>
      </c>
      <c r="F248" s="79">
        <f>E248/E243</f>
        <v>0</v>
      </c>
      <c r="G248" s="91">
        <v>0</v>
      </c>
      <c r="H248" s="81">
        <f>G248/G243</f>
        <v>0</v>
      </c>
      <c r="I248" s="92">
        <v>0</v>
      </c>
      <c r="J248" s="83">
        <f>I248/I243</f>
        <v>0</v>
      </c>
      <c r="K248" s="93">
        <v>0</v>
      </c>
      <c r="L248" s="85">
        <f>K248/K243</f>
        <v>0</v>
      </c>
      <c r="M248" s="23">
        <v>0</v>
      </c>
      <c r="N248" s="87">
        <f>M248/M243</f>
        <v>0</v>
      </c>
      <c r="O248" s="153"/>
    </row>
    <row r="249" spans="1:15" x14ac:dyDescent="0.35">
      <c r="A249" t="s">
        <v>108</v>
      </c>
      <c r="B249" s="75" t="s">
        <v>173</v>
      </c>
      <c r="C249" s="94">
        <v>3619</v>
      </c>
      <c r="D249" s="77">
        <f>C249/C243</f>
        <v>0.23200465389924621</v>
      </c>
      <c r="E249" s="95">
        <v>3619</v>
      </c>
      <c r="F249" s="79">
        <f>E249/E243</f>
        <v>0.23200465389924621</v>
      </c>
      <c r="G249" s="96">
        <v>3619</v>
      </c>
      <c r="H249" s="81">
        <f>G249/G243</f>
        <v>0.23200465389924621</v>
      </c>
      <c r="I249" s="97">
        <v>3619</v>
      </c>
      <c r="J249" s="83">
        <f>I249/I243</f>
        <v>0.23200465389924621</v>
      </c>
      <c r="K249" s="98">
        <v>3619</v>
      </c>
      <c r="L249" s="85">
        <f>K249/K243</f>
        <v>0.23200465389924621</v>
      </c>
      <c r="M249" s="99">
        <v>3619</v>
      </c>
      <c r="N249" s="87">
        <f>M249/M243</f>
        <v>4.6400930779849241E-2</v>
      </c>
      <c r="O249" s="153"/>
    </row>
    <row r="250" spans="1:15" x14ac:dyDescent="0.35">
      <c r="A250" t="s">
        <v>108</v>
      </c>
      <c r="B250" s="75" t="s">
        <v>174</v>
      </c>
      <c r="C250" s="88">
        <v>956</v>
      </c>
      <c r="D250" s="77">
        <f>C250/C243</f>
        <v>6.1286667346692289E-2</v>
      </c>
      <c r="E250" s="90">
        <v>956</v>
      </c>
      <c r="F250" s="79">
        <f>E250/E243</f>
        <v>6.1286667346692289E-2</v>
      </c>
      <c r="G250" s="91">
        <v>956</v>
      </c>
      <c r="H250" s="81">
        <f>G250/G243</f>
        <v>6.1286667346692289E-2</v>
      </c>
      <c r="I250" s="92">
        <v>956</v>
      </c>
      <c r="J250" s="83">
        <f>I250/I243</f>
        <v>6.1286667346692289E-2</v>
      </c>
      <c r="K250" s="93">
        <v>956</v>
      </c>
      <c r="L250" s="85">
        <f>K250/K243</f>
        <v>6.1286667346692289E-2</v>
      </c>
      <c r="M250" s="23">
        <v>956</v>
      </c>
      <c r="N250" s="87">
        <f>M250/M243</f>
        <v>1.2257333469338457E-2</v>
      </c>
      <c r="O250" s="153"/>
    </row>
    <row r="251" spans="1:15" x14ac:dyDescent="0.35">
      <c r="A251" t="s">
        <v>108</v>
      </c>
      <c r="B251" s="75" t="s">
        <v>175</v>
      </c>
      <c r="C251" s="88">
        <v>0</v>
      </c>
      <c r="D251" s="77">
        <f>C251/C243</f>
        <v>0</v>
      </c>
      <c r="E251" s="90">
        <v>0</v>
      </c>
      <c r="F251" s="79">
        <f>E251/E243</f>
        <v>0</v>
      </c>
      <c r="G251" s="91">
        <v>0</v>
      </c>
      <c r="H251" s="81">
        <f>G251/G243</f>
        <v>0</v>
      </c>
      <c r="I251" s="92">
        <v>0</v>
      </c>
      <c r="J251" s="83">
        <f>I251/I243</f>
        <v>0</v>
      </c>
      <c r="K251" s="93">
        <v>0</v>
      </c>
      <c r="L251" s="85">
        <f>K251/K243</f>
        <v>0</v>
      </c>
      <c r="M251" s="23">
        <v>0</v>
      </c>
      <c r="N251" s="87">
        <f>M251/M243</f>
        <v>0</v>
      </c>
      <c r="O251" s="153"/>
    </row>
    <row r="252" spans="1:15" x14ac:dyDescent="0.35">
      <c r="A252" t="s">
        <v>108</v>
      </c>
      <c r="B252" s="75" t="s">
        <v>176</v>
      </c>
      <c r="C252" s="88">
        <v>238</v>
      </c>
      <c r="D252" s="77">
        <f>C252/C243</f>
        <v>1.5257559444051008E-2</v>
      </c>
      <c r="E252" s="90">
        <v>238</v>
      </c>
      <c r="F252" s="79">
        <f>E252/E243</f>
        <v>1.5257559444051008E-2</v>
      </c>
      <c r="G252" s="91">
        <v>238</v>
      </c>
      <c r="H252" s="81">
        <f>G252/G243</f>
        <v>1.5257559444051008E-2</v>
      </c>
      <c r="I252" s="92">
        <v>238</v>
      </c>
      <c r="J252" s="83">
        <f>I252/I243</f>
        <v>1.5257559444051008E-2</v>
      </c>
      <c r="K252" s="93">
        <v>238</v>
      </c>
      <c r="L252" s="85">
        <f>K252/K243</f>
        <v>1.5257559444051008E-2</v>
      </c>
      <c r="M252" s="23">
        <v>238</v>
      </c>
      <c r="N252" s="87">
        <f>M252/M243</f>
        <v>3.0515118888102019E-3</v>
      </c>
      <c r="O252" s="153"/>
    </row>
    <row r="253" spans="1:15" x14ac:dyDescent="0.35">
      <c r="A253" t="s">
        <v>108</v>
      </c>
      <c r="B253" s="75" t="s">
        <v>177</v>
      </c>
      <c r="C253" s="88">
        <v>0</v>
      </c>
      <c r="D253" s="77">
        <f>C253/C243</f>
        <v>0</v>
      </c>
      <c r="E253" s="90">
        <v>0</v>
      </c>
      <c r="F253" s="79">
        <f>E253/E243</f>
        <v>0</v>
      </c>
      <c r="G253" s="91">
        <v>0</v>
      </c>
      <c r="H253" s="81">
        <f>G253/G243</f>
        <v>0</v>
      </c>
      <c r="I253" s="92">
        <v>0</v>
      </c>
      <c r="J253" s="83">
        <f>I253/I243</f>
        <v>0</v>
      </c>
      <c r="K253" s="93">
        <v>0</v>
      </c>
      <c r="L253" s="85">
        <f>K253/K243</f>
        <v>0</v>
      </c>
      <c r="M253" s="23">
        <v>0</v>
      </c>
      <c r="N253" s="87">
        <f>M253/M243</f>
        <v>0</v>
      </c>
      <c r="O253" s="153"/>
    </row>
    <row r="254" spans="1:15" x14ac:dyDescent="0.35">
      <c r="A254" t="s">
        <v>108</v>
      </c>
      <c r="B254" s="75" t="s">
        <v>178</v>
      </c>
      <c r="C254" s="88">
        <v>0</v>
      </c>
      <c r="D254" s="77">
        <f>C254/C243</f>
        <v>0</v>
      </c>
      <c r="E254" s="90">
        <v>0</v>
      </c>
      <c r="F254" s="79">
        <f>E254/E243</f>
        <v>0</v>
      </c>
      <c r="G254" s="91">
        <v>0</v>
      </c>
      <c r="H254" s="81">
        <f>G254/G243</f>
        <v>0</v>
      </c>
      <c r="I254" s="92">
        <v>0</v>
      </c>
      <c r="J254" s="83">
        <f>I254/I243</f>
        <v>0</v>
      </c>
      <c r="K254" s="93">
        <v>0</v>
      </c>
      <c r="L254" s="85">
        <f>K254/K243</f>
        <v>0</v>
      </c>
      <c r="M254" s="23">
        <v>0</v>
      </c>
      <c r="N254" s="87">
        <f>M254/M243</f>
        <v>0</v>
      </c>
      <c r="O254" s="153"/>
    </row>
    <row r="255" spans="1:15" ht="15" thickBot="1" x14ac:dyDescent="0.4">
      <c r="A255" t="s">
        <v>108</v>
      </c>
      <c r="B255" s="100" t="s">
        <v>179</v>
      </c>
      <c r="C255" s="101">
        <v>0</v>
      </c>
      <c r="D255" s="113">
        <f t="shared" ref="D255" si="26">C255/$C$33</f>
        <v>0</v>
      </c>
      <c r="E255" s="103">
        <v>0</v>
      </c>
      <c r="F255" s="104">
        <f>E255/E243</f>
        <v>0</v>
      </c>
      <c r="G255" s="105">
        <v>0</v>
      </c>
      <c r="H255" s="106">
        <f>G255/G243</f>
        <v>0</v>
      </c>
      <c r="I255" s="107">
        <v>0</v>
      </c>
      <c r="J255" s="108">
        <f>I255/I243</f>
        <v>0</v>
      </c>
      <c r="K255" s="109">
        <v>0</v>
      </c>
      <c r="L255" s="110">
        <f>K255/K243</f>
        <v>0</v>
      </c>
      <c r="M255" s="25">
        <v>0</v>
      </c>
      <c r="N255" s="111">
        <f>M255/M243</f>
        <v>0</v>
      </c>
      <c r="O255" s="154"/>
    </row>
    <row r="256" spans="1:15" ht="15" thickBot="1" x14ac:dyDescent="0.4">
      <c r="D256" s="26"/>
      <c r="F256" s="26"/>
      <c r="H256" s="26"/>
      <c r="J256" s="26"/>
      <c r="L256" s="26"/>
      <c r="N256" s="26"/>
    </row>
    <row r="257" spans="1:15" ht="14.5" customHeight="1" thickBot="1" x14ac:dyDescent="0.4">
      <c r="A257" t="s">
        <v>110</v>
      </c>
      <c r="B257" s="65" t="s">
        <v>166</v>
      </c>
      <c r="C257" s="66">
        <v>0</v>
      </c>
      <c r="D257" s="67"/>
      <c r="E257" s="66">
        <v>0</v>
      </c>
      <c r="F257" s="67"/>
      <c r="G257" s="66">
        <v>0</v>
      </c>
      <c r="H257" s="67"/>
      <c r="I257" s="66">
        <v>0</v>
      </c>
      <c r="J257" s="67"/>
      <c r="K257" s="66">
        <v>0</v>
      </c>
      <c r="L257" s="67"/>
      <c r="M257" s="68">
        <f>SUM(C257,E257,G257,I257,K257)</f>
        <v>0</v>
      </c>
      <c r="N257" s="67"/>
      <c r="O257" s="152" t="s">
        <v>111</v>
      </c>
    </row>
    <row r="258" spans="1:15" ht="15" thickBot="1" x14ac:dyDescent="0.4">
      <c r="A258" t="s">
        <v>110</v>
      </c>
      <c r="B258" s="69" t="s">
        <v>167</v>
      </c>
      <c r="C258" s="70">
        <v>15598.825019999989</v>
      </c>
      <c r="D258" s="71">
        <f>SUM(D260:D270)</f>
        <v>0.36650196362033455</v>
      </c>
      <c r="E258" s="70">
        <v>15598.825019999989</v>
      </c>
      <c r="F258" s="71">
        <f>SUM(F260:F270)</f>
        <v>0.36650196362033455</v>
      </c>
      <c r="G258" s="70">
        <v>15598.825019999989</v>
      </c>
      <c r="H258" s="71">
        <f>SUM(H260:H270)</f>
        <v>0.36650196362033455</v>
      </c>
      <c r="I258" s="70">
        <v>15598.825019999989</v>
      </c>
      <c r="J258" s="71">
        <f>SUM(J260:J270)</f>
        <v>0.36650196362033455</v>
      </c>
      <c r="K258" s="70">
        <v>15598.825019999989</v>
      </c>
      <c r="L258" s="71">
        <f>SUM(L260:L270)</f>
        <v>0.36650196362033455</v>
      </c>
      <c r="M258" s="70">
        <f>SUM(C258,E258,G258,I258,K258)</f>
        <v>77994.125099999947</v>
      </c>
      <c r="N258" s="71">
        <f>SUM(N260:N270)</f>
        <v>7.3300392724066896E-2</v>
      </c>
      <c r="O258" s="153"/>
    </row>
    <row r="259" spans="1:15" ht="15" thickBot="1" x14ac:dyDescent="0.4">
      <c r="A259" t="s">
        <v>110</v>
      </c>
      <c r="B259" s="72" t="s">
        <v>168</v>
      </c>
      <c r="C259" s="73"/>
      <c r="D259" s="74">
        <f>(SUM(D260:D270)+C257)/C258</f>
        <v>2.3495485278565861E-5</v>
      </c>
      <c r="E259" s="73"/>
      <c r="F259" s="74">
        <f>(SUM(F260:F270)+E257)/E258</f>
        <v>2.3495485278565861E-5</v>
      </c>
      <c r="G259" s="73"/>
      <c r="H259" s="74">
        <f>(SUM(H260:H270)+G257)/G258</f>
        <v>2.3495485278565861E-5</v>
      </c>
      <c r="I259" s="73"/>
      <c r="J259" s="74">
        <f>(SUM(J260:J270)+I257)/I258</f>
        <v>2.3495485278565861E-5</v>
      </c>
      <c r="K259" s="73"/>
      <c r="L259" s="74">
        <f>(SUM(L260:L270)+K257)/K258</f>
        <v>2.3495485278565861E-5</v>
      </c>
      <c r="M259" s="73"/>
      <c r="N259" s="74">
        <f>(SUM(N260:N270)+M257)/M258</f>
        <v>9.398194111426342E-7</v>
      </c>
      <c r="O259" s="153"/>
    </row>
    <row r="260" spans="1:15" x14ac:dyDescent="0.35">
      <c r="A260" t="s">
        <v>110</v>
      </c>
      <c r="B260" s="75" t="s">
        <v>169</v>
      </c>
      <c r="C260" s="76">
        <v>800</v>
      </c>
      <c r="D260" s="77">
        <f>C260/C258</f>
        <v>5.1285914097650452E-2</v>
      </c>
      <c r="E260" s="78">
        <v>800</v>
      </c>
      <c r="F260" s="79">
        <f>E260/E258</f>
        <v>5.1285914097650452E-2</v>
      </c>
      <c r="G260" s="80">
        <v>800</v>
      </c>
      <c r="H260" s="81">
        <f>G260/G258</f>
        <v>5.1285914097650452E-2</v>
      </c>
      <c r="I260" s="82">
        <v>800</v>
      </c>
      <c r="J260" s="83">
        <f>I260/I258</f>
        <v>5.1285914097650452E-2</v>
      </c>
      <c r="K260" s="84">
        <v>800</v>
      </c>
      <c r="L260" s="85">
        <f>K260/K258</f>
        <v>5.1285914097650452E-2</v>
      </c>
      <c r="M260" s="86">
        <v>800</v>
      </c>
      <c r="N260" s="87">
        <f>M260/M258</f>
        <v>1.025718281953009E-2</v>
      </c>
      <c r="O260" s="153"/>
    </row>
    <row r="261" spans="1:15" x14ac:dyDescent="0.35">
      <c r="A261" t="s">
        <v>110</v>
      </c>
      <c r="B261" s="75" t="s">
        <v>170</v>
      </c>
      <c r="C261" s="88">
        <v>0</v>
      </c>
      <c r="D261" s="77">
        <f>C261/C258</f>
        <v>0</v>
      </c>
      <c r="E261" s="90">
        <v>0</v>
      </c>
      <c r="F261" s="79">
        <f>E261/E258</f>
        <v>0</v>
      </c>
      <c r="G261" s="91">
        <v>0</v>
      </c>
      <c r="H261" s="81">
        <f>G261/G258</f>
        <v>0</v>
      </c>
      <c r="I261" s="92">
        <v>0</v>
      </c>
      <c r="J261" s="83">
        <f>I261/I258</f>
        <v>0</v>
      </c>
      <c r="K261" s="93">
        <v>0</v>
      </c>
      <c r="L261" s="85">
        <f>K261/K258</f>
        <v>0</v>
      </c>
      <c r="M261" s="23">
        <v>0</v>
      </c>
      <c r="N261" s="87">
        <f>M261/M258</f>
        <v>0</v>
      </c>
      <c r="O261" s="153"/>
    </row>
    <row r="262" spans="1:15" x14ac:dyDescent="0.35">
      <c r="A262" t="s">
        <v>110</v>
      </c>
      <c r="B262" s="75" t="s">
        <v>171</v>
      </c>
      <c r="C262" s="88">
        <v>104</v>
      </c>
      <c r="D262" s="77">
        <f>C262/C258</f>
        <v>6.6671688326945585E-3</v>
      </c>
      <c r="E262" s="90">
        <v>104</v>
      </c>
      <c r="F262" s="79">
        <f>E262/E258</f>
        <v>6.6671688326945585E-3</v>
      </c>
      <c r="G262" s="91">
        <v>104</v>
      </c>
      <c r="H262" s="81">
        <f>G262/G258</f>
        <v>6.6671688326945585E-3</v>
      </c>
      <c r="I262" s="92">
        <v>104</v>
      </c>
      <c r="J262" s="83">
        <f>I262/I258</f>
        <v>6.6671688326945585E-3</v>
      </c>
      <c r="K262" s="93">
        <v>104</v>
      </c>
      <c r="L262" s="85">
        <f>K262/K258</f>
        <v>6.6671688326945585E-3</v>
      </c>
      <c r="M262" s="23">
        <v>104</v>
      </c>
      <c r="N262" s="87">
        <f>M262/M258</f>
        <v>1.3334337665389117E-3</v>
      </c>
      <c r="O262" s="153"/>
    </row>
    <row r="263" spans="1:15" x14ac:dyDescent="0.35">
      <c r="A263" t="s">
        <v>110</v>
      </c>
      <c r="B263" s="75" t="s">
        <v>172</v>
      </c>
      <c r="C263" s="88">
        <v>0</v>
      </c>
      <c r="D263" s="77">
        <f>C263/C258</f>
        <v>0</v>
      </c>
      <c r="E263" s="90">
        <v>0</v>
      </c>
      <c r="F263" s="79">
        <f>E263/E258</f>
        <v>0</v>
      </c>
      <c r="G263" s="91">
        <v>0</v>
      </c>
      <c r="H263" s="81">
        <f>G263/G258</f>
        <v>0</v>
      </c>
      <c r="I263" s="92">
        <v>0</v>
      </c>
      <c r="J263" s="83">
        <f>I263/I258</f>
        <v>0</v>
      </c>
      <c r="K263" s="93">
        <v>0</v>
      </c>
      <c r="L263" s="85">
        <f>K263/K258</f>
        <v>0</v>
      </c>
      <c r="M263" s="23">
        <v>0</v>
      </c>
      <c r="N263" s="87">
        <f>M263/M258</f>
        <v>0</v>
      </c>
      <c r="O263" s="153"/>
    </row>
    <row r="264" spans="1:15" x14ac:dyDescent="0.35">
      <c r="A264" t="s">
        <v>110</v>
      </c>
      <c r="B264" s="75" t="s">
        <v>173</v>
      </c>
      <c r="C264" s="94">
        <v>3619</v>
      </c>
      <c r="D264" s="77">
        <f>C264/C258</f>
        <v>0.23200465389924621</v>
      </c>
      <c r="E264" s="95">
        <v>3619</v>
      </c>
      <c r="F264" s="79">
        <f>E264/E258</f>
        <v>0.23200465389924621</v>
      </c>
      <c r="G264" s="96">
        <v>3619</v>
      </c>
      <c r="H264" s="81">
        <f>G264/G258</f>
        <v>0.23200465389924621</v>
      </c>
      <c r="I264" s="97">
        <v>3619</v>
      </c>
      <c r="J264" s="83">
        <f>I264/I258</f>
        <v>0.23200465389924621</v>
      </c>
      <c r="K264" s="98">
        <v>3619</v>
      </c>
      <c r="L264" s="85">
        <f>K264/K258</f>
        <v>0.23200465389924621</v>
      </c>
      <c r="M264" s="99">
        <v>3619</v>
      </c>
      <c r="N264" s="87">
        <f>M264/M258</f>
        <v>4.6400930779849241E-2</v>
      </c>
      <c r="O264" s="153"/>
    </row>
    <row r="265" spans="1:15" x14ac:dyDescent="0.35">
      <c r="A265" t="s">
        <v>110</v>
      </c>
      <c r="B265" s="75" t="s">
        <v>174</v>
      </c>
      <c r="C265" s="88">
        <v>956</v>
      </c>
      <c r="D265" s="77">
        <f>C265/C258</f>
        <v>6.1286667346692289E-2</v>
      </c>
      <c r="E265" s="90">
        <v>956</v>
      </c>
      <c r="F265" s="79">
        <f>E265/E258</f>
        <v>6.1286667346692289E-2</v>
      </c>
      <c r="G265" s="91">
        <v>956</v>
      </c>
      <c r="H265" s="81">
        <f>G265/G258</f>
        <v>6.1286667346692289E-2</v>
      </c>
      <c r="I265" s="92">
        <v>956</v>
      </c>
      <c r="J265" s="83">
        <f>I265/I258</f>
        <v>6.1286667346692289E-2</v>
      </c>
      <c r="K265" s="93">
        <v>956</v>
      </c>
      <c r="L265" s="85">
        <f>K265/K258</f>
        <v>6.1286667346692289E-2</v>
      </c>
      <c r="M265" s="23">
        <v>956</v>
      </c>
      <c r="N265" s="87">
        <f>M265/M258</f>
        <v>1.2257333469338457E-2</v>
      </c>
      <c r="O265" s="153"/>
    </row>
    <row r="266" spans="1:15" x14ac:dyDescent="0.35">
      <c r="A266" t="s">
        <v>110</v>
      </c>
      <c r="B266" s="75" t="s">
        <v>175</v>
      </c>
      <c r="C266" s="88">
        <v>0</v>
      </c>
      <c r="D266" s="77">
        <f>C266/C258</f>
        <v>0</v>
      </c>
      <c r="E266" s="90">
        <v>0</v>
      </c>
      <c r="F266" s="79">
        <f>E266/E258</f>
        <v>0</v>
      </c>
      <c r="G266" s="91">
        <v>0</v>
      </c>
      <c r="H266" s="81">
        <f>G266/G258</f>
        <v>0</v>
      </c>
      <c r="I266" s="92">
        <v>0</v>
      </c>
      <c r="J266" s="83">
        <f>I266/I258</f>
        <v>0</v>
      </c>
      <c r="K266" s="93">
        <v>0</v>
      </c>
      <c r="L266" s="85">
        <f>K266/K258</f>
        <v>0</v>
      </c>
      <c r="M266" s="23">
        <v>0</v>
      </c>
      <c r="N266" s="87">
        <f>M266/M258</f>
        <v>0</v>
      </c>
      <c r="O266" s="153"/>
    </row>
    <row r="267" spans="1:15" x14ac:dyDescent="0.35">
      <c r="A267" t="s">
        <v>110</v>
      </c>
      <c r="B267" s="75" t="s">
        <v>176</v>
      </c>
      <c r="C267" s="88">
        <v>238</v>
      </c>
      <c r="D267" s="77">
        <f>C267/C258</f>
        <v>1.5257559444051008E-2</v>
      </c>
      <c r="E267" s="90">
        <v>238</v>
      </c>
      <c r="F267" s="79">
        <f>E267/E258</f>
        <v>1.5257559444051008E-2</v>
      </c>
      <c r="G267" s="91">
        <v>238</v>
      </c>
      <c r="H267" s="81">
        <f>G267/G258</f>
        <v>1.5257559444051008E-2</v>
      </c>
      <c r="I267" s="92">
        <v>238</v>
      </c>
      <c r="J267" s="83">
        <f>I267/I258</f>
        <v>1.5257559444051008E-2</v>
      </c>
      <c r="K267" s="93">
        <v>238</v>
      </c>
      <c r="L267" s="85">
        <f>K267/K258</f>
        <v>1.5257559444051008E-2</v>
      </c>
      <c r="M267" s="23">
        <v>238</v>
      </c>
      <c r="N267" s="87">
        <f>M267/M258</f>
        <v>3.0515118888102019E-3</v>
      </c>
      <c r="O267" s="153"/>
    </row>
    <row r="268" spans="1:15" x14ac:dyDescent="0.35">
      <c r="A268" t="s">
        <v>110</v>
      </c>
      <c r="B268" s="75" t="s">
        <v>177</v>
      </c>
      <c r="C268" s="88">
        <v>0</v>
      </c>
      <c r="D268" s="77">
        <f>C268/C258</f>
        <v>0</v>
      </c>
      <c r="E268" s="90">
        <v>0</v>
      </c>
      <c r="F268" s="79">
        <f>E268/E258</f>
        <v>0</v>
      </c>
      <c r="G268" s="91">
        <v>0</v>
      </c>
      <c r="H268" s="81">
        <f>G268/G258</f>
        <v>0</v>
      </c>
      <c r="I268" s="92">
        <v>0</v>
      </c>
      <c r="J268" s="83">
        <f>I268/I258</f>
        <v>0</v>
      </c>
      <c r="K268" s="93">
        <v>0</v>
      </c>
      <c r="L268" s="85">
        <f>K268/K258</f>
        <v>0</v>
      </c>
      <c r="M268" s="23">
        <v>0</v>
      </c>
      <c r="N268" s="87">
        <f>M268/M258</f>
        <v>0</v>
      </c>
      <c r="O268" s="153"/>
    </row>
    <row r="269" spans="1:15" x14ac:dyDescent="0.35">
      <c r="A269" t="s">
        <v>110</v>
      </c>
      <c r="B269" s="75" t="s">
        <v>178</v>
      </c>
      <c r="C269" s="88">
        <v>0</v>
      </c>
      <c r="D269" s="77">
        <f>C269/C258</f>
        <v>0</v>
      </c>
      <c r="E269" s="90">
        <v>0</v>
      </c>
      <c r="F269" s="79">
        <f>E269/E258</f>
        <v>0</v>
      </c>
      <c r="G269" s="91">
        <v>0</v>
      </c>
      <c r="H269" s="81">
        <f>G269/G258</f>
        <v>0</v>
      </c>
      <c r="I269" s="92">
        <v>0</v>
      </c>
      <c r="J269" s="83">
        <f>I269/I258</f>
        <v>0</v>
      </c>
      <c r="K269" s="93">
        <v>0</v>
      </c>
      <c r="L269" s="85">
        <f>K269/K258</f>
        <v>0</v>
      </c>
      <c r="M269" s="23">
        <v>0</v>
      </c>
      <c r="N269" s="87">
        <f>M269/M258</f>
        <v>0</v>
      </c>
      <c r="O269" s="153"/>
    </row>
    <row r="270" spans="1:15" ht="15" thickBot="1" x14ac:dyDescent="0.4">
      <c r="A270" t="s">
        <v>110</v>
      </c>
      <c r="B270" s="100" t="s">
        <v>179</v>
      </c>
      <c r="C270" s="101">
        <v>0</v>
      </c>
      <c r="D270" s="113">
        <f t="shared" ref="D270" si="27">C270/$C$33</f>
        <v>0</v>
      </c>
      <c r="E270" s="103">
        <v>0</v>
      </c>
      <c r="F270" s="104">
        <f>E270/E258</f>
        <v>0</v>
      </c>
      <c r="G270" s="105">
        <v>0</v>
      </c>
      <c r="H270" s="106">
        <f>G270/G258</f>
        <v>0</v>
      </c>
      <c r="I270" s="107">
        <v>0</v>
      </c>
      <c r="J270" s="108">
        <f>I270/I258</f>
        <v>0</v>
      </c>
      <c r="K270" s="109">
        <v>0</v>
      </c>
      <c r="L270" s="110">
        <f>K270/K258</f>
        <v>0</v>
      </c>
      <c r="M270" s="25">
        <v>0</v>
      </c>
      <c r="N270" s="111">
        <f>M270/M258</f>
        <v>0</v>
      </c>
      <c r="O270" s="154"/>
    </row>
    <row r="271" spans="1:15" ht="15" thickBot="1" x14ac:dyDescent="0.4">
      <c r="D271" s="26"/>
      <c r="F271" s="26"/>
      <c r="H271" s="26"/>
      <c r="J271" s="26"/>
      <c r="L271" s="26"/>
      <c r="N271" s="26"/>
    </row>
    <row r="272" spans="1:15" ht="14.5" customHeight="1" thickBot="1" x14ac:dyDescent="0.4">
      <c r="A272" t="s">
        <v>112</v>
      </c>
      <c r="B272" s="65" t="s">
        <v>166</v>
      </c>
      <c r="C272" s="66">
        <v>0</v>
      </c>
      <c r="D272" s="67"/>
      <c r="E272" s="66">
        <v>0</v>
      </c>
      <c r="F272" s="67"/>
      <c r="G272" s="66">
        <v>0</v>
      </c>
      <c r="H272" s="67"/>
      <c r="I272" s="66">
        <v>0</v>
      </c>
      <c r="J272" s="67"/>
      <c r="K272" s="66">
        <v>0</v>
      </c>
      <c r="L272" s="67"/>
      <c r="M272" s="68">
        <f>SUM(C272,E272,G272,I272,K272)</f>
        <v>0</v>
      </c>
      <c r="N272" s="67"/>
      <c r="O272" s="152" t="s">
        <v>113</v>
      </c>
    </row>
    <row r="273" spans="1:15" ht="15" thickBot="1" x14ac:dyDescent="0.4">
      <c r="A273" t="s">
        <v>112</v>
      </c>
      <c r="B273" s="69" t="s">
        <v>167</v>
      </c>
      <c r="C273" s="70">
        <v>15598.825019999989</v>
      </c>
      <c r="D273" s="71">
        <f>SUM(D275:D285)</f>
        <v>0.36650196362033455</v>
      </c>
      <c r="E273" s="70">
        <v>15598.825019999989</v>
      </c>
      <c r="F273" s="71">
        <f>SUM(F275:F285)</f>
        <v>0.36650196362033455</v>
      </c>
      <c r="G273" s="70">
        <v>15598.825019999989</v>
      </c>
      <c r="H273" s="71">
        <f>SUM(H275:H285)</f>
        <v>0.36650196362033455</v>
      </c>
      <c r="I273" s="70">
        <v>15598.825019999989</v>
      </c>
      <c r="J273" s="71">
        <f>SUM(J275:J285)</f>
        <v>0.36650196362033455</v>
      </c>
      <c r="K273" s="70">
        <v>15598.825019999989</v>
      </c>
      <c r="L273" s="71">
        <f>SUM(L275:L285)</f>
        <v>0.36650196362033455</v>
      </c>
      <c r="M273" s="70">
        <f>SUM(C273,E273,G273,I273,K273)</f>
        <v>77994.125099999947</v>
      </c>
      <c r="N273" s="71">
        <f>SUM(N275:N285)</f>
        <v>7.3300392724066896E-2</v>
      </c>
      <c r="O273" s="153"/>
    </row>
    <row r="274" spans="1:15" ht="15" thickBot="1" x14ac:dyDescent="0.4">
      <c r="A274" t="s">
        <v>112</v>
      </c>
      <c r="B274" s="72" t="s">
        <v>168</v>
      </c>
      <c r="C274" s="73"/>
      <c r="D274" s="74">
        <f>(SUM(D275:D285)+C272)/C273</f>
        <v>2.3495485278565861E-5</v>
      </c>
      <c r="E274" s="73"/>
      <c r="F274" s="74">
        <f>(SUM(F275:F285)+E272)/E273</f>
        <v>2.3495485278565861E-5</v>
      </c>
      <c r="G274" s="73"/>
      <c r="H274" s="74">
        <f>(SUM(H275:H285)+G272)/G273</f>
        <v>2.3495485278565861E-5</v>
      </c>
      <c r="I274" s="73"/>
      <c r="J274" s="74">
        <f>(SUM(J275:J285)+I272)/I273</f>
        <v>2.3495485278565861E-5</v>
      </c>
      <c r="K274" s="73"/>
      <c r="L274" s="74">
        <f>(SUM(L275:L285)+K272)/K273</f>
        <v>2.3495485278565861E-5</v>
      </c>
      <c r="M274" s="73"/>
      <c r="N274" s="74">
        <f>(SUM(N275:N285)+M272)/M273</f>
        <v>9.398194111426342E-7</v>
      </c>
      <c r="O274" s="153"/>
    </row>
    <row r="275" spans="1:15" x14ac:dyDescent="0.35">
      <c r="A275" t="s">
        <v>112</v>
      </c>
      <c r="B275" s="75" t="s">
        <v>169</v>
      </c>
      <c r="C275" s="76">
        <v>800</v>
      </c>
      <c r="D275" s="77">
        <f>C275/C273</f>
        <v>5.1285914097650452E-2</v>
      </c>
      <c r="E275" s="78">
        <v>800</v>
      </c>
      <c r="F275" s="79">
        <f>E275/E273</f>
        <v>5.1285914097650452E-2</v>
      </c>
      <c r="G275" s="80">
        <v>800</v>
      </c>
      <c r="H275" s="81">
        <f>G275/G273</f>
        <v>5.1285914097650452E-2</v>
      </c>
      <c r="I275" s="82">
        <v>800</v>
      </c>
      <c r="J275" s="83">
        <f>I275/I273</f>
        <v>5.1285914097650452E-2</v>
      </c>
      <c r="K275" s="84">
        <v>800</v>
      </c>
      <c r="L275" s="85">
        <f>K275/K273</f>
        <v>5.1285914097650452E-2</v>
      </c>
      <c r="M275" s="86">
        <v>800</v>
      </c>
      <c r="N275" s="87">
        <f>M275/M273</f>
        <v>1.025718281953009E-2</v>
      </c>
      <c r="O275" s="153"/>
    </row>
    <row r="276" spans="1:15" x14ac:dyDescent="0.35">
      <c r="A276" t="s">
        <v>112</v>
      </c>
      <c r="B276" s="75" t="s">
        <v>170</v>
      </c>
      <c r="C276" s="88">
        <v>0</v>
      </c>
      <c r="D276" s="77">
        <f>C276/C273</f>
        <v>0</v>
      </c>
      <c r="E276" s="90">
        <v>0</v>
      </c>
      <c r="F276" s="79">
        <f>E276/E273</f>
        <v>0</v>
      </c>
      <c r="G276" s="91">
        <v>0</v>
      </c>
      <c r="H276" s="81">
        <f>G276/G273</f>
        <v>0</v>
      </c>
      <c r="I276" s="92">
        <v>0</v>
      </c>
      <c r="J276" s="83">
        <f>I276/I273</f>
        <v>0</v>
      </c>
      <c r="K276" s="93">
        <v>0</v>
      </c>
      <c r="L276" s="85">
        <f>K276/K273</f>
        <v>0</v>
      </c>
      <c r="M276" s="23">
        <v>0</v>
      </c>
      <c r="N276" s="87">
        <f>M276/M273</f>
        <v>0</v>
      </c>
      <c r="O276" s="153"/>
    </row>
    <row r="277" spans="1:15" x14ac:dyDescent="0.35">
      <c r="A277" t="s">
        <v>112</v>
      </c>
      <c r="B277" s="75" t="s">
        <v>171</v>
      </c>
      <c r="C277" s="88">
        <v>104</v>
      </c>
      <c r="D277" s="77">
        <f>C277/C273</f>
        <v>6.6671688326945585E-3</v>
      </c>
      <c r="E277" s="90">
        <v>104</v>
      </c>
      <c r="F277" s="79">
        <f>E277/E273</f>
        <v>6.6671688326945585E-3</v>
      </c>
      <c r="G277" s="91">
        <v>104</v>
      </c>
      <c r="H277" s="81">
        <f>G277/G273</f>
        <v>6.6671688326945585E-3</v>
      </c>
      <c r="I277" s="92">
        <v>104</v>
      </c>
      <c r="J277" s="83">
        <f>I277/I273</f>
        <v>6.6671688326945585E-3</v>
      </c>
      <c r="K277" s="93">
        <v>104</v>
      </c>
      <c r="L277" s="85">
        <f>K277/K273</f>
        <v>6.6671688326945585E-3</v>
      </c>
      <c r="M277" s="23">
        <v>104</v>
      </c>
      <c r="N277" s="87">
        <f>M277/M273</f>
        <v>1.3334337665389117E-3</v>
      </c>
      <c r="O277" s="153"/>
    </row>
    <row r="278" spans="1:15" x14ac:dyDescent="0.35">
      <c r="A278" t="s">
        <v>112</v>
      </c>
      <c r="B278" s="75" t="s">
        <v>172</v>
      </c>
      <c r="C278" s="88">
        <v>0</v>
      </c>
      <c r="D278" s="77">
        <f>C278/C273</f>
        <v>0</v>
      </c>
      <c r="E278" s="90">
        <v>0</v>
      </c>
      <c r="F278" s="79">
        <f>E278/E273</f>
        <v>0</v>
      </c>
      <c r="G278" s="91">
        <v>0</v>
      </c>
      <c r="H278" s="81">
        <f>G278/G273</f>
        <v>0</v>
      </c>
      <c r="I278" s="92">
        <v>0</v>
      </c>
      <c r="J278" s="83">
        <f>I278/I273</f>
        <v>0</v>
      </c>
      <c r="K278" s="93">
        <v>0</v>
      </c>
      <c r="L278" s="85">
        <f>K278/K273</f>
        <v>0</v>
      </c>
      <c r="M278" s="23">
        <v>0</v>
      </c>
      <c r="N278" s="87">
        <f>M278/M273</f>
        <v>0</v>
      </c>
      <c r="O278" s="153"/>
    </row>
    <row r="279" spans="1:15" x14ac:dyDescent="0.35">
      <c r="A279" t="s">
        <v>112</v>
      </c>
      <c r="B279" s="75" t="s">
        <v>173</v>
      </c>
      <c r="C279" s="94">
        <v>3619</v>
      </c>
      <c r="D279" s="77">
        <f>C279/C273</f>
        <v>0.23200465389924621</v>
      </c>
      <c r="E279" s="95">
        <v>3619</v>
      </c>
      <c r="F279" s="79">
        <f>E279/E273</f>
        <v>0.23200465389924621</v>
      </c>
      <c r="G279" s="96">
        <v>3619</v>
      </c>
      <c r="H279" s="81">
        <f>G279/G273</f>
        <v>0.23200465389924621</v>
      </c>
      <c r="I279" s="97">
        <v>3619</v>
      </c>
      <c r="J279" s="83">
        <f>I279/I273</f>
        <v>0.23200465389924621</v>
      </c>
      <c r="K279" s="98">
        <v>3619</v>
      </c>
      <c r="L279" s="85">
        <f>K279/K273</f>
        <v>0.23200465389924621</v>
      </c>
      <c r="M279" s="99">
        <v>3619</v>
      </c>
      <c r="N279" s="87">
        <f>M279/M273</f>
        <v>4.6400930779849241E-2</v>
      </c>
      <c r="O279" s="153"/>
    </row>
    <row r="280" spans="1:15" x14ac:dyDescent="0.35">
      <c r="A280" t="s">
        <v>112</v>
      </c>
      <c r="B280" s="75" t="s">
        <v>174</v>
      </c>
      <c r="C280" s="88">
        <v>956</v>
      </c>
      <c r="D280" s="77">
        <f>C280/C273</f>
        <v>6.1286667346692289E-2</v>
      </c>
      <c r="E280" s="90">
        <v>956</v>
      </c>
      <c r="F280" s="79">
        <f>E280/E273</f>
        <v>6.1286667346692289E-2</v>
      </c>
      <c r="G280" s="91">
        <v>956</v>
      </c>
      <c r="H280" s="81">
        <f>G280/G273</f>
        <v>6.1286667346692289E-2</v>
      </c>
      <c r="I280" s="92">
        <v>956</v>
      </c>
      <c r="J280" s="83">
        <f>I280/I273</f>
        <v>6.1286667346692289E-2</v>
      </c>
      <c r="K280" s="93">
        <v>956</v>
      </c>
      <c r="L280" s="85">
        <f>K280/K273</f>
        <v>6.1286667346692289E-2</v>
      </c>
      <c r="M280" s="23">
        <v>956</v>
      </c>
      <c r="N280" s="87">
        <f>M280/M273</f>
        <v>1.2257333469338457E-2</v>
      </c>
      <c r="O280" s="153"/>
    </row>
    <row r="281" spans="1:15" x14ac:dyDescent="0.35">
      <c r="A281" t="s">
        <v>112</v>
      </c>
      <c r="B281" s="75" t="s">
        <v>175</v>
      </c>
      <c r="C281" s="88">
        <v>0</v>
      </c>
      <c r="D281" s="77">
        <f>C281/C273</f>
        <v>0</v>
      </c>
      <c r="E281" s="90">
        <v>0</v>
      </c>
      <c r="F281" s="79">
        <f>E281/E273</f>
        <v>0</v>
      </c>
      <c r="G281" s="91">
        <v>0</v>
      </c>
      <c r="H281" s="81">
        <f>G281/G273</f>
        <v>0</v>
      </c>
      <c r="I281" s="92">
        <v>0</v>
      </c>
      <c r="J281" s="83">
        <f>I281/I273</f>
        <v>0</v>
      </c>
      <c r="K281" s="93">
        <v>0</v>
      </c>
      <c r="L281" s="85">
        <f>K281/K273</f>
        <v>0</v>
      </c>
      <c r="M281" s="23">
        <v>0</v>
      </c>
      <c r="N281" s="87">
        <f>M281/M273</f>
        <v>0</v>
      </c>
      <c r="O281" s="153"/>
    </row>
    <row r="282" spans="1:15" x14ac:dyDescent="0.35">
      <c r="A282" t="s">
        <v>112</v>
      </c>
      <c r="B282" s="75" t="s">
        <v>176</v>
      </c>
      <c r="C282" s="88">
        <v>238</v>
      </c>
      <c r="D282" s="77">
        <f>C282/C273</f>
        <v>1.5257559444051008E-2</v>
      </c>
      <c r="E282" s="90">
        <v>238</v>
      </c>
      <c r="F282" s="79">
        <f>E282/E273</f>
        <v>1.5257559444051008E-2</v>
      </c>
      <c r="G282" s="91">
        <v>238</v>
      </c>
      <c r="H282" s="81">
        <f>G282/G273</f>
        <v>1.5257559444051008E-2</v>
      </c>
      <c r="I282" s="92">
        <v>238</v>
      </c>
      <c r="J282" s="83">
        <f>I282/I273</f>
        <v>1.5257559444051008E-2</v>
      </c>
      <c r="K282" s="93">
        <v>238</v>
      </c>
      <c r="L282" s="85">
        <f>K282/K273</f>
        <v>1.5257559444051008E-2</v>
      </c>
      <c r="M282" s="23">
        <v>238</v>
      </c>
      <c r="N282" s="87">
        <f>M282/M273</f>
        <v>3.0515118888102019E-3</v>
      </c>
      <c r="O282" s="153"/>
    </row>
    <row r="283" spans="1:15" x14ac:dyDescent="0.35">
      <c r="A283" t="s">
        <v>112</v>
      </c>
      <c r="B283" s="75" t="s">
        <v>177</v>
      </c>
      <c r="C283" s="88">
        <v>0</v>
      </c>
      <c r="D283" s="77">
        <f>C283/C273</f>
        <v>0</v>
      </c>
      <c r="E283" s="90">
        <v>0</v>
      </c>
      <c r="F283" s="79">
        <f>E283/E273</f>
        <v>0</v>
      </c>
      <c r="G283" s="91">
        <v>0</v>
      </c>
      <c r="H283" s="81">
        <f>G283/G273</f>
        <v>0</v>
      </c>
      <c r="I283" s="92">
        <v>0</v>
      </c>
      <c r="J283" s="83">
        <f>I283/I273</f>
        <v>0</v>
      </c>
      <c r="K283" s="93">
        <v>0</v>
      </c>
      <c r="L283" s="85">
        <f>K283/K273</f>
        <v>0</v>
      </c>
      <c r="M283" s="23">
        <v>0</v>
      </c>
      <c r="N283" s="87">
        <f>M283/M273</f>
        <v>0</v>
      </c>
      <c r="O283" s="153"/>
    </row>
    <row r="284" spans="1:15" x14ac:dyDescent="0.35">
      <c r="A284" t="s">
        <v>112</v>
      </c>
      <c r="B284" s="75" t="s">
        <v>178</v>
      </c>
      <c r="C284" s="88">
        <v>0</v>
      </c>
      <c r="D284" s="77">
        <f>C284/C273</f>
        <v>0</v>
      </c>
      <c r="E284" s="90">
        <v>0</v>
      </c>
      <c r="F284" s="79">
        <f>E284/E273</f>
        <v>0</v>
      </c>
      <c r="G284" s="91">
        <v>0</v>
      </c>
      <c r="H284" s="81">
        <f>G284/G273</f>
        <v>0</v>
      </c>
      <c r="I284" s="92">
        <v>0</v>
      </c>
      <c r="J284" s="83">
        <f>I284/I273</f>
        <v>0</v>
      </c>
      <c r="K284" s="93">
        <v>0</v>
      </c>
      <c r="L284" s="85">
        <f>K284/K273</f>
        <v>0</v>
      </c>
      <c r="M284" s="23">
        <v>0</v>
      </c>
      <c r="N284" s="87">
        <f>M284/M273</f>
        <v>0</v>
      </c>
      <c r="O284" s="153"/>
    </row>
    <row r="285" spans="1:15" ht="15" thickBot="1" x14ac:dyDescent="0.4">
      <c r="A285" t="s">
        <v>112</v>
      </c>
      <c r="B285" s="100" t="s">
        <v>179</v>
      </c>
      <c r="C285" s="101">
        <v>0</v>
      </c>
      <c r="D285" s="113">
        <f t="shared" ref="D285" si="28">C285/$C$33</f>
        <v>0</v>
      </c>
      <c r="E285" s="103">
        <v>0</v>
      </c>
      <c r="F285" s="104">
        <f>E285/E273</f>
        <v>0</v>
      </c>
      <c r="G285" s="105">
        <v>0</v>
      </c>
      <c r="H285" s="106">
        <f>G285/G273</f>
        <v>0</v>
      </c>
      <c r="I285" s="107">
        <v>0</v>
      </c>
      <c r="J285" s="108">
        <f>I285/I273</f>
        <v>0</v>
      </c>
      <c r="K285" s="109">
        <v>0</v>
      </c>
      <c r="L285" s="110">
        <f>K285/K273</f>
        <v>0</v>
      </c>
      <c r="M285" s="25">
        <v>0</v>
      </c>
      <c r="N285" s="111">
        <f>M285/M273</f>
        <v>0</v>
      </c>
      <c r="O285" s="154"/>
    </row>
    <row r="286" spans="1:15" ht="15" thickBot="1" x14ac:dyDescent="0.4">
      <c r="D286" s="26"/>
      <c r="F286" s="26"/>
      <c r="H286" s="26"/>
      <c r="J286" s="26"/>
      <c r="L286" s="26"/>
      <c r="N286" s="26"/>
    </row>
    <row r="287" spans="1:15" ht="14.5" customHeight="1" thickBot="1" x14ac:dyDescent="0.4">
      <c r="A287" t="s">
        <v>114</v>
      </c>
      <c r="B287" s="65" t="s">
        <v>166</v>
      </c>
      <c r="C287" s="66">
        <v>0</v>
      </c>
      <c r="D287" s="67"/>
      <c r="E287" s="66">
        <v>0</v>
      </c>
      <c r="F287" s="67"/>
      <c r="G287" s="66">
        <v>0</v>
      </c>
      <c r="H287" s="67"/>
      <c r="I287" s="66">
        <v>0</v>
      </c>
      <c r="J287" s="67"/>
      <c r="K287" s="66">
        <v>0</v>
      </c>
      <c r="L287" s="67"/>
      <c r="M287" s="68">
        <f>SUM(C287,E287,G287,I287,K287)</f>
        <v>0</v>
      </c>
      <c r="N287" s="67"/>
      <c r="O287" s="152" t="s">
        <v>115</v>
      </c>
    </row>
    <row r="288" spans="1:15" ht="15" thickBot="1" x14ac:dyDescent="0.4">
      <c r="A288" t="s">
        <v>114</v>
      </c>
      <c r="B288" s="69" t="s">
        <v>167</v>
      </c>
      <c r="C288" s="70">
        <v>15598.825019999989</v>
      </c>
      <c r="D288" s="71">
        <f>SUM(D290:D300)</f>
        <v>0.36650196362033455</v>
      </c>
      <c r="E288" s="70">
        <v>15598.825019999989</v>
      </c>
      <c r="F288" s="71">
        <f>SUM(F290:F300)</f>
        <v>0.36650196362033455</v>
      </c>
      <c r="G288" s="70">
        <v>15598.825019999989</v>
      </c>
      <c r="H288" s="71">
        <f>SUM(H290:H300)</f>
        <v>0.36650196362033455</v>
      </c>
      <c r="I288" s="70">
        <v>15598.825019999989</v>
      </c>
      <c r="J288" s="71">
        <f>SUM(J290:J300)</f>
        <v>0.36650196362033455</v>
      </c>
      <c r="K288" s="70">
        <v>15598.825019999989</v>
      </c>
      <c r="L288" s="71">
        <f>SUM(L290:L300)</f>
        <v>0.36650196362033455</v>
      </c>
      <c r="M288" s="70">
        <f>SUM(C288,E288,G288,I288,K288)</f>
        <v>77994.125099999947</v>
      </c>
      <c r="N288" s="71">
        <f>SUM(N290:N300)</f>
        <v>7.3300392724066896E-2</v>
      </c>
      <c r="O288" s="153"/>
    </row>
    <row r="289" spans="1:15" ht="15" thickBot="1" x14ac:dyDescent="0.4">
      <c r="A289" t="s">
        <v>114</v>
      </c>
      <c r="B289" s="72" t="s">
        <v>168</v>
      </c>
      <c r="C289" s="73"/>
      <c r="D289" s="74">
        <f>(SUM(D290:D300)+C287)/C288</f>
        <v>2.3495485278565861E-5</v>
      </c>
      <c r="E289" s="73"/>
      <c r="F289" s="74">
        <f>(SUM(F290:F300)+E287)/E288</f>
        <v>2.3495485278565861E-5</v>
      </c>
      <c r="G289" s="73"/>
      <c r="H289" s="74">
        <f>(SUM(H290:H300)+G287)/G288</f>
        <v>2.3495485278565861E-5</v>
      </c>
      <c r="I289" s="73"/>
      <c r="J289" s="74">
        <f>(SUM(J290:J300)+I287)/I288</f>
        <v>2.3495485278565861E-5</v>
      </c>
      <c r="K289" s="73"/>
      <c r="L289" s="74">
        <f>(SUM(L290:L300)+K287)/K288</f>
        <v>2.3495485278565861E-5</v>
      </c>
      <c r="M289" s="73"/>
      <c r="N289" s="74">
        <f>(SUM(N290:N300)+M287)/M288</f>
        <v>9.398194111426342E-7</v>
      </c>
      <c r="O289" s="153"/>
    </row>
    <row r="290" spans="1:15" x14ac:dyDescent="0.35">
      <c r="A290" t="s">
        <v>114</v>
      </c>
      <c r="B290" s="75" t="s">
        <v>169</v>
      </c>
      <c r="C290" s="76">
        <v>800</v>
      </c>
      <c r="D290" s="77">
        <f>C290/C288</f>
        <v>5.1285914097650452E-2</v>
      </c>
      <c r="E290" s="78">
        <v>800</v>
      </c>
      <c r="F290" s="79">
        <f>E290/E288</f>
        <v>5.1285914097650452E-2</v>
      </c>
      <c r="G290" s="80">
        <v>800</v>
      </c>
      <c r="H290" s="81">
        <f>G290/G288</f>
        <v>5.1285914097650452E-2</v>
      </c>
      <c r="I290" s="82">
        <v>800</v>
      </c>
      <c r="J290" s="83">
        <f>I290/I288</f>
        <v>5.1285914097650452E-2</v>
      </c>
      <c r="K290" s="84">
        <v>800</v>
      </c>
      <c r="L290" s="85">
        <f>K290/K288</f>
        <v>5.1285914097650452E-2</v>
      </c>
      <c r="M290" s="86">
        <v>800</v>
      </c>
      <c r="N290" s="87">
        <f>M290/M288</f>
        <v>1.025718281953009E-2</v>
      </c>
      <c r="O290" s="153"/>
    </row>
    <row r="291" spans="1:15" x14ac:dyDescent="0.35">
      <c r="A291" t="s">
        <v>114</v>
      </c>
      <c r="B291" s="75" t="s">
        <v>170</v>
      </c>
      <c r="C291" s="88">
        <v>0</v>
      </c>
      <c r="D291" s="77">
        <f>C291/C288</f>
        <v>0</v>
      </c>
      <c r="E291" s="90">
        <v>0</v>
      </c>
      <c r="F291" s="79">
        <f>E291/E288</f>
        <v>0</v>
      </c>
      <c r="G291" s="91">
        <v>0</v>
      </c>
      <c r="H291" s="81">
        <f>G291/G288</f>
        <v>0</v>
      </c>
      <c r="I291" s="92">
        <v>0</v>
      </c>
      <c r="J291" s="83">
        <f>I291/I288</f>
        <v>0</v>
      </c>
      <c r="K291" s="93">
        <v>0</v>
      </c>
      <c r="L291" s="85">
        <f>K291/K288</f>
        <v>0</v>
      </c>
      <c r="M291" s="23">
        <v>0</v>
      </c>
      <c r="N291" s="87">
        <f>M291/M288</f>
        <v>0</v>
      </c>
      <c r="O291" s="153"/>
    </row>
    <row r="292" spans="1:15" x14ac:dyDescent="0.35">
      <c r="A292" t="s">
        <v>114</v>
      </c>
      <c r="B292" s="75" t="s">
        <v>171</v>
      </c>
      <c r="C292" s="88">
        <v>104</v>
      </c>
      <c r="D292" s="77">
        <f>C292/C288</f>
        <v>6.6671688326945585E-3</v>
      </c>
      <c r="E292" s="90">
        <v>104</v>
      </c>
      <c r="F292" s="79">
        <f>E292/E288</f>
        <v>6.6671688326945585E-3</v>
      </c>
      <c r="G292" s="91">
        <v>104</v>
      </c>
      <c r="H292" s="81">
        <f>G292/G288</f>
        <v>6.6671688326945585E-3</v>
      </c>
      <c r="I292" s="92">
        <v>104</v>
      </c>
      <c r="J292" s="83">
        <f>I292/I288</f>
        <v>6.6671688326945585E-3</v>
      </c>
      <c r="K292" s="93">
        <v>104</v>
      </c>
      <c r="L292" s="85">
        <f>K292/K288</f>
        <v>6.6671688326945585E-3</v>
      </c>
      <c r="M292" s="23">
        <v>104</v>
      </c>
      <c r="N292" s="87">
        <f>M292/M288</f>
        <v>1.3334337665389117E-3</v>
      </c>
      <c r="O292" s="153"/>
    </row>
    <row r="293" spans="1:15" x14ac:dyDescent="0.35">
      <c r="A293" t="s">
        <v>114</v>
      </c>
      <c r="B293" s="75" t="s">
        <v>172</v>
      </c>
      <c r="C293" s="88">
        <v>0</v>
      </c>
      <c r="D293" s="77">
        <f>C293/C288</f>
        <v>0</v>
      </c>
      <c r="E293" s="90">
        <v>0</v>
      </c>
      <c r="F293" s="79">
        <f>E293/E288</f>
        <v>0</v>
      </c>
      <c r="G293" s="91">
        <v>0</v>
      </c>
      <c r="H293" s="81">
        <f>G293/G288</f>
        <v>0</v>
      </c>
      <c r="I293" s="92">
        <v>0</v>
      </c>
      <c r="J293" s="83">
        <f>I293/I288</f>
        <v>0</v>
      </c>
      <c r="K293" s="93">
        <v>0</v>
      </c>
      <c r="L293" s="85">
        <f>K293/K288</f>
        <v>0</v>
      </c>
      <c r="M293" s="23">
        <v>0</v>
      </c>
      <c r="N293" s="87">
        <f>M293/M288</f>
        <v>0</v>
      </c>
      <c r="O293" s="153"/>
    </row>
    <row r="294" spans="1:15" x14ac:dyDescent="0.35">
      <c r="A294" t="s">
        <v>114</v>
      </c>
      <c r="B294" s="75" t="s">
        <v>173</v>
      </c>
      <c r="C294" s="94">
        <v>3619</v>
      </c>
      <c r="D294" s="77">
        <f>C294/C288</f>
        <v>0.23200465389924621</v>
      </c>
      <c r="E294" s="95">
        <v>3619</v>
      </c>
      <c r="F294" s="79">
        <f>E294/E288</f>
        <v>0.23200465389924621</v>
      </c>
      <c r="G294" s="96">
        <v>3619</v>
      </c>
      <c r="H294" s="81">
        <f>G294/G288</f>
        <v>0.23200465389924621</v>
      </c>
      <c r="I294" s="97">
        <v>3619</v>
      </c>
      <c r="J294" s="83">
        <f>I294/I288</f>
        <v>0.23200465389924621</v>
      </c>
      <c r="K294" s="98">
        <v>3619</v>
      </c>
      <c r="L294" s="85">
        <f>K294/K288</f>
        <v>0.23200465389924621</v>
      </c>
      <c r="M294" s="99">
        <v>3619</v>
      </c>
      <c r="N294" s="87">
        <f>M294/M288</f>
        <v>4.6400930779849241E-2</v>
      </c>
      <c r="O294" s="153"/>
    </row>
    <row r="295" spans="1:15" x14ac:dyDescent="0.35">
      <c r="A295" t="s">
        <v>114</v>
      </c>
      <c r="B295" s="75" t="s">
        <v>174</v>
      </c>
      <c r="C295" s="88">
        <v>956</v>
      </c>
      <c r="D295" s="77">
        <f>C295/C288</f>
        <v>6.1286667346692289E-2</v>
      </c>
      <c r="E295" s="90">
        <v>956</v>
      </c>
      <c r="F295" s="79">
        <f>E295/E288</f>
        <v>6.1286667346692289E-2</v>
      </c>
      <c r="G295" s="91">
        <v>956</v>
      </c>
      <c r="H295" s="81">
        <f>G295/G288</f>
        <v>6.1286667346692289E-2</v>
      </c>
      <c r="I295" s="92">
        <v>956</v>
      </c>
      <c r="J295" s="83">
        <f>I295/I288</f>
        <v>6.1286667346692289E-2</v>
      </c>
      <c r="K295" s="93">
        <v>956</v>
      </c>
      <c r="L295" s="85">
        <f>K295/K288</f>
        <v>6.1286667346692289E-2</v>
      </c>
      <c r="M295" s="23">
        <v>956</v>
      </c>
      <c r="N295" s="87">
        <f>M295/M288</f>
        <v>1.2257333469338457E-2</v>
      </c>
      <c r="O295" s="153"/>
    </row>
    <row r="296" spans="1:15" x14ac:dyDescent="0.35">
      <c r="A296" t="s">
        <v>114</v>
      </c>
      <c r="B296" s="75" t="s">
        <v>175</v>
      </c>
      <c r="C296" s="88">
        <v>0</v>
      </c>
      <c r="D296" s="77">
        <f>C296/C288</f>
        <v>0</v>
      </c>
      <c r="E296" s="90">
        <v>0</v>
      </c>
      <c r="F296" s="79">
        <f>E296/E288</f>
        <v>0</v>
      </c>
      <c r="G296" s="91">
        <v>0</v>
      </c>
      <c r="H296" s="81">
        <f>G296/G288</f>
        <v>0</v>
      </c>
      <c r="I296" s="92">
        <v>0</v>
      </c>
      <c r="J296" s="83">
        <f>I296/I288</f>
        <v>0</v>
      </c>
      <c r="K296" s="93">
        <v>0</v>
      </c>
      <c r="L296" s="85">
        <f>K296/K288</f>
        <v>0</v>
      </c>
      <c r="M296" s="23">
        <v>0</v>
      </c>
      <c r="N296" s="87">
        <f>M296/M288</f>
        <v>0</v>
      </c>
      <c r="O296" s="153"/>
    </row>
    <row r="297" spans="1:15" x14ac:dyDescent="0.35">
      <c r="A297" t="s">
        <v>114</v>
      </c>
      <c r="B297" s="75" t="s">
        <v>176</v>
      </c>
      <c r="C297" s="88">
        <v>238</v>
      </c>
      <c r="D297" s="77">
        <f>C297/C288</f>
        <v>1.5257559444051008E-2</v>
      </c>
      <c r="E297" s="90">
        <v>238</v>
      </c>
      <c r="F297" s="79">
        <f>E297/E288</f>
        <v>1.5257559444051008E-2</v>
      </c>
      <c r="G297" s="91">
        <v>238</v>
      </c>
      <c r="H297" s="81">
        <f>G297/G288</f>
        <v>1.5257559444051008E-2</v>
      </c>
      <c r="I297" s="92">
        <v>238</v>
      </c>
      <c r="J297" s="83">
        <f>I297/I288</f>
        <v>1.5257559444051008E-2</v>
      </c>
      <c r="K297" s="93">
        <v>238</v>
      </c>
      <c r="L297" s="85">
        <f>K297/K288</f>
        <v>1.5257559444051008E-2</v>
      </c>
      <c r="M297" s="23">
        <v>238</v>
      </c>
      <c r="N297" s="87">
        <f>M297/M288</f>
        <v>3.0515118888102019E-3</v>
      </c>
      <c r="O297" s="153"/>
    </row>
    <row r="298" spans="1:15" x14ac:dyDescent="0.35">
      <c r="A298" t="s">
        <v>114</v>
      </c>
      <c r="B298" s="75" t="s">
        <v>177</v>
      </c>
      <c r="C298" s="88">
        <v>0</v>
      </c>
      <c r="D298" s="77">
        <f>C298/C288</f>
        <v>0</v>
      </c>
      <c r="E298" s="90">
        <v>0</v>
      </c>
      <c r="F298" s="79">
        <f>E298/E288</f>
        <v>0</v>
      </c>
      <c r="G298" s="91">
        <v>0</v>
      </c>
      <c r="H298" s="81">
        <f>G298/G288</f>
        <v>0</v>
      </c>
      <c r="I298" s="92">
        <v>0</v>
      </c>
      <c r="J298" s="83">
        <f>I298/I288</f>
        <v>0</v>
      </c>
      <c r="K298" s="93">
        <v>0</v>
      </c>
      <c r="L298" s="85">
        <f>K298/K288</f>
        <v>0</v>
      </c>
      <c r="M298" s="23">
        <v>0</v>
      </c>
      <c r="N298" s="87">
        <f>M298/M288</f>
        <v>0</v>
      </c>
      <c r="O298" s="153"/>
    </row>
    <row r="299" spans="1:15" x14ac:dyDescent="0.35">
      <c r="A299" t="s">
        <v>114</v>
      </c>
      <c r="B299" s="75" t="s">
        <v>178</v>
      </c>
      <c r="C299" s="88">
        <v>0</v>
      </c>
      <c r="D299" s="77">
        <f>C299/C288</f>
        <v>0</v>
      </c>
      <c r="E299" s="90">
        <v>0</v>
      </c>
      <c r="F299" s="79">
        <f>E299/E288</f>
        <v>0</v>
      </c>
      <c r="G299" s="91">
        <v>0</v>
      </c>
      <c r="H299" s="81">
        <f>G299/G288</f>
        <v>0</v>
      </c>
      <c r="I299" s="92">
        <v>0</v>
      </c>
      <c r="J299" s="83">
        <f>I299/I288</f>
        <v>0</v>
      </c>
      <c r="K299" s="93">
        <v>0</v>
      </c>
      <c r="L299" s="85">
        <f>K299/K288</f>
        <v>0</v>
      </c>
      <c r="M299" s="23">
        <v>0</v>
      </c>
      <c r="N299" s="87">
        <f>M299/M288</f>
        <v>0</v>
      </c>
      <c r="O299" s="153"/>
    </row>
    <row r="300" spans="1:15" ht="15" thickBot="1" x14ac:dyDescent="0.4">
      <c r="A300" t="s">
        <v>114</v>
      </c>
      <c r="B300" s="100" t="s">
        <v>179</v>
      </c>
      <c r="C300" s="101">
        <v>0</v>
      </c>
      <c r="D300" s="113">
        <f t="shared" ref="D300" si="29">C300/$C$33</f>
        <v>0</v>
      </c>
      <c r="E300" s="103">
        <v>0</v>
      </c>
      <c r="F300" s="104">
        <f>E300/E288</f>
        <v>0</v>
      </c>
      <c r="G300" s="105">
        <v>0</v>
      </c>
      <c r="H300" s="106">
        <f>G300/G288</f>
        <v>0</v>
      </c>
      <c r="I300" s="107">
        <v>0</v>
      </c>
      <c r="J300" s="108">
        <f>I300/I288</f>
        <v>0</v>
      </c>
      <c r="K300" s="109">
        <v>0</v>
      </c>
      <c r="L300" s="110">
        <f>K300/K288</f>
        <v>0</v>
      </c>
      <c r="M300" s="25">
        <v>0</v>
      </c>
      <c r="N300" s="111">
        <f>M300/M288</f>
        <v>0</v>
      </c>
      <c r="O300" s="154"/>
    </row>
    <row r="301" spans="1:15" ht="15" thickBot="1" x14ac:dyDescent="0.4">
      <c r="D301" s="26"/>
      <c r="F301" s="26"/>
      <c r="H301" s="26"/>
      <c r="J301" s="26"/>
      <c r="L301" s="26"/>
      <c r="N301" s="26"/>
    </row>
    <row r="302" spans="1:15" ht="14.5" customHeight="1" thickBot="1" x14ac:dyDescent="0.4">
      <c r="A302" t="s">
        <v>116</v>
      </c>
      <c r="B302" s="65" t="s">
        <v>166</v>
      </c>
      <c r="C302" s="66">
        <v>0</v>
      </c>
      <c r="D302" s="67"/>
      <c r="E302" s="66">
        <v>0</v>
      </c>
      <c r="F302" s="67"/>
      <c r="G302" s="66">
        <v>0</v>
      </c>
      <c r="H302" s="67"/>
      <c r="I302" s="66">
        <v>0</v>
      </c>
      <c r="J302" s="67"/>
      <c r="K302" s="66">
        <v>0</v>
      </c>
      <c r="L302" s="67"/>
      <c r="M302" s="68">
        <f>SUM(C302,E302,G302,I302,K302)</f>
        <v>0</v>
      </c>
      <c r="N302" s="67"/>
      <c r="O302" s="152" t="s">
        <v>117</v>
      </c>
    </row>
    <row r="303" spans="1:15" ht="15" thickBot="1" x14ac:dyDescent="0.4">
      <c r="A303" t="s">
        <v>116</v>
      </c>
      <c r="B303" s="69" t="s">
        <v>167</v>
      </c>
      <c r="C303" s="70">
        <v>15598.825019999989</v>
      </c>
      <c r="D303" s="71">
        <f>SUM(D305:D315)</f>
        <v>0.36650196362033455</v>
      </c>
      <c r="E303" s="70">
        <v>15598.825019999989</v>
      </c>
      <c r="F303" s="71">
        <f>SUM(F305:F315)</f>
        <v>0.36650196362033455</v>
      </c>
      <c r="G303" s="70">
        <v>15598.825019999989</v>
      </c>
      <c r="H303" s="71">
        <f>SUM(H305:H315)</f>
        <v>0.36650196362033455</v>
      </c>
      <c r="I303" s="70">
        <v>15598.825019999989</v>
      </c>
      <c r="J303" s="71">
        <f>SUM(J305:J315)</f>
        <v>0.36650196362033455</v>
      </c>
      <c r="K303" s="70">
        <v>15598.825019999989</v>
      </c>
      <c r="L303" s="71">
        <f>SUM(L305:L315)</f>
        <v>0.36650196362033455</v>
      </c>
      <c r="M303" s="70">
        <f>SUM(C303,E303,G303,I303,K303)</f>
        <v>77994.125099999947</v>
      </c>
      <c r="N303" s="71">
        <f>SUM(N305:N315)</f>
        <v>7.3300392724066896E-2</v>
      </c>
      <c r="O303" s="153"/>
    </row>
    <row r="304" spans="1:15" ht="15" thickBot="1" x14ac:dyDescent="0.4">
      <c r="A304" t="s">
        <v>116</v>
      </c>
      <c r="B304" s="72" t="s">
        <v>168</v>
      </c>
      <c r="C304" s="73"/>
      <c r="D304" s="74">
        <f>(SUM(D305:D315)+C302)/C303</f>
        <v>2.3495485278565861E-5</v>
      </c>
      <c r="E304" s="73"/>
      <c r="F304" s="74">
        <f>(SUM(F305:F315)+E302)/E303</f>
        <v>2.3495485278565861E-5</v>
      </c>
      <c r="G304" s="73"/>
      <c r="H304" s="74">
        <f>(SUM(H305:H315)+G302)/G303</f>
        <v>2.3495485278565861E-5</v>
      </c>
      <c r="I304" s="73"/>
      <c r="J304" s="74">
        <f>(SUM(J305:J315)+I302)/I303</f>
        <v>2.3495485278565861E-5</v>
      </c>
      <c r="K304" s="73"/>
      <c r="L304" s="74">
        <f>(SUM(L305:L315)+K302)/K303</f>
        <v>2.3495485278565861E-5</v>
      </c>
      <c r="M304" s="73"/>
      <c r="N304" s="74">
        <f>(SUM(N305:N315)+M302)/M303</f>
        <v>9.398194111426342E-7</v>
      </c>
      <c r="O304" s="153"/>
    </row>
    <row r="305" spans="1:15" x14ac:dyDescent="0.35">
      <c r="A305" t="s">
        <v>116</v>
      </c>
      <c r="B305" s="75" t="s">
        <v>169</v>
      </c>
      <c r="C305" s="76">
        <v>800</v>
      </c>
      <c r="D305" s="77">
        <f>C305/C303</f>
        <v>5.1285914097650452E-2</v>
      </c>
      <c r="E305" s="78">
        <v>800</v>
      </c>
      <c r="F305" s="79">
        <f>E305/E303</f>
        <v>5.1285914097650452E-2</v>
      </c>
      <c r="G305" s="80">
        <v>800</v>
      </c>
      <c r="H305" s="81">
        <f>G305/G303</f>
        <v>5.1285914097650452E-2</v>
      </c>
      <c r="I305" s="82">
        <v>800</v>
      </c>
      <c r="J305" s="83">
        <f>I305/I303</f>
        <v>5.1285914097650452E-2</v>
      </c>
      <c r="K305" s="84">
        <v>800</v>
      </c>
      <c r="L305" s="85">
        <f>K305/K303</f>
        <v>5.1285914097650452E-2</v>
      </c>
      <c r="M305" s="86">
        <v>800</v>
      </c>
      <c r="N305" s="87">
        <f>M305/M303</f>
        <v>1.025718281953009E-2</v>
      </c>
      <c r="O305" s="153"/>
    </row>
    <row r="306" spans="1:15" x14ac:dyDescent="0.35">
      <c r="A306" t="s">
        <v>116</v>
      </c>
      <c r="B306" s="75" t="s">
        <v>170</v>
      </c>
      <c r="C306" s="88">
        <v>0</v>
      </c>
      <c r="D306" s="77">
        <f>C306/C303</f>
        <v>0</v>
      </c>
      <c r="E306" s="90">
        <v>0</v>
      </c>
      <c r="F306" s="79">
        <f>E306/E303</f>
        <v>0</v>
      </c>
      <c r="G306" s="91">
        <v>0</v>
      </c>
      <c r="H306" s="81">
        <f>G306/G303</f>
        <v>0</v>
      </c>
      <c r="I306" s="92">
        <v>0</v>
      </c>
      <c r="J306" s="83">
        <f>I306/I303</f>
        <v>0</v>
      </c>
      <c r="K306" s="93">
        <v>0</v>
      </c>
      <c r="L306" s="85">
        <f>K306/K303</f>
        <v>0</v>
      </c>
      <c r="M306" s="23">
        <v>0</v>
      </c>
      <c r="N306" s="87">
        <f>M306/M303</f>
        <v>0</v>
      </c>
      <c r="O306" s="153"/>
    </row>
    <row r="307" spans="1:15" x14ac:dyDescent="0.35">
      <c r="A307" t="s">
        <v>116</v>
      </c>
      <c r="B307" s="75" t="s">
        <v>171</v>
      </c>
      <c r="C307" s="88">
        <v>104</v>
      </c>
      <c r="D307" s="77">
        <f>C307/C303</f>
        <v>6.6671688326945585E-3</v>
      </c>
      <c r="E307" s="90">
        <v>104</v>
      </c>
      <c r="F307" s="79">
        <f>E307/E303</f>
        <v>6.6671688326945585E-3</v>
      </c>
      <c r="G307" s="91">
        <v>104</v>
      </c>
      <c r="H307" s="81">
        <f>G307/G303</f>
        <v>6.6671688326945585E-3</v>
      </c>
      <c r="I307" s="92">
        <v>104</v>
      </c>
      <c r="J307" s="83">
        <f>I307/I303</f>
        <v>6.6671688326945585E-3</v>
      </c>
      <c r="K307" s="93">
        <v>104</v>
      </c>
      <c r="L307" s="85">
        <f>K307/K303</f>
        <v>6.6671688326945585E-3</v>
      </c>
      <c r="M307" s="23">
        <v>104</v>
      </c>
      <c r="N307" s="87">
        <f>M307/M303</f>
        <v>1.3334337665389117E-3</v>
      </c>
      <c r="O307" s="153"/>
    </row>
    <row r="308" spans="1:15" x14ac:dyDescent="0.35">
      <c r="A308" t="s">
        <v>116</v>
      </c>
      <c r="B308" s="75" t="s">
        <v>172</v>
      </c>
      <c r="C308" s="88">
        <v>0</v>
      </c>
      <c r="D308" s="77">
        <f>C308/C303</f>
        <v>0</v>
      </c>
      <c r="E308" s="90">
        <v>0</v>
      </c>
      <c r="F308" s="79">
        <f>E308/E303</f>
        <v>0</v>
      </c>
      <c r="G308" s="91">
        <v>0</v>
      </c>
      <c r="H308" s="81">
        <f>G308/G303</f>
        <v>0</v>
      </c>
      <c r="I308" s="92">
        <v>0</v>
      </c>
      <c r="J308" s="83">
        <f>I308/I303</f>
        <v>0</v>
      </c>
      <c r="K308" s="93">
        <v>0</v>
      </c>
      <c r="L308" s="85">
        <f>K308/K303</f>
        <v>0</v>
      </c>
      <c r="M308" s="23">
        <v>0</v>
      </c>
      <c r="N308" s="87">
        <f>M308/M303</f>
        <v>0</v>
      </c>
      <c r="O308" s="153"/>
    </row>
    <row r="309" spans="1:15" x14ac:dyDescent="0.35">
      <c r="A309" t="s">
        <v>116</v>
      </c>
      <c r="B309" s="75" t="s">
        <v>173</v>
      </c>
      <c r="C309" s="94">
        <v>3619</v>
      </c>
      <c r="D309" s="77">
        <f>C309/C303</f>
        <v>0.23200465389924621</v>
      </c>
      <c r="E309" s="95">
        <v>3619</v>
      </c>
      <c r="F309" s="79">
        <f>E309/E303</f>
        <v>0.23200465389924621</v>
      </c>
      <c r="G309" s="96">
        <v>3619</v>
      </c>
      <c r="H309" s="81">
        <f>G309/G303</f>
        <v>0.23200465389924621</v>
      </c>
      <c r="I309" s="97">
        <v>3619</v>
      </c>
      <c r="J309" s="83">
        <f>I309/I303</f>
        <v>0.23200465389924621</v>
      </c>
      <c r="K309" s="98">
        <v>3619</v>
      </c>
      <c r="L309" s="85">
        <f>K309/K303</f>
        <v>0.23200465389924621</v>
      </c>
      <c r="M309" s="99">
        <v>3619</v>
      </c>
      <c r="N309" s="87">
        <f>M309/M303</f>
        <v>4.6400930779849241E-2</v>
      </c>
      <c r="O309" s="153"/>
    </row>
    <row r="310" spans="1:15" x14ac:dyDescent="0.35">
      <c r="A310" t="s">
        <v>116</v>
      </c>
      <c r="B310" s="75" t="s">
        <v>174</v>
      </c>
      <c r="C310" s="88">
        <v>956</v>
      </c>
      <c r="D310" s="77">
        <f>C310/C303</f>
        <v>6.1286667346692289E-2</v>
      </c>
      <c r="E310" s="90">
        <v>956</v>
      </c>
      <c r="F310" s="79">
        <f>E310/E303</f>
        <v>6.1286667346692289E-2</v>
      </c>
      <c r="G310" s="91">
        <v>956</v>
      </c>
      <c r="H310" s="81">
        <f>G310/G303</f>
        <v>6.1286667346692289E-2</v>
      </c>
      <c r="I310" s="92">
        <v>956</v>
      </c>
      <c r="J310" s="83">
        <f>I310/I303</f>
        <v>6.1286667346692289E-2</v>
      </c>
      <c r="K310" s="93">
        <v>956</v>
      </c>
      <c r="L310" s="85">
        <f>K310/K303</f>
        <v>6.1286667346692289E-2</v>
      </c>
      <c r="M310" s="23">
        <v>956</v>
      </c>
      <c r="N310" s="87">
        <f>M310/M303</f>
        <v>1.2257333469338457E-2</v>
      </c>
      <c r="O310" s="153"/>
    </row>
    <row r="311" spans="1:15" x14ac:dyDescent="0.35">
      <c r="A311" t="s">
        <v>116</v>
      </c>
      <c r="B311" s="75" t="s">
        <v>175</v>
      </c>
      <c r="C311" s="88">
        <v>0</v>
      </c>
      <c r="D311" s="77">
        <f>C311/C303</f>
        <v>0</v>
      </c>
      <c r="E311" s="90">
        <v>0</v>
      </c>
      <c r="F311" s="79">
        <f>E311/E303</f>
        <v>0</v>
      </c>
      <c r="G311" s="91">
        <v>0</v>
      </c>
      <c r="H311" s="81">
        <f>G311/G303</f>
        <v>0</v>
      </c>
      <c r="I311" s="92">
        <v>0</v>
      </c>
      <c r="J311" s="83">
        <f>I311/I303</f>
        <v>0</v>
      </c>
      <c r="K311" s="93">
        <v>0</v>
      </c>
      <c r="L311" s="85">
        <f>K311/K303</f>
        <v>0</v>
      </c>
      <c r="M311" s="23">
        <v>0</v>
      </c>
      <c r="N311" s="87">
        <f>M311/M303</f>
        <v>0</v>
      </c>
      <c r="O311" s="153"/>
    </row>
    <row r="312" spans="1:15" x14ac:dyDescent="0.35">
      <c r="A312" t="s">
        <v>116</v>
      </c>
      <c r="B312" s="75" t="s">
        <v>176</v>
      </c>
      <c r="C312" s="88">
        <v>238</v>
      </c>
      <c r="D312" s="77">
        <f>C312/C303</f>
        <v>1.5257559444051008E-2</v>
      </c>
      <c r="E312" s="90">
        <v>238</v>
      </c>
      <c r="F312" s="79">
        <f>E312/E303</f>
        <v>1.5257559444051008E-2</v>
      </c>
      <c r="G312" s="91">
        <v>238</v>
      </c>
      <c r="H312" s="81">
        <f>G312/G303</f>
        <v>1.5257559444051008E-2</v>
      </c>
      <c r="I312" s="92">
        <v>238</v>
      </c>
      <c r="J312" s="83">
        <f>I312/I303</f>
        <v>1.5257559444051008E-2</v>
      </c>
      <c r="K312" s="93">
        <v>238</v>
      </c>
      <c r="L312" s="85">
        <f>K312/K303</f>
        <v>1.5257559444051008E-2</v>
      </c>
      <c r="M312" s="23">
        <v>238</v>
      </c>
      <c r="N312" s="87">
        <f>M312/M303</f>
        <v>3.0515118888102019E-3</v>
      </c>
      <c r="O312" s="153"/>
    </row>
    <row r="313" spans="1:15" x14ac:dyDescent="0.35">
      <c r="A313" t="s">
        <v>116</v>
      </c>
      <c r="B313" s="75" t="s">
        <v>177</v>
      </c>
      <c r="C313" s="88">
        <v>0</v>
      </c>
      <c r="D313" s="77">
        <f>C313/C303</f>
        <v>0</v>
      </c>
      <c r="E313" s="90">
        <v>0</v>
      </c>
      <c r="F313" s="79">
        <f>E313/E303</f>
        <v>0</v>
      </c>
      <c r="G313" s="91">
        <v>0</v>
      </c>
      <c r="H313" s="81">
        <f>G313/G303</f>
        <v>0</v>
      </c>
      <c r="I313" s="92">
        <v>0</v>
      </c>
      <c r="J313" s="83">
        <f>I313/I303</f>
        <v>0</v>
      </c>
      <c r="K313" s="93">
        <v>0</v>
      </c>
      <c r="L313" s="85">
        <f>K313/K303</f>
        <v>0</v>
      </c>
      <c r="M313" s="23">
        <v>0</v>
      </c>
      <c r="N313" s="87">
        <f>M313/M303</f>
        <v>0</v>
      </c>
      <c r="O313" s="153"/>
    </row>
    <row r="314" spans="1:15" x14ac:dyDescent="0.35">
      <c r="A314" t="s">
        <v>116</v>
      </c>
      <c r="B314" s="75" t="s">
        <v>178</v>
      </c>
      <c r="C314" s="88">
        <v>0</v>
      </c>
      <c r="D314" s="77">
        <f>C314/C303</f>
        <v>0</v>
      </c>
      <c r="E314" s="90">
        <v>0</v>
      </c>
      <c r="F314" s="79">
        <f>E314/E303</f>
        <v>0</v>
      </c>
      <c r="G314" s="91">
        <v>0</v>
      </c>
      <c r="H314" s="81">
        <f>G314/G303</f>
        <v>0</v>
      </c>
      <c r="I314" s="92">
        <v>0</v>
      </c>
      <c r="J314" s="83">
        <f>I314/I303</f>
        <v>0</v>
      </c>
      <c r="K314" s="93">
        <v>0</v>
      </c>
      <c r="L314" s="85">
        <f>K314/K303</f>
        <v>0</v>
      </c>
      <c r="M314" s="23">
        <v>0</v>
      </c>
      <c r="N314" s="87">
        <f>M314/M303</f>
        <v>0</v>
      </c>
      <c r="O314" s="153"/>
    </row>
    <row r="315" spans="1:15" ht="15" thickBot="1" x14ac:dyDescent="0.4">
      <c r="A315" t="s">
        <v>116</v>
      </c>
      <c r="B315" s="100" t="s">
        <v>179</v>
      </c>
      <c r="C315" s="101">
        <v>0</v>
      </c>
      <c r="D315" s="113">
        <f t="shared" ref="D315" si="30">C315/$C$33</f>
        <v>0</v>
      </c>
      <c r="E315" s="103">
        <v>0</v>
      </c>
      <c r="F315" s="104">
        <f>E315/E303</f>
        <v>0</v>
      </c>
      <c r="G315" s="105">
        <v>0</v>
      </c>
      <c r="H315" s="106">
        <f>G315/G303</f>
        <v>0</v>
      </c>
      <c r="I315" s="107">
        <v>0</v>
      </c>
      <c r="J315" s="108">
        <f>I315/I303</f>
        <v>0</v>
      </c>
      <c r="K315" s="109">
        <v>0</v>
      </c>
      <c r="L315" s="110">
        <f>K315/K303</f>
        <v>0</v>
      </c>
      <c r="M315" s="25">
        <v>0</v>
      </c>
      <c r="N315" s="111">
        <f>M315/M303</f>
        <v>0</v>
      </c>
      <c r="O315" s="154"/>
    </row>
    <row r="316" spans="1:15" ht="15" thickBot="1" x14ac:dyDescent="0.4">
      <c r="D316" s="26"/>
      <c r="F316" s="26"/>
      <c r="H316" s="26"/>
      <c r="J316" s="26"/>
      <c r="L316" s="26"/>
      <c r="N316" s="26"/>
    </row>
    <row r="317" spans="1:15" ht="14.5" customHeight="1" thickBot="1" x14ac:dyDescent="0.4">
      <c r="A317" t="s">
        <v>118</v>
      </c>
      <c r="B317" s="65" t="s">
        <v>166</v>
      </c>
      <c r="C317" s="66">
        <v>0</v>
      </c>
      <c r="D317" s="67"/>
      <c r="E317" s="66">
        <v>0</v>
      </c>
      <c r="F317" s="67"/>
      <c r="G317" s="66">
        <v>0</v>
      </c>
      <c r="H317" s="67"/>
      <c r="I317" s="66">
        <v>0</v>
      </c>
      <c r="J317" s="67"/>
      <c r="K317" s="66">
        <v>0</v>
      </c>
      <c r="L317" s="67"/>
      <c r="M317" s="68">
        <f>SUM(C317,E317,G317,I317,K317)</f>
        <v>0</v>
      </c>
      <c r="N317" s="67"/>
      <c r="O317" s="152" t="s">
        <v>119</v>
      </c>
    </row>
    <row r="318" spans="1:15" ht="15" thickBot="1" x14ac:dyDescent="0.4">
      <c r="A318" t="s">
        <v>118</v>
      </c>
      <c r="B318" s="69" t="s">
        <v>167</v>
      </c>
      <c r="C318" s="70">
        <v>15598.825019999989</v>
      </c>
      <c r="D318" s="71">
        <f>SUM(D320:D330)</f>
        <v>0.36650196362033455</v>
      </c>
      <c r="E318" s="70">
        <v>15598.825019999989</v>
      </c>
      <c r="F318" s="71">
        <f>SUM(F320:F330)</f>
        <v>0.36650196362033455</v>
      </c>
      <c r="G318" s="70">
        <v>15598.825019999989</v>
      </c>
      <c r="H318" s="71">
        <f>SUM(H320:H330)</f>
        <v>0.36650196362033455</v>
      </c>
      <c r="I318" s="70">
        <v>15598.825019999989</v>
      </c>
      <c r="J318" s="71">
        <f>SUM(J320:J330)</f>
        <v>0.36650196362033455</v>
      </c>
      <c r="K318" s="70">
        <v>15598.825019999989</v>
      </c>
      <c r="L318" s="71">
        <f>SUM(L320:L330)</f>
        <v>0.36650196362033455</v>
      </c>
      <c r="M318" s="70">
        <f>SUM(C318,E318,G318,I318,K318)</f>
        <v>77994.125099999947</v>
      </c>
      <c r="N318" s="71">
        <f>SUM(N320:N330)</f>
        <v>7.3300392724066896E-2</v>
      </c>
      <c r="O318" s="153"/>
    </row>
    <row r="319" spans="1:15" ht="15" thickBot="1" x14ac:dyDescent="0.4">
      <c r="A319" t="s">
        <v>118</v>
      </c>
      <c r="B319" s="72" t="s">
        <v>168</v>
      </c>
      <c r="C319" s="73"/>
      <c r="D319" s="74">
        <f>(SUM(D320:D330)+C317)/C318</f>
        <v>2.3495485278565861E-5</v>
      </c>
      <c r="E319" s="73"/>
      <c r="F319" s="74">
        <f>(SUM(F320:F330)+E317)/E318</f>
        <v>2.3495485278565861E-5</v>
      </c>
      <c r="G319" s="73"/>
      <c r="H319" s="74">
        <f>(SUM(H320:H330)+G317)/G318</f>
        <v>2.3495485278565861E-5</v>
      </c>
      <c r="I319" s="73"/>
      <c r="J319" s="74">
        <f>(SUM(J320:J330)+I317)/I318</f>
        <v>2.3495485278565861E-5</v>
      </c>
      <c r="K319" s="73"/>
      <c r="L319" s="74">
        <f>(SUM(L320:L330)+K317)/K318</f>
        <v>2.3495485278565861E-5</v>
      </c>
      <c r="M319" s="73"/>
      <c r="N319" s="74">
        <f>(SUM(N320:N330)+M317)/M318</f>
        <v>9.398194111426342E-7</v>
      </c>
      <c r="O319" s="153"/>
    </row>
    <row r="320" spans="1:15" x14ac:dyDescent="0.35">
      <c r="A320" t="s">
        <v>118</v>
      </c>
      <c r="B320" s="75" t="s">
        <v>169</v>
      </c>
      <c r="C320" s="76">
        <v>800</v>
      </c>
      <c r="D320" s="77">
        <f>C320/C318</f>
        <v>5.1285914097650452E-2</v>
      </c>
      <c r="E320" s="78">
        <v>800</v>
      </c>
      <c r="F320" s="79">
        <f>E320/E318</f>
        <v>5.1285914097650452E-2</v>
      </c>
      <c r="G320" s="80">
        <v>800</v>
      </c>
      <c r="H320" s="81">
        <f>G320/G318</f>
        <v>5.1285914097650452E-2</v>
      </c>
      <c r="I320" s="82">
        <v>800</v>
      </c>
      <c r="J320" s="83">
        <f>I320/I318</f>
        <v>5.1285914097650452E-2</v>
      </c>
      <c r="K320" s="84">
        <v>800</v>
      </c>
      <c r="L320" s="85">
        <f>K320/K318</f>
        <v>5.1285914097650452E-2</v>
      </c>
      <c r="M320" s="86">
        <v>800</v>
      </c>
      <c r="N320" s="87">
        <f>M320/M318</f>
        <v>1.025718281953009E-2</v>
      </c>
      <c r="O320" s="153"/>
    </row>
    <row r="321" spans="1:15" x14ac:dyDescent="0.35">
      <c r="A321" t="s">
        <v>118</v>
      </c>
      <c r="B321" s="75" t="s">
        <v>170</v>
      </c>
      <c r="C321" s="88">
        <v>0</v>
      </c>
      <c r="D321" s="77">
        <f>C321/C318</f>
        <v>0</v>
      </c>
      <c r="E321" s="90">
        <v>0</v>
      </c>
      <c r="F321" s="79">
        <f>E321/E318</f>
        <v>0</v>
      </c>
      <c r="G321" s="91">
        <v>0</v>
      </c>
      <c r="H321" s="81">
        <f>G321/G318</f>
        <v>0</v>
      </c>
      <c r="I321" s="92">
        <v>0</v>
      </c>
      <c r="J321" s="83">
        <f>I321/I318</f>
        <v>0</v>
      </c>
      <c r="K321" s="93">
        <v>0</v>
      </c>
      <c r="L321" s="85">
        <f>K321/K318</f>
        <v>0</v>
      </c>
      <c r="M321" s="23">
        <v>0</v>
      </c>
      <c r="N321" s="87">
        <f>M321/M318</f>
        <v>0</v>
      </c>
      <c r="O321" s="153"/>
    </row>
    <row r="322" spans="1:15" x14ac:dyDescent="0.35">
      <c r="A322" t="s">
        <v>118</v>
      </c>
      <c r="B322" s="75" t="s">
        <v>171</v>
      </c>
      <c r="C322" s="88">
        <v>104</v>
      </c>
      <c r="D322" s="77">
        <f>C322/C318</f>
        <v>6.6671688326945585E-3</v>
      </c>
      <c r="E322" s="90">
        <v>104</v>
      </c>
      <c r="F322" s="79">
        <f>E322/E318</f>
        <v>6.6671688326945585E-3</v>
      </c>
      <c r="G322" s="91">
        <v>104</v>
      </c>
      <c r="H322" s="81">
        <f>G322/G318</f>
        <v>6.6671688326945585E-3</v>
      </c>
      <c r="I322" s="92">
        <v>104</v>
      </c>
      <c r="J322" s="83">
        <f>I322/I318</f>
        <v>6.6671688326945585E-3</v>
      </c>
      <c r="K322" s="93">
        <v>104</v>
      </c>
      <c r="L322" s="85">
        <f>K322/K318</f>
        <v>6.6671688326945585E-3</v>
      </c>
      <c r="M322" s="23">
        <v>104</v>
      </c>
      <c r="N322" s="87">
        <f>M322/M318</f>
        <v>1.3334337665389117E-3</v>
      </c>
      <c r="O322" s="153"/>
    </row>
    <row r="323" spans="1:15" x14ac:dyDescent="0.35">
      <c r="A323" t="s">
        <v>118</v>
      </c>
      <c r="B323" s="75" t="s">
        <v>172</v>
      </c>
      <c r="C323" s="88">
        <v>0</v>
      </c>
      <c r="D323" s="77">
        <f>C323/C318</f>
        <v>0</v>
      </c>
      <c r="E323" s="90">
        <v>0</v>
      </c>
      <c r="F323" s="79">
        <f>E323/E318</f>
        <v>0</v>
      </c>
      <c r="G323" s="91">
        <v>0</v>
      </c>
      <c r="H323" s="81">
        <f>G323/G318</f>
        <v>0</v>
      </c>
      <c r="I323" s="92">
        <v>0</v>
      </c>
      <c r="J323" s="83">
        <f>I323/I318</f>
        <v>0</v>
      </c>
      <c r="K323" s="93">
        <v>0</v>
      </c>
      <c r="L323" s="85">
        <f>K323/K318</f>
        <v>0</v>
      </c>
      <c r="M323" s="23">
        <v>0</v>
      </c>
      <c r="N323" s="87">
        <f>M323/M318</f>
        <v>0</v>
      </c>
      <c r="O323" s="153"/>
    </row>
    <row r="324" spans="1:15" x14ac:dyDescent="0.35">
      <c r="A324" t="s">
        <v>118</v>
      </c>
      <c r="B324" s="75" t="s">
        <v>173</v>
      </c>
      <c r="C324" s="94">
        <v>3619</v>
      </c>
      <c r="D324" s="77">
        <f>C324/C318</f>
        <v>0.23200465389924621</v>
      </c>
      <c r="E324" s="95">
        <v>3619</v>
      </c>
      <c r="F324" s="79">
        <f>E324/E318</f>
        <v>0.23200465389924621</v>
      </c>
      <c r="G324" s="96">
        <v>3619</v>
      </c>
      <c r="H324" s="81">
        <f>G324/G318</f>
        <v>0.23200465389924621</v>
      </c>
      <c r="I324" s="97">
        <v>3619</v>
      </c>
      <c r="J324" s="83">
        <f>I324/I318</f>
        <v>0.23200465389924621</v>
      </c>
      <c r="K324" s="98">
        <v>3619</v>
      </c>
      <c r="L324" s="85">
        <f>K324/K318</f>
        <v>0.23200465389924621</v>
      </c>
      <c r="M324" s="99">
        <v>3619</v>
      </c>
      <c r="N324" s="87">
        <f>M324/M318</f>
        <v>4.6400930779849241E-2</v>
      </c>
      <c r="O324" s="153"/>
    </row>
    <row r="325" spans="1:15" x14ac:dyDescent="0.35">
      <c r="A325" t="s">
        <v>118</v>
      </c>
      <c r="B325" s="75" t="s">
        <v>174</v>
      </c>
      <c r="C325" s="88">
        <v>956</v>
      </c>
      <c r="D325" s="77">
        <f>C325/C318</f>
        <v>6.1286667346692289E-2</v>
      </c>
      <c r="E325" s="90">
        <v>956</v>
      </c>
      <c r="F325" s="79">
        <f>E325/E318</f>
        <v>6.1286667346692289E-2</v>
      </c>
      <c r="G325" s="91">
        <v>956</v>
      </c>
      <c r="H325" s="81">
        <f>G325/G318</f>
        <v>6.1286667346692289E-2</v>
      </c>
      <c r="I325" s="92">
        <v>956</v>
      </c>
      <c r="J325" s="83">
        <f>I325/I318</f>
        <v>6.1286667346692289E-2</v>
      </c>
      <c r="K325" s="93">
        <v>956</v>
      </c>
      <c r="L325" s="85">
        <f>K325/K318</f>
        <v>6.1286667346692289E-2</v>
      </c>
      <c r="M325" s="23">
        <v>956</v>
      </c>
      <c r="N325" s="87">
        <f>M325/M318</f>
        <v>1.2257333469338457E-2</v>
      </c>
      <c r="O325" s="153"/>
    </row>
    <row r="326" spans="1:15" x14ac:dyDescent="0.35">
      <c r="A326" t="s">
        <v>118</v>
      </c>
      <c r="B326" s="75" t="s">
        <v>175</v>
      </c>
      <c r="C326" s="88">
        <v>0</v>
      </c>
      <c r="D326" s="77">
        <f>C326/C318</f>
        <v>0</v>
      </c>
      <c r="E326" s="90">
        <v>0</v>
      </c>
      <c r="F326" s="79">
        <f>E326/E318</f>
        <v>0</v>
      </c>
      <c r="G326" s="91">
        <v>0</v>
      </c>
      <c r="H326" s="81">
        <f>G326/G318</f>
        <v>0</v>
      </c>
      <c r="I326" s="92">
        <v>0</v>
      </c>
      <c r="J326" s="83">
        <f>I326/I318</f>
        <v>0</v>
      </c>
      <c r="K326" s="93">
        <v>0</v>
      </c>
      <c r="L326" s="85">
        <f>K326/K318</f>
        <v>0</v>
      </c>
      <c r="M326" s="23">
        <v>0</v>
      </c>
      <c r="N326" s="87">
        <f>M326/M318</f>
        <v>0</v>
      </c>
      <c r="O326" s="153"/>
    </row>
    <row r="327" spans="1:15" x14ac:dyDescent="0.35">
      <c r="A327" t="s">
        <v>118</v>
      </c>
      <c r="B327" s="75" t="s">
        <v>176</v>
      </c>
      <c r="C327" s="88">
        <v>238</v>
      </c>
      <c r="D327" s="77">
        <f>C327/C318</f>
        <v>1.5257559444051008E-2</v>
      </c>
      <c r="E327" s="90">
        <v>238</v>
      </c>
      <c r="F327" s="79">
        <f>E327/E318</f>
        <v>1.5257559444051008E-2</v>
      </c>
      <c r="G327" s="91">
        <v>238</v>
      </c>
      <c r="H327" s="81">
        <f>G327/G318</f>
        <v>1.5257559444051008E-2</v>
      </c>
      <c r="I327" s="92">
        <v>238</v>
      </c>
      <c r="J327" s="83">
        <f>I327/I318</f>
        <v>1.5257559444051008E-2</v>
      </c>
      <c r="K327" s="93">
        <v>238</v>
      </c>
      <c r="L327" s="85">
        <f>K327/K318</f>
        <v>1.5257559444051008E-2</v>
      </c>
      <c r="M327" s="23">
        <v>238</v>
      </c>
      <c r="N327" s="87">
        <f>M327/M318</f>
        <v>3.0515118888102019E-3</v>
      </c>
      <c r="O327" s="153"/>
    </row>
    <row r="328" spans="1:15" x14ac:dyDescent="0.35">
      <c r="A328" t="s">
        <v>118</v>
      </c>
      <c r="B328" s="75" t="s">
        <v>177</v>
      </c>
      <c r="C328" s="88">
        <v>0</v>
      </c>
      <c r="D328" s="77">
        <f>C328/C318</f>
        <v>0</v>
      </c>
      <c r="E328" s="90">
        <v>0</v>
      </c>
      <c r="F328" s="79">
        <f>E328/E318</f>
        <v>0</v>
      </c>
      <c r="G328" s="91">
        <v>0</v>
      </c>
      <c r="H328" s="81">
        <f>G328/G318</f>
        <v>0</v>
      </c>
      <c r="I328" s="92">
        <v>0</v>
      </c>
      <c r="J328" s="83">
        <f>I328/I318</f>
        <v>0</v>
      </c>
      <c r="K328" s="93">
        <v>0</v>
      </c>
      <c r="L328" s="85">
        <f>K328/K318</f>
        <v>0</v>
      </c>
      <c r="M328" s="23">
        <v>0</v>
      </c>
      <c r="N328" s="87">
        <f>M328/M318</f>
        <v>0</v>
      </c>
      <c r="O328" s="153"/>
    </row>
    <row r="329" spans="1:15" x14ac:dyDescent="0.35">
      <c r="A329" t="s">
        <v>118</v>
      </c>
      <c r="B329" s="75" t="s">
        <v>178</v>
      </c>
      <c r="C329" s="88">
        <v>0</v>
      </c>
      <c r="D329" s="77">
        <f>C329/C318</f>
        <v>0</v>
      </c>
      <c r="E329" s="90">
        <v>0</v>
      </c>
      <c r="F329" s="79">
        <f>E329/E318</f>
        <v>0</v>
      </c>
      <c r="G329" s="91">
        <v>0</v>
      </c>
      <c r="H329" s="81">
        <f>G329/G318</f>
        <v>0</v>
      </c>
      <c r="I329" s="92">
        <v>0</v>
      </c>
      <c r="J329" s="83">
        <f>I329/I318</f>
        <v>0</v>
      </c>
      <c r="K329" s="93">
        <v>0</v>
      </c>
      <c r="L329" s="85">
        <f>K329/K318</f>
        <v>0</v>
      </c>
      <c r="M329" s="23">
        <v>0</v>
      </c>
      <c r="N329" s="87">
        <f>M329/M318</f>
        <v>0</v>
      </c>
      <c r="O329" s="153"/>
    </row>
    <row r="330" spans="1:15" ht="15" thickBot="1" x14ac:dyDescent="0.4">
      <c r="A330" t="s">
        <v>118</v>
      </c>
      <c r="B330" s="100" t="s">
        <v>179</v>
      </c>
      <c r="C330" s="101">
        <v>0</v>
      </c>
      <c r="D330" s="113">
        <f t="shared" ref="D330" si="31">C330/$C$33</f>
        <v>0</v>
      </c>
      <c r="E330" s="103">
        <v>0</v>
      </c>
      <c r="F330" s="104">
        <f>E330/E318</f>
        <v>0</v>
      </c>
      <c r="G330" s="105">
        <v>0</v>
      </c>
      <c r="H330" s="106">
        <f>G330/G318</f>
        <v>0</v>
      </c>
      <c r="I330" s="107">
        <v>0</v>
      </c>
      <c r="J330" s="108">
        <f>I330/I318</f>
        <v>0</v>
      </c>
      <c r="K330" s="109">
        <v>0</v>
      </c>
      <c r="L330" s="110">
        <f>K330/K318</f>
        <v>0</v>
      </c>
      <c r="M330" s="25">
        <v>0</v>
      </c>
      <c r="N330" s="111">
        <f>M330/M318</f>
        <v>0</v>
      </c>
      <c r="O330" s="154"/>
    </row>
    <row r="331" spans="1:15" ht="15" thickBot="1" x14ac:dyDescent="0.4">
      <c r="B331" s="24"/>
    </row>
    <row r="332" spans="1:15" ht="15" thickBot="1" x14ac:dyDescent="0.4">
      <c r="A332" t="s">
        <v>120</v>
      </c>
      <c r="B332" s="65" t="s">
        <v>166</v>
      </c>
      <c r="C332" s="66">
        <v>0</v>
      </c>
      <c r="D332" s="67"/>
      <c r="E332" s="66">
        <v>0</v>
      </c>
      <c r="F332" s="67"/>
      <c r="G332" s="66">
        <v>0</v>
      </c>
      <c r="H332" s="67"/>
      <c r="I332" s="66">
        <v>0</v>
      </c>
      <c r="J332" s="67"/>
      <c r="K332" s="66">
        <v>0</v>
      </c>
      <c r="L332" s="67"/>
      <c r="M332" s="68">
        <f>SUM(C332,E332,G332,I332,K332)</f>
        <v>0</v>
      </c>
      <c r="N332" s="67"/>
      <c r="O332" s="150" t="s">
        <v>121</v>
      </c>
    </row>
    <row r="333" spans="1:15" ht="15" thickBot="1" x14ac:dyDescent="0.4">
      <c r="A333" t="s">
        <v>120</v>
      </c>
      <c r="B333" s="69" t="s">
        <v>167</v>
      </c>
      <c r="C333" s="70">
        <v>15598.825019999989</v>
      </c>
      <c r="D333" s="71">
        <f>SUM(D335:D345)</f>
        <v>0.36650196362033455</v>
      </c>
      <c r="E333" s="70">
        <v>15598.825019999989</v>
      </c>
      <c r="F333" s="71">
        <f>SUM(F335:F345)</f>
        <v>0.36650196362033455</v>
      </c>
      <c r="G333" s="70">
        <v>15598.825019999989</v>
      </c>
      <c r="H333" s="71">
        <f>SUM(H335:H345)</f>
        <v>0.36650196362033455</v>
      </c>
      <c r="I333" s="70">
        <v>15598.825019999989</v>
      </c>
      <c r="J333" s="71">
        <f>SUM(J335:J345)</f>
        <v>0.36650196362033455</v>
      </c>
      <c r="K333" s="70">
        <v>15598.825019999989</v>
      </c>
      <c r="L333" s="71">
        <f>SUM(L335:L345)</f>
        <v>0.36650196362033455</v>
      </c>
      <c r="M333" s="70">
        <f>SUM(C333,E333,G333,I333,K333)</f>
        <v>77994.125099999947</v>
      </c>
      <c r="N333" s="71">
        <f>SUM(N335:N345)</f>
        <v>7.3300392724066896E-2</v>
      </c>
      <c r="O333" s="151"/>
    </row>
    <row r="334" spans="1:15" ht="15" thickBot="1" x14ac:dyDescent="0.4">
      <c r="A334" t="s">
        <v>120</v>
      </c>
      <c r="B334" s="72" t="s">
        <v>168</v>
      </c>
      <c r="C334" s="73"/>
      <c r="D334" s="74">
        <f>(SUM(D335:D345)+C332)/C333</f>
        <v>2.3495485278565861E-5</v>
      </c>
      <c r="E334" s="73"/>
      <c r="F334" s="74">
        <f>(SUM(F335:F345)+E332)/E333</f>
        <v>2.3495485278565861E-5</v>
      </c>
      <c r="G334" s="73"/>
      <c r="H334" s="74">
        <f>(SUM(H335:H345)+G332)/G333</f>
        <v>2.3495485278565861E-5</v>
      </c>
      <c r="I334" s="73"/>
      <c r="J334" s="74">
        <f>(SUM(J335:J345)+I332)/I333</f>
        <v>2.3495485278565861E-5</v>
      </c>
      <c r="K334" s="73"/>
      <c r="L334" s="74">
        <f>(SUM(L335:L345)+K332)/K333</f>
        <v>2.3495485278565861E-5</v>
      </c>
      <c r="M334" s="73"/>
      <c r="N334" s="74">
        <f>(SUM(N335:N345)+M332)/M333</f>
        <v>9.398194111426342E-7</v>
      </c>
      <c r="O334" s="151"/>
    </row>
    <row r="335" spans="1:15" x14ac:dyDescent="0.35">
      <c r="A335" t="s">
        <v>120</v>
      </c>
      <c r="B335" s="75" t="s">
        <v>169</v>
      </c>
      <c r="C335" s="76">
        <v>800</v>
      </c>
      <c r="D335" s="77">
        <f>C335/C333</f>
        <v>5.1285914097650452E-2</v>
      </c>
      <c r="E335" s="78">
        <v>800</v>
      </c>
      <c r="F335" s="79">
        <f>E335/E333</f>
        <v>5.1285914097650452E-2</v>
      </c>
      <c r="G335" s="80">
        <v>800</v>
      </c>
      <c r="H335" s="81">
        <f>G335/G333</f>
        <v>5.1285914097650452E-2</v>
      </c>
      <c r="I335" s="82">
        <v>800</v>
      </c>
      <c r="J335" s="83">
        <f>I335/I333</f>
        <v>5.1285914097650452E-2</v>
      </c>
      <c r="K335" s="84">
        <v>800</v>
      </c>
      <c r="L335" s="85">
        <f>K335/K333</f>
        <v>5.1285914097650452E-2</v>
      </c>
      <c r="M335" s="86">
        <v>800</v>
      </c>
      <c r="N335" s="87">
        <f>M335/M333</f>
        <v>1.025718281953009E-2</v>
      </c>
      <c r="O335" s="151"/>
    </row>
    <row r="336" spans="1:15" x14ac:dyDescent="0.35">
      <c r="A336" t="s">
        <v>120</v>
      </c>
      <c r="B336" s="75" t="s">
        <v>170</v>
      </c>
      <c r="C336" s="88">
        <v>0</v>
      </c>
      <c r="D336" s="77">
        <f>C336/C333</f>
        <v>0</v>
      </c>
      <c r="E336" s="90">
        <v>0</v>
      </c>
      <c r="F336" s="79">
        <f>E336/E333</f>
        <v>0</v>
      </c>
      <c r="G336" s="91">
        <v>0</v>
      </c>
      <c r="H336" s="81">
        <f>G336/G333</f>
        <v>0</v>
      </c>
      <c r="I336" s="92">
        <v>0</v>
      </c>
      <c r="J336" s="83">
        <f>I336/I333</f>
        <v>0</v>
      </c>
      <c r="K336" s="93">
        <v>0</v>
      </c>
      <c r="L336" s="85">
        <f>K336/K333</f>
        <v>0</v>
      </c>
      <c r="M336" s="23">
        <v>0</v>
      </c>
      <c r="N336" s="87">
        <f>M336/M333</f>
        <v>0</v>
      </c>
      <c r="O336" s="151"/>
    </row>
    <row r="337" spans="1:15" x14ac:dyDescent="0.35">
      <c r="A337" t="s">
        <v>120</v>
      </c>
      <c r="B337" s="75" t="s">
        <v>171</v>
      </c>
      <c r="C337" s="88">
        <v>104</v>
      </c>
      <c r="D337" s="77">
        <f>C337/C333</f>
        <v>6.6671688326945585E-3</v>
      </c>
      <c r="E337" s="90">
        <v>104</v>
      </c>
      <c r="F337" s="79">
        <f>E337/E333</f>
        <v>6.6671688326945585E-3</v>
      </c>
      <c r="G337" s="91">
        <v>104</v>
      </c>
      <c r="H337" s="81">
        <f>G337/G333</f>
        <v>6.6671688326945585E-3</v>
      </c>
      <c r="I337" s="92">
        <v>104</v>
      </c>
      <c r="J337" s="83">
        <f>I337/I333</f>
        <v>6.6671688326945585E-3</v>
      </c>
      <c r="K337" s="93">
        <v>104</v>
      </c>
      <c r="L337" s="85">
        <f>K337/K333</f>
        <v>6.6671688326945585E-3</v>
      </c>
      <c r="M337" s="23">
        <v>104</v>
      </c>
      <c r="N337" s="87">
        <f>M337/M333</f>
        <v>1.3334337665389117E-3</v>
      </c>
      <c r="O337" s="151"/>
    </row>
    <row r="338" spans="1:15" x14ac:dyDescent="0.35">
      <c r="A338" t="s">
        <v>120</v>
      </c>
      <c r="B338" s="75" t="s">
        <v>172</v>
      </c>
      <c r="C338" s="88">
        <v>0</v>
      </c>
      <c r="D338" s="77">
        <f>C338/C333</f>
        <v>0</v>
      </c>
      <c r="E338" s="90">
        <v>0</v>
      </c>
      <c r="F338" s="79">
        <f>E338/E333</f>
        <v>0</v>
      </c>
      <c r="G338" s="91">
        <v>0</v>
      </c>
      <c r="H338" s="81">
        <f>G338/G333</f>
        <v>0</v>
      </c>
      <c r="I338" s="92">
        <v>0</v>
      </c>
      <c r="J338" s="83">
        <f>I338/I333</f>
        <v>0</v>
      </c>
      <c r="K338" s="93">
        <v>0</v>
      </c>
      <c r="L338" s="85">
        <f>K338/K333</f>
        <v>0</v>
      </c>
      <c r="M338" s="23">
        <v>0</v>
      </c>
      <c r="N338" s="87">
        <f>M338/M333</f>
        <v>0</v>
      </c>
      <c r="O338" s="151"/>
    </row>
    <row r="339" spans="1:15" x14ac:dyDescent="0.35">
      <c r="A339" t="s">
        <v>120</v>
      </c>
      <c r="B339" s="75" t="s">
        <v>173</v>
      </c>
      <c r="C339" s="94">
        <v>3619</v>
      </c>
      <c r="D339" s="77">
        <f>C339/C333</f>
        <v>0.23200465389924621</v>
      </c>
      <c r="E339" s="95">
        <v>3619</v>
      </c>
      <c r="F339" s="79">
        <f>E339/E333</f>
        <v>0.23200465389924621</v>
      </c>
      <c r="G339" s="96">
        <v>3619</v>
      </c>
      <c r="H339" s="81">
        <f>G339/G333</f>
        <v>0.23200465389924621</v>
      </c>
      <c r="I339" s="97">
        <v>3619</v>
      </c>
      <c r="J339" s="83">
        <f>I339/I333</f>
        <v>0.23200465389924621</v>
      </c>
      <c r="K339" s="98">
        <v>3619</v>
      </c>
      <c r="L339" s="85">
        <f>K339/K333</f>
        <v>0.23200465389924621</v>
      </c>
      <c r="M339" s="99">
        <v>3619</v>
      </c>
      <c r="N339" s="87">
        <f>M339/M333</f>
        <v>4.6400930779849241E-2</v>
      </c>
      <c r="O339" s="151"/>
    </row>
    <row r="340" spans="1:15" x14ac:dyDescent="0.35">
      <c r="A340" t="s">
        <v>120</v>
      </c>
      <c r="B340" s="75" t="s">
        <v>174</v>
      </c>
      <c r="C340" s="88">
        <v>956</v>
      </c>
      <c r="D340" s="77">
        <f>C340/C333</f>
        <v>6.1286667346692289E-2</v>
      </c>
      <c r="E340" s="90">
        <v>956</v>
      </c>
      <c r="F340" s="79">
        <f>E340/E333</f>
        <v>6.1286667346692289E-2</v>
      </c>
      <c r="G340" s="91">
        <v>956</v>
      </c>
      <c r="H340" s="81">
        <f>G340/G333</f>
        <v>6.1286667346692289E-2</v>
      </c>
      <c r="I340" s="92">
        <v>956</v>
      </c>
      <c r="J340" s="83">
        <f>I340/I333</f>
        <v>6.1286667346692289E-2</v>
      </c>
      <c r="K340" s="93">
        <v>956</v>
      </c>
      <c r="L340" s="85">
        <f>K340/K333</f>
        <v>6.1286667346692289E-2</v>
      </c>
      <c r="M340" s="23">
        <v>956</v>
      </c>
      <c r="N340" s="87">
        <f>M340/M333</f>
        <v>1.2257333469338457E-2</v>
      </c>
      <c r="O340" s="151"/>
    </row>
    <row r="341" spans="1:15" x14ac:dyDescent="0.35">
      <c r="A341" t="s">
        <v>120</v>
      </c>
      <c r="B341" s="75" t="s">
        <v>175</v>
      </c>
      <c r="C341" s="88">
        <v>0</v>
      </c>
      <c r="D341" s="77">
        <f>C341/C333</f>
        <v>0</v>
      </c>
      <c r="E341" s="90">
        <v>0</v>
      </c>
      <c r="F341" s="79">
        <f>E341/E333</f>
        <v>0</v>
      </c>
      <c r="G341" s="91">
        <v>0</v>
      </c>
      <c r="H341" s="81">
        <f>G341/G333</f>
        <v>0</v>
      </c>
      <c r="I341" s="92">
        <v>0</v>
      </c>
      <c r="J341" s="83">
        <f>I341/I333</f>
        <v>0</v>
      </c>
      <c r="K341" s="93">
        <v>0</v>
      </c>
      <c r="L341" s="85">
        <f>K341/K333</f>
        <v>0</v>
      </c>
      <c r="M341" s="23">
        <v>0</v>
      </c>
      <c r="N341" s="87">
        <f>M341/M333</f>
        <v>0</v>
      </c>
      <c r="O341" s="151"/>
    </row>
    <row r="342" spans="1:15" x14ac:dyDescent="0.35">
      <c r="A342" t="s">
        <v>120</v>
      </c>
      <c r="B342" s="75" t="s">
        <v>176</v>
      </c>
      <c r="C342" s="88">
        <v>238</v>
      </c>
      <c r="D342" s="77">
        <f>C342/C333</f>
        <v>1.5257559444051008E-2</v>
      </c>
      <c r="E342" s="90">
        <v>238</v>
      </c>
      <c r="F342" s="79">
        <f>E342/E333</f>
        <v>1.5257559444051008E-2</v>
      </c>
      <c r="G342" s="91">
        <v>238</v>
      </c>
      <c r="H342" s="81">
        <f>G342/G333</f>
        <v>1.5257559444051008E-2</v>
      </c>
      <c r="I342" s="92">
        <v>238</v>
      </c>
      <c r="J342" s="83">
        <f>I342/I333</f>
        <v>1.5257559444051008E-2</v>
      </c>
      <c r="K342" s="93">
        <v>238</v>
      </c>
      <c r="L342" s="85">
        <f>K342/K333</f>
        <v>1.5257559444051008E-2</v>
      </c>
      <c r="M342" s="23">
        <v>238</v>
      </c>
      <c r="N342" s="87">
        <f>M342/M333</f>
        <v>3.0515118888102019E-3</v>
      </c>
      <c r="O342" s="151"/>
    </row>
    <row r="343" spans="1:15" x14ac:dyDescent="0.35">
      <c r="A343" t="s">
        <v>120</v>
      </c>
      <c r="B343" s="75" t="s">
        <v>177</v>
      </c>
      <c r="C343" s="88">
        <v>0</v>
      </c>
      <c r="D343" s="77">
        <f>C343/C333</f>
        <v>0</v>
      </c>
      <c r="E343" s="90">
        <v>0</v>
      </c>
      <c r="F343" s="79">
        <f>E343/E333</f>
        <v>0</v>
      </c>
      <c r="G343" s="91">
        <v>0</v>
      </c>
      <c r="H343" s="81">
        <f>G343/G333</f>
        <v>0</v>
      </c>
      <c r="I343" s="92">
        <v>0</v>
      </c>
      <c r="J343" s="83">
        <f>I343/I333</f>
        <v>0</v>
      </c>
      <c r="K343" s="93">
        <v>0</v>
      </c>
      <c r="L343" s="85">
        <f>K343/K333</f>
        <v>0</v>
      </c>
      <c r="M343" s="23">
        <v>0</v>
      </c>
      <c r="N343" s="87">
        <f>M343/M333</f>
        <v>0</v>
      </c>
      <c r="O343" s="151"/>
    </row>
    <row r="344" spans="1:15" x14ac:dyDescent="0.35">
      <c r="A344" t="s">
        <v>120</v>
      </c>
      <c r="B344" s="75" t="s">
        <v>178</v>
      </c>
      <c r="C344" s="88">
        <v>0</v>
      </c>
      <c r="D344" s="77">
        <f>C344/C333</f>
        <v>0</v>
      </c>
      <c r="E344" s="90">
        <v>0</v>
      </c>
      <c r="F344" s="79">
        <f>E344/E333</f>
        <v>0</v>
      </c>
      <c r="G344" s="91">
        <v>0</v>
      </c>
      <c r="H344" s="81">
        <f>G344/G333</f>
        <v>0</v>
      </c>
      <c r="I344" s="92">
        <v>0</v>
      </c>
      <c r="J344" s="83">
        <f>I344/I333</f>
        <v>0</v>
      </c>
      <c r="K344" s="93">
        <v>0</v>
      </c>
      <c r="L344" s="85">
        <f>K344/K333</f>
        <v>0</v>
      </c>
      <c r="M344" s="23">
        <v>0</v>
      </c>
      <c r="N344" s="87">
        <f>M344/M333</f>
        <v>0</v>
      </c>
      <c r="O344" s="151"/>
    </row>
    <row r="345" spans="1:15" ht="15" thickBot="1" x14ac:dyDescent="0.4">
      <c r="A345" t="s">
        <v>120</v>
      </c>
      <c r="B345" s="100" t="s">
        <v>179</v>
      </c>
      <c r="C345" s="101">
        <v>0</v>
      </c>
      <c r="D345" s="113">
        <f t="shared" ref="D345" si="32">C345/$C$33</f>
        <v>0</v>
      </c>
      <c r="E345" s="103">
        <v>0</v>
      </c>
      <c r="F345" s="104">
        <f>E345/E333</f>
        <v>0</v>
      </c>
      <c r="G345" s="105">
        <v>0</v>
      </c>
      <c r="H345" s="106">
        <f>G345/G333</f>
        <v>0</v>
      </c>
      <c r="I345" s="107">
        <v>0</v>
      </c>
      <c r="J345" s="108">
        <f>I345/I333</f>
        <v>0</v>
      </c>
      <c r="K345" s="109">
        <v>0</v>
      </c>
      <c r="L345" s="110">
        <f>K345/K333</f>
        <v>0</v>
      </c>
      <c r="M345" s="25">
        <v>0</v>
      </c>
      <c r="N345" s="111">
        <f>M345/M333</f>
        <v>0</v>
      </c>
      <c r="O345" s="151"/>
    </row>
    <row r="346" spans="1:15" ht="15" thickBot="1" x14ac:dyDescent="0.4">
      <c r="D346" s="26"/>
      <c r="F346" s="26"/>
      <c r="H346" s="26"/>
      <c r="J346" s="26"/>
      <c r="L346" s="26"/>
      <c r="N346" s="26"/>
    </row>
    <row r="347" spans="1:15" ht="15" thickBot="1" x14ac:dyDescent="0.4">
      <c r="A347" t="s">
        <v>122</v>
      </c>
      <c r="B347" s="65" t="s">
        <v>166</v>
      </c>
      <c r="C347" s="66">
        <v>0</v>
      </c>
      <c r="D347" s="67"/>
      <c r="E347" s="66">
        <v>0</v>
      </c>
      <c r="F347" s="67"/>
      <c r="G347" s="66">
        <v>0</v>
      </c>
      <c r="H347" s="67"/>
      <c r="I347" s="66">
        <v>0</v>
      </c>
      <c r="J347" s="67"/>
      <c r="K347" s="66">
        <v>0</v>
      </c>
      <c r="L347" s="67"/>
      <c r="M347" s="68">
        <f>SUM(C347,E347,G347,I347,K347)</f>
        <v>0</v>
      </c>
      <c r="N347" s="67"/>
      <c r="O347" s="150" t="s">
        <v>123</v>
      </c>
    </row>
    <row r="348" spans="1:15" ht="15" thickBot="1" x14ac:dyDescent="0.4">
      <c r="A348" t="s">
        <v>122</v>
      </c>
      <c r="B348" s="69" t="s">
        <v>167</v>
      </c>
      <c r="C348" s="70">
        <v>15598.825019999989</v>
      </c>
      <c r="D348" s="71">
        <f>SUM(D350:D360)</f>
        <v>0.36650196362033455</v>
      </c>
      <c r="E348" s="70">
        <v>15598.825019999989</v>
      </c>
      <c r="F348" s="71">
        <f>SUM(F350:F360)</f>
        <v>0.36650196362033455</v>
      </c>
      <c r="G348" s="70">
        <v>15598.825019999989</v>
      </c>
      <c r="H348" s="71">
        <f>SUM(H350:H360)</f>
        <v>0.36650196362033455</v>
      </c>
      <c r="I348" s="70">
        <v>15598.825019999989</v>
      </c>
      <c r="J348" s="71">
        <f>SUM(J350:J360)</f>
        <v>0.36650196362033455</v>
      </c>
      <c r="K348" s="70">
        <v>15598.825019999989</v>
      </c>
      <c r="L348" s="71">
        <f>SUM(L350:L360)</f>
        <v>0.36650196362033455</v>
      </c>
      <c r="M348" s="70">
        <f>SUM(C348,E348,G348,I348,K348)</f>
        <v>77994.125099999947</v>
      </c>
      <c r="N348" s="71">
        <f>SUM(N350:N360)</f>
        <v>7.3300392724066896E-2</v>
      </c>
      <c r="O348" s="151"/>
    </row>
    <row r="349" spans="1:15" ht="15" thickBot="1" x14ac:dyDescent="0.4">
      <c r="A349" t="s">
        <v>122</v>
      </c>
      <c r="B349" s="72" t="s">
        <v>168</v>
      </c>
      <c r="C349" s="73"/>
      <c r="D349" s="74">
        <f>(SUM(D350:D360)+C347)/C348</f>
        <v>2.3495485278565861E-5</v>
      </c>
      <c r="E349" s="73"/>
      <c r="F349" s="74">
        <f>(SUM(F350:F360)+E347)/E348</f>
        <v>2.3495485278565861E-5</v>
      </c>
      <c r="G349" s="73"/>
      <c r="H349" s="74">
        <f>(SUM(H350:H360)+G347)/G348</f>
        <v>2.3495485278565861E-5</v>
      </c>
      <c r="I349" s="73"/>
      <c r="J349" s="74">
        <f>(SUM(J350:J360)+I347)/I348</f>
        <v>2.3495485278565861E-5</v>
      </c>
      <c r="K349" s="73"/>
      <c r="L349" s="74">
        <f>(SUM(L350:L360)+K347)/K348</f>
        <v>2.3495485278565861E-5</v>
      </c>
      <c r="M349" s="73"/>
      <c r="N349" s="74">
        <f>(SUM(N350:N360)+M347)/M348</f>
        <v>9.398194111426342E-7</v>
      </c>
      <c r="O349" s="151"/>
    </row>
    <row r="350" spans="1:15" x14ac:dyDescent="0.35">
      <c r="A350" t="s">
        <v>122</v>
      </c>
      <c r="B350" s="75" t="s">
        <v>169</v>
      </c>
      <c r="C350" s="76">
        <v>800</v>
      </c>
      <c r="D350" s="77">
        <f>C350/C348</f>
        <v>5.1285914097650452E-2</v>
      </c>
      <c r="E350" s="78">
        <v>800</v>
      </c>
      <c r="F350" s="79">
        <f>E350/E348</f>
        <v>5.1285914097650452E-2</v>
      </c>
      <c r="G350" s="80">
        <v>800</v>
      </c>
      <c r="H350" s="81">
        <f>G350/G348</f>
        <v>5.1285914097650452E-2</v>
      </c>
      <c r="I350" s="82">
        <v>800</v>
      </c>
      <c r="J350" s="83">
        <f>I350/I348</f>
        <v>5.1285914097650452E-2</v>
      </c>
      <c r="K350" s="84">
        <v>800</v>
      </c>
      <c r="L350" s="85">
        <f>K350/K348</f>
        <v>5.1285914097650452E-2</v>
      </c>
      <c r="M350" s="86">
        <v>800</v>
      </c>
      <c r="N350" s="87">
        <f>M350/M348</f>
        <v>1.025718281953009E-2</v>
      </c>
      <c r="O350" s="151"/>
    </row>
    <row r="351" spans="1:15" x14ac:dyDescent="0.35">
      <c r="A351" t="s">
        <v>122</v>
      </c>
      <c r="B351" s="75" t="s">
        <v>170</v>
      </c>
      <c r="C351" s="88">
        <v>0</v>
      </c>
      <c r="D351" s="77">
        <f>C351/C348</f>
        <v>0</v>
      </c>
      <c r="E351" s="90">
        <v>0</v>
      </c>
      <c r="F351" s="79">
        <f>E351/E348</f>
        <v>0</v>
      </c>
      <c r="G351" s="91">
        <v>0</v>
      </c>
      <c r="H351" s="81">
        <f>G351/G348</f>
        <v>0</v>
      </c>
      <c r="I351" s="92">
        <v>0</v>
      </c>
      <c r="J351" s="83">
        <f>I351/I348</f>
        <v>0</v>
      </c>
      <c r="K351" s="93">
        <v>0</v>
      </c>
      <c r="L351" s="85">
        <f>K351/K348</f>
        <v>0</v>
      </c>
      <c r="M351" s="23">
        <v>0</v>
      </c>
      <c r="N351" s="87">
        <f>M351/M348</f>
        <v>0</v>
      </c>
      <c r="O351" s="151"/>
    </row>
    <row r="352" spans="1:15" x14ac:dyDescent="0.35">
      <c r="A352" t="s">
        <v>122</v>
      </c>
      <c r="B352" s="75" t="s">
        <v>171</v>
      </c>
      <c r="C352" s="88">
        <v>104</v>
      </c>
      <c r="D352" s="77">
        <f>C352/C348</f>
        <v>6.6671688326945585E-3</v>
      </c>
      <c r="E352" s="90">
        <v>104</v>
      </c>
      <c r="F352" s="79">
        <f>E352/E348</f>
        <v>6.6671688326945585E-3</v>
      </c>
      <c r="G352" s="91">
        <v>104</v>
      </c>
      <c r="H352" s="81">
        <f>G352/G348</f>
        <v>6.6671688326945585E-3</v>
      </c>
      <c r="I352" s="92">
        <v>104</v>
      </c>
      <c r="J352" s="83">
        <f>I352/I348</f>
        <v>6.6671688326945585E-3</v>
      </c>
      <c r="K352" s="93">
        <v>104</v>
      </c>
      <c r="L352" s="85">
        <f>K352/K348</f>
        <v>6.6671688326945585E-3</v>
      </c>
      <c r="M352" s="23">
        <v>104</v>
      </c>
      <c r="N352" s="87">
        <f>M352/M348</f>
        <v>1.3334337665389117E-3</v>
      </c>
      <c r="O352" s="151"/>
    </row>
    <row r="353" spans="1:15" x14ac:dyDescent="0.35">
      <c r="A353" t="s">
        <v>122</v>
      </c>
      <c r="B353" s="75" t="s">
        <v>172</v>
      </c>
      <c r="C353" s="88">
        <v>0</v>
      </c>
      <c r="D353" s="77">
        <f>C353/C348</f>
        <v>0</v>
      </c>
      <c r="E353" s="90">
        <v>0</v>
      </c>
      <c r="F353" s="79">
        <f>E353/E348</f>
        <v>0</v>
      </c>
      <c r="G353" s="91">
        <v>0</v>
      </c>
      <c r="H353" s="81">
        <f>G353/G348</f>
        <v>0</v>
      </c>
      <c r="I353" s="92">
        <v>0</v>
      </c>
      <c r="J353" s="83">
        <f>I353/I348</f>
        <v>0</v>
      </c>
      <c r="K353" s="93">
        <v>0</v>
      </c>
      <c r="L353" s="85">
        <f>K353/K348</f>
        <v>0</v>
      </c>
      <c r="M353" s="23">
        <v>0</v>
      </c>
      <c r="N353" s="87">
        <f>M353/M348</f>
        <v>0</v>
      </c>
      <c r="O353" s="151"/>
    </row>
    <row r="354" spans="1:15" x14ac:dyDescent="0.35">
      <c r="A354" t="s">
        <v>122</v>
      </c>
      <c r="B354" s="75" t="s">
        <v>173</v>
      </c>
      <c r="C354" s="94">
        <v>3619</v>
      </c>
      <c r="D354" s="77">
        <f>C354/C348</f>
        <v>0.23200465389924621</v>
      </c>
      <c r="E354" s="95">
        <v>3619</v>
      </c>
      <c r="F354" s="79">
        <f>E354/E348</f>
        <v>0.23200465389924621</v>
      </c>
      <c r="G354" s="96">
        <v>3619</v>
      </c>
      <c r="H354" s="81">
        <f>G354/G348</f>
        <v>0.23200465389924621</v>
      </c>
      <c r="I354" s="97">
        <v>3619</v>
      </c>
      <c r="J354" s="83">
        <f>I354/I348</f>
        <v>0.23200465389924621</v>
      </c>
      <c r="K354" s="98">
        <v>3619</v>
      </c>
      <c r="L354" s="85">
        <f>K354/K348</f>
        <v>0.23200465389924621</v>
      </c>
      <c r="M354" s="99">
        <v>3619</v>
      </c>
      <c r="N354" s="87">
        <f>M354/M348</f>
        <v>4.6400930779849241E-2</v>
      </c>
      <c r="O354" s="151"/>
    </row>
    <row r="355" spans="1:15" x14ac:dyDescent="0.35">
      <c r="A355" t="s">
        <v>122</v>
      </c>
      <c r="B355" s="75" t="s">
        <v>174</v>
      </c>
      <c r="C355" s="88">
        <v>956</v>
      </c>
      <c r="D355" s="77">
        <f>C355/C348</f>
        <v>6.1286667346692289E-2</v>
      </c>
      <c r="E355" s="90">
        <v>956</v>
      </c>
      <c r="F355" s="79">
        <f>E355/E348</f>
        <v>6.1286667346692289E-2</v>
      </c>
      <c r="G355" s="91">
        <v>956</v>
      </c>
      <c r="H355" s="81">
        <f>G355/G348</f>
        <v>6.1286667346692289E-2</v>
      </c>
      <c r="I355" s="92">
        <v>956</v>
      </c>
      <c r="J355" s="83">
        <f>I355/I348</f>
        <v>6.1286667346692289E-2</v>
      </c>
      <c r="K355" s="93">
        <v>956</v>
      </c>
      <c r="L355" s="85">
        <f>K355/K348</f>
        <v>6.1286667346692289E-2</v>
      </c>
      <c r="M355" s="23">
        <v>956</v>
      </c>
      <c r="N355" s="87">
        <f>M355/M348</f>
        <v>1.2257333469338457E-2</v>
      </c>
      <c r="O355" s="151"/>
    </row>
    <row r="356" spans="1:15" x14ac:dyDescent="0.35">
      <c r="A356" t="s">
        <v>122</v>
      </c>
      <c r="B356" s="75" t="s">
        <v>175</v>
      </c>
      <c r="C356" s="88">
        <v>0</v>
      </c>
      <c r="D356" s="77">
        <f>C356/C348</f>
        <v>0</v>
      </c>
      <c r="E356" s="90">
        <v>0</v>
      </c>
      <c r="F356" s="79">
        <f>E356/E348</f>
        <v>0</v>
      </c>
      <c r="G356" s="91">
        <v>0</v>
      </c>
      <c r="H356" s="81">
        <f>G356/G348</f>
        <v>0</v>
      </c>
      <c r="I356" s="92">
        <v>0</v>
      </c>
      <c r="J356" s="83">
        <f>I356/I348</f>
        <v>0</v>
      </c>
      <c r="K356" s="93">
        <v>0</v>
      </c>
      <c r="L356" s="85">
        <f>K356/K348</f>
        <v>0</v>
      </c>
      <c r="M356" s="23">
        <v>0</v>
      </c>
      <c r="N356" s="87">
        <f>M356/M348</f>
        <v>0</v>
      </c>
      <c r="O356" s="151"/>
    </row>
    <row r="357" spans="1:15" x14ac:dyDescent="0.35">
      <c r="A357" t="s">
        <v>122</v>
      </c>
      <c r="B357" s="75" t="s">
        <v>176</v>
      </c>
      <c r="C357" s="88">
        <v>238</v>
      </c>
      <c r="D357" s="77">
        <f>C357/C348</f>
        <v>1.5257559444051008E-2</v>
      </c>
      <c r="E357" s="90">
        <v>238</v>
      </c>
      <c r="F357" s="79">
        <f>E357/E348</f>
        <v>1.5257559444051008E-2</v>
      </c>
      <c r="G357" s="91">
        <v>238</v>
      </c>
      <c r="H357" s="81">
        <f>G357/G348</f>
        <v>1.5257559444051008E-2</v>
      </c>
      <c r="I357" s="92">
        <v>238</v>
      </c>
      <c r="J357" s="83">
        <f>I357/I348</f>
        <v>1.5257559444051008E-2</v>
      </c>
      <c r="K357" s="93">
        <v>238</v>
      </c>
      <c r="L357" s="85">
        <f>K357/K348</f>
        <v>1.5257559444051008E-2</v>
      </c>
      <c r="M357" s="23">
        <v>238</v>
      </c>
      <c r="N357" s="87">
        <f>M357/M348</f>
        <v>3.0515118888102019E-3</v>
      </c>
      <c r="O357" s="151"/>
    </row>
    <row r="358" spans="1:15" x14ac:dyDescent="0.35">
      <c r="A358" t="s">
        <v>122</v>
      </c>
      <c r="B358" s="75" t="s">
        <v>177</v>
      </c>
      <c r="C358" s="88">
        <v>0</v>
      </c>
      <c r="D358" s="77">
        <f>C358/C348</f>
        <v>0</v>
      </c>
      <c r="E358" s="90">
        <v>0</v>
      </c>
      <c r="F358" s="79">
        <f>E358/E348</f>
        <v>0</v>
      </c>
      <c r="G358" s="91">
        <v>0</v>
      </c>
      <c r="H358" s="81">
        <f>G358/G348</f>
        <v>0</v>
      </c>
      <c r="I358" s="92">
        <v>0</v>
      </c>
      <c r="J358" s="83">
        <f>I358/I348</f>
        <v>0</v>
      </c>
      <c r="K358" s="93">
        <v>0</v>
      </c>
      <c r="L358" s="85">
        <f>K358/K348</f>
        <v>0</v>
      </c>
      <c r="M358" s="23">
        <v>0</v>
      </c>
      <c r="N358" s="87">
        <f>M358/M348</f>
        <v>0</v>
      </c>
      <c r="O358" s="151"/>
    </row>
    <row r="359" spans="1:15" x14ac:dyDescent="0.35">
      <c r="A359" t="s">
        <v>122</v>
      </c>
      <c r="B359" s="75" t="s">
        <v>178</v>
      </c>
      <c r="C359" s="88">
        <v>0</v>
      </c>
      <c r="D359" s="77">
        <f>C359/C348</f>
        <v>0</v>
      </c>
      <c r="E359" s="90">
        <v>0</v>
      </c>
      <c r="F359" s="79">
        <f>E359/E348</f>
        <v>0</v>
      </c>
      <c r="G359" s="91">
        <v>0</v>
      </c>
      <c r="H359" s="81">
        <f>G359/G348</f>
        <v>0</v>
      </c>
      <c r="I359" s="92">
        <v>0</v>
      </c>
      <c r="J359" s="83">
        <f>I359/I348</f>
        <v>0</v>
      </c>
      <c r="K359" s="93">
        <v>0</v>
      </c>
      <c r="L359" s="85">
        <f>K359/K348</f>
        <v>0</v>
      </c>
      <c r="M359" s="23">
        <v>0</v>
      </c>
      <c r="N359" s="87">
        <f>M359/M348</f>
        <v>0</v>
      </c>
      <c r="O359" s="151"/>
    </row>
    <row r="360" spans="1:15" ht="15" thickBot="1" x14ac:dyDescent="0.4">
      <c r="A360" t="s">
        <v>122</v>
      </c>
      <c r="B360" s="100" t="s">
        <v>179</v>
      </c>
      <c r="C360" s="101">
        <v>0</v>
      </c>
      <c r="D360" s="113">
        <f t="shared" ref="D360" si="33">C360/$C$33</f>
        <v>0</v>
      </c>
      <c r="E360" s="103">
        <v>0</v>
      </c>
      <c r="F360" s="104">
        <f>E360/E348</f>
        <v>0</v>
      </c>
      <c r="G360" s="105">
        <v>0</v>
      </c>
      <c r="H360" s="106">
        <f>G360/G348</f>
        <v>0</v>
      </c>
      <c r="I360" s="107">
        <v>0</v>
      </c>
      <c r="J360" s="108">
        <f>I360/I348</f>
        <v>0</v>
      </c>
      <c r="K360" s="109">
        <v>0</v>
      </c>
      <c r="L360" s="110">
        <f>K360/K348</f>
        <v>0</v>
      </c>
      <c r="M360" s="25">
        <v>0</v>
      </c>
      <c r="N360" s="111">
        <f>M360/M348</f>
        <v>0</v>
      </c>
      <c r="O360" s="151"/>
    </row>
    <row r="361" spans="1:15" ht="15" thickBot="1" x14ac:dyDescent="0.4">
      <c r="D361" s="26"/>
      <c r="F361" s="26"/>
      <c r="H361" s="26"/>
      <c r="J361" s="26"/>
      <c r="L361" s="26"/>
      <c r="N361" s="26"/>
    </row>
    <row r="362" spans="1:15" ht="15" thickBot="1" x14ac:dyDescent="0.4">
      <c r="A362" t="s">
        <v>124</v>
      </c>
      <c r="B362" s="65" t="s">
        <v>166</v>
      </c>
      <c r="C362" s="66">
        <v>0</v>
      </c>
      <c r="D362" s="67"/>
      <c r="E362" s="66">
        <v>0</v>
      </c>
      <c r="F362" s="67"/>
      <c r="G362" s="66">
        <v>0</v>
      </c>
      <c r="H362" s="67"/>
      <c r="I362" s="66">
        <v>0</v>
      </c>
      <c r="J362" s="67"/>
      <c r="K362" s="66">
        <v>0</v>
      </c>
      <c r="L362" s="67"/>
      <c r="M362" s="68">
        <f>SUM(C362,E362,G362,I362,K362)</f>
        <v>0</v>
      </c>
      <c r="N362" s="67"/>
      <c r="O362" s="150" t="s">
        <v>125</v>
      </c>
    </row>
    <row r="363" spans="1:15" ht="15" thickBot="1" x14ac:dyDescent="0.4">
      <c r="A363" t="s">
        <v>124</v>
      </c>
      <c r="B363" s="69" t="s">
        <v>167</v>
      </c>
      <c r="C363" s="70">
        <v>15598.825019999989</v>
      </c>
      <c r="D363" s="71">
        <f>SUM(D365:D375)</f>
        <v>0.36650196362033455</v>
      </c>
      <c r="E363" s="70">
        <v>15598.825019999989</v>
      </c>
      <c r="F363" s="71">
        <f>SUM(F365:F375)</f>
        <v>0.36650196362033455</v>
      </c>
      <c r="G363" s="70">
        <v>15598.825019999989</v>
      </c>
      <c r="H363" s="71">
        <f>SUM(H365:H375)</f>
        <v>0.36650196362033455</v>
      </c>
      <c r="I363" s="70">
        <v>15598.825019999989</v>
      </c>
      <c r="J363" s="71">
        <f>SUM(J365:J375)</f>
        <v>0.36650196362033455</v>
      </c>
      <c r="K363" s="70">
        <v>15598.825019999989</v>
      </c>
      <c r="L363" s="71">
        <f>SUM(L365:L375)</f>
        <v>0.36650196362033455</v>
      </c>
      <c r="M363" s="70">
        <f>SUM(C363,E363,G363,I363,K363)</f>
        <v>77994.125099999947</v>
      </c>
      <c r="N363" s="71">
        <f>SUM(N365:N375)</f>
        <v>7.3300392724066896E-2</v>
      </c>
      <c r="O363" s="151"/>
    </row>
    <row r="364" spans="1:15" ht="15" thickBot="1" x14ac:dyDescent="0.4">
      <c r="A364" t="s">
        <v>124</v>
      </c>
      <c r="B364" s="72" t="s">
        <v>168</v>
      </c>
      <c r="C364" s="73"/>
      <c r="D364" s="74">
        <f>(SUM(D365:D375)+C362)/C363</f>
        <v>2.3495485278565861E-5</v>
      </c>
      <c r="E364" s="73"/>
      <c r="F364" s="74">
        <f>(SUM(F365:F375)+E362)/E363</f>
        <v>2.3495485278565861E-5</v>
      </c>
      <c r="G364" s="73"/>
      <c r="H364" s="74">
        <f>(SUM(H365:H375)+G362)/G363</f>
        <v>2.3495485278565861E-5</v>
      </c>
      <c r="I364" s="73"/>
      <c r="J364" s="74">
        <f>(SUM(J365:J375)+I362)/I363</f>
        <v>2.3495485278565861E-5</v>
      </c>
      <c r="K364" s="73"/>
      <c r="L364" s="74">
        <f>(SUM(L365:L375)+K362)/K363</f>
        <v>2.3495485278565861E-5</v>
      </c>
      <c r="M364" s="73"/>
      <c r="N364" s="74">
        <f>(SUM(N365:N375)+M362)/M363</f>
        <v>9.398194111426342E-7</v>
      </c>
      <c r="O364" s="151"/>
    </row>
    <row r="365" spans="1:15" x14ac:dyDescent="0.35">
      <c r="A365" t="s">
        <v>124</v>
      </c>
      <c r="B365" s="75" t="s">
        <v>169</v>
      </c>
      <c r="C365" s="76">
        <v>800</v>
      </c>
      <c r="D365" s="77">
        <f>C365/C363</f>
        <v>5.1285914097650452E-2</v>
      </c>
      <c r="E365" s="78">
        <v>800</v>
      </c>
      <c r="F365" s="79">
        <f>E365/E363</f>
        <v>5.1285914097650452E-2</v>
      </c>
      <c r="G365" s="80">
        <v>800</v>
      </c>
      <c r="H365" s="81">
        <f>G365/G363</f>
        <v>5.1285914097650452E-2</v>
      </c>
      <c r="I365" s="82">
        <v>800</v>
      </c>
      <c r="J365" s="83">
        <f>I365/I363</f>
        <v>5.1285914097650452E-2</v>
      </c>
      <c r="K365" s="84">
        <v>800</v>
      </c>
      <c r="L365" s="85">
        <f>K365/K363</f>
        <v>5.1285914097650452E-2</v>
      </c>
      <c r="M365" s="86">
        <v>800</v>
      </c>
      <c r="N365" s="87">
        <f>M365/M363</f>
        <v>1.025718281953009E-2</v>
      </c>
      <c r="O365" s="151"/>
    </row>
    <row r="366" spans="1:15" x14ac:dyDescent="0.35">
      <c r="A366" t="s">
        <v>124</v>
      </c>
      <c r="B366" s="75" t="s">
        <v>170</v>
      </c>
      <c r="C366" s="88">
        <v>0</v>
      </c>
      <c r="D366" s="77">
        <f>C366/C363</f>
        <v>0</v>
      </c>
      <c r="E366" s="90">
        <v>0</v>
      </c>
      <c r="F366" s="79">
        <f>E366/E363</f>
        <v>0</v>
      </c>
      <c r="G366" s="91">
        <v>0</v>
      </c>
      <c r="H366" s="81">
        <f>G366/G363</f>
        <v>0</v>
      </c>
      <c r="I366" s="92">
        <v>0</v>
      </c>
      <c r="J366" s="83">
        <f>I366/I363</f>
        <v>0</v>
      </c>
      <c r="K366" s="93">
        <v>0</v>
      </c>
      <c r="L366" s="85">
        <f>K366/K363</f>
        <v>0</v>
      </c>
      <c r="M366" s="23">
        <v>0</v>
      </c>
      <c r="N366" s="87">
        <f>M366/M363</f>
        <v>0</v>
      </c>
      <c r="O366" s="151"/>
    </row>
    <row r="367" spans="1:15" x14ac:dyDescent="0.35">
      <c r="A367" t="s">
        <v>124</v>
      </c>
      <c r="B367" s="75" t="s">
        <v>171</v>
      </c>
      <c r="C367" s="88">
        <v>104</v>
      </c>
      <c r="D367" s="77">
        <f>C367/C363</f>
        <v>6.6671688326945585E-3</v>
      </c>
      <c r="E367" s="90">
        <v>104</v>
      </c>
      <c r="F367" s="79">
        <f>E367/E363</f>
        <v>6.6671688326945585E-3</v>
      </c>
      <c r="G367" s="91">
        <v>104</v>
      </c>
      <c r="H367" s="81">
        <f>G367/G363</f>
        <v>6.6671688326945585E-3</v>
      </c>
      <c r="I367" s="92">
        <v>104</v>
      </c>
      <c r="J367" s="83">
        <f>I367/I363</f>
        <v>6.6671688326945585E-3</v>
      </c>
      <c r="K367" s="93">
        <v>104</v>
      </c>
      <c r="L367" s="85">
        <f>K367/K363</f>
        <v>6.6671688326945585E-3</v>
      </c>
      <c r="M367" s="23">
        <v>104</v>
      </c>
      <c r="N367" s="87">
        <f>M367/M363</f>
        <v>1.3334337665389117E-3</v>
      </c>
      <c r="O367" s="151"/>
    </row>
    <row r="368" spans="1:15" x14ac:dyDescent="0.35">
      <c r="A368" t="s">
        <v>124</v>
      </c>
      <c r="B368" s="75" t="s">
        <v>172</v>
      </c>
      <c r="C368" s="88">
        <v>0</v>
      </c>
      <c r="D368" s="77">
        <f>C368/C363</f>
        <v>0</v>
      </c>
      <c r="E368" s="90">
        <v>0</v>
      </c>
      <c r="F368" s="79">
        <f>E368/E363</f>
        <v>0</v>
      </c>
      <c r="G368" s="91">
        <v>0</v>
      </c>
      <c r="H368" s="81">
        <f>G368/G363</f>
        <v>0</v>
      </c>
      <c r="I368" s="92">
        <v>0</v>
      </c>
      <c r="J368" s="83">
        <f>I368/I363</f>
        <v>0</v>
      </c>
      <c r="K368" s="93">
        <v>0</v>
      </c>
      <c r="L368" s="85">
        <f>K368/K363</f>
        <v>0</v>
      </c>
      <c r="M368" s="23">
        <v>0</v>
      </c>
      <c r="N368" s="87">
        <f>M368/M363</f>
        <v>0</v>
      </c>
      <c r="O368" s="151"/>
    </row>
    <row r="369" spans="1:15" x14ac:dyDescent="0.35">
      <c r="A369" t="s">
        <v>124</v>
      </c>
      <c r="B369" s="75" t="s">
        <v>173</v>
      </c>
      <c r="C369" s="94">
        <v>3619</v>
      </c>
      <c r="D369" s="77">
        <f>C369/C363</f>
        <v>0.23200465389924621</v>
      </c>
      <c r="E369" s="95">
        <v>3619</v>
      </c>
      <c r="F369" s="79">
        <f>E369/E363</f>
        <v>0.23200465389924621</v>
      </c>
      <c r="G369" s="96">
        <v>3619</v>
      </c>
      <c r="H369" s="81">
        <f>G369/G363</f>
        <v>0.23200465389924621</v>
      </c>
      <c r="I369" s="97">
        <v>3619</v>
      </c>
      <c r="J369" s="83">
        <f>I369/I363</f>
        <v>0.23200465389924621</v>
      </c>
      <c r="K369" s="98">
        <v>3619</v>
      </c>
      <c r="L369" s="85">
        <f>K369/K363</f>
        <v>0.23200465389924621</v>
      </c>
      <c r="M369" s="99">
        <v>3619</v>
      </c>
      <c r="N369" s="87">
        <f>M369/M363</f>
        <v>4.6400930779849241E-2</v>
      </c>
      <c r="O369" s="151"/>
    </row>
    <row r="370" spans="1:15" x14ac:dyDescent="0.35">
      <c r="A370" t="s">
        <v>124</v>
      </c>
      <c r="B370" s="75" t="s">
        <v>174</v>
      </c>
      <c r="C370" s="88">
        <v>956</v>
      </c>
      <c r="D370" s="77">
        <f>C370/C363</f>
        <v>6.1286667346692289E-2</v>
      </c>
      <c r="E370" s="90">
        <v>956</v>
      </c>
      <c r="F370" s="79">
        <f>E370/E363</f>
        <v>6.1286667346692289E-2</v>
      </c>
      <c r="G370" s="91">
        <v>956</v>
      </c>
      <c r="H370" s="81">
        <f>G370/G363</f>
        <v>6.1286667346692289E-2</v>
      </c>
      <c r="I370" s="92">
        <v>956</v>
      </c>
      <c r="J370" s="83">
        <f>I370/I363</f>
        <v>6.1286667346692289E-2</v>
      </c>
      <c r="K370" s="93">
        <v>956</v>
      </c>
      <c r="L370" s="85">
        <f>K370/K363</f>
        <v>6.1286667346692289E-2</v>
      </c>
      <c r="M370" s="23">
        <v>956</v>
      </c>
      <c r="N370" s="87">
        <f>M370/M363</f>
        <v>1.2257333469338457E-2</v>
      </c>
      <c r="O370" s="151"/>
    </row>
    <row r="371" spans="1:15" x14ac:dyDescent="0.35">
      <c r="A371" t="s">
        <v>124</v>
      </c>
      <c r="B371" s="75" t="s">
        <v>175</v>
      </c>
      <c r="C371" s="88">
        <v>0</v>
      </c>
      <c r="D371" s="77">
        <f>C371/C363</f>
        <v>0</v>
      </c>
      <c r="E371" s="90">
        <v>0</v>
      </c>
      <c r="F371" s="79">
        <f>E371/E363</f>
        <v>0</v>
      </c>
      <c r="G371" s="91">
        <v>0</v>
      </c>
      <c r="H371" s="81">
        <f>G371/G363</f>
        <v>0</v>
      </c>
      <c r="I371" s="92">
        <v>0</v>
      </c>
      <c r="J371" s="83">
        <f>I371/I363</f>
        <v>0</v>
      </c>
      <c r="K371" s="93">
        <v>0</v>
      </c>
      <c r="L371" s="85">
        <f>K371/K363</f>
        <v>0</v>
      </c>
      <c r="M371" s="23">
        <v>0</v>
      </c>
      <c r="N371" s="87">
        <f>M371/M363</f>
        <v>0</v>
      </c>
      <c r="O371" s="151"/>
    </row>
    <row r="372" spans="1:15" x14ac:dyDescent="0.35">
      <c r="A372" t="s">
        <v>124</v>
      </c>
      <c r="B372" s="75" t="s">
        <v>176</v>
      </c>
      <c r="C372" s="88">
        <v>238</v>
      </c>
      <c r="D372" s="77">
        <f>C372/C363</f>
        <v>1.5257559444051008E-2</v>
      </c>
      <c r="E372" s="90">
        <v>238</v>
      </c>
      <c r="F372" s="79">
        <f>E372/E363</f>
        <v>1.5257559444051008E-2</v>
      </c>
      <c r="G372" s="91">
        <v>238</v>
      </c>
      <c r="H372" s="81">
        <f>G372/G363</f>
        <v>1.5257559444051008E-2</v>
      </c>
      <c r="I372" s="92">
        <v>238</v>
      </c>
      <c r="J372" s="83">
        <f>I372/I363</f>
        <v>1.5257559444051008E-2</v>
      </c>
      <c r="K372" s="93">
        <v>238</v>
      </c>
      <c r="L372" s="85">
        <f>K372/K363</f>
        <v>1.5257559444051008E-2</v>
      </c>
      <c r="M372" s="23">
        <v>238</v>
      </c>
      <c r="N372" s="87">
        <f>M372/M363</f>
        <v>3.0515118888102019E-3</v>
      </c>
      <c r="O372" s="151"/>
    </row>
    <row r="373" spans="1:15" x14ac:dyDescent="0.35">
      <c r="A373" t="s">
        <v>124</v>
      </c>
      <c r="B373" s="75" t="s">
        <v>177</v>
      </c>
      <c r="C373" s="88">
        <v>0</v>
      </c>
      <c r="D373" s="77">
        <f>C373/C363</f>
        <v>0</v>
      </c>
      <c r="E373" s="90">
        <v>0</v>
      </c>
      <c r="F373" s="79">
        <f>E373/E363</f>
        <v>0</v>
      </c>
      <c r="G373" s="91">
        <v>0</v>
      </c>
      <c r="H373" s="81">
        <f>G373/G363</f>
        <v>0</v>
      </c>
      <c r="I373" s="92">
        <v>0</v>
      </c>
      <c r="J373" s="83">
        <f>I373/I363</f>
        <v>0</v>
      </c>
      <c r="K373" s="93">
        <v>0</v>
      </c>
      <c r="L373" s="85">
        <f>K373/K363</f>
        <v>0</v>
      </c>
      <c r="M373" s="23">
        <v>0</v>
      </c>
      <c r="N373" s="87">
        <f>M373/M363</f>
        <v>0</v>
      </c>
      <c r="O373" s="151"/>
    </row>
    <row r="374" spans="1:15" x14ac:dyDescent="0.35">
      <c r="A374" t="s">
        <v>124</v>
      </c>
      <c r="B374" s="75" t="s">
        <v>178</v>
      </c>
      <c r="C374" s="88">
        <v>0</v>
      </c>
      <c r="D374" s="77">
        <f>C374/C363</f>
        <v>0</v>
      </c>
      <c r="E374" s="90">
        <v>0</v>
      </c>
      <c r="F374" s="79">
        <f>E374/E363</f>
        <v>0</v>
      </c>
      <c r="G374" s="91">
        <v>0</v>
      </c>
      <c r="H374" s="81">
        <f>G374/G363</f>
        <v>0</v>
      </c>
      <c r="I374" s="92">
        <v>0</v>
      </c>
      <c r="J374" s="83">
        <f>I374/I363</f>
        <v>0</v>
      </c>
      <c r="K374" s="93">
        <v>0</v>
      </c>
      <c r="L374" s="85">
        <f>K374/K363</f>
        <v>0</v>
      </c>
      <c r="M374" s="23">
        <v>0</v>
      </c>
      <c r="N374" s="87">
        <f>M374/M363</f>
        <v>0</v>
      </c>
      <c r="O374" s="151"/>
    </row>
    <row r="375" spans="1:15" ht="15" thickBot="1" x14ac:dyDescent="0.4">
      <c r="A375" t="s">
        <v>124</v>
      </c>
      <c r="B375" s="100" t="s">
        <v>179</v>
      </c>
      <c r="C375" s="101">
        <v>0</v>
      </c>
      <c r="D375" s="113">
        <f t="shared" ref="D375" si="34">C375/$C$33</f>
        <v>0</v>
      </c>
      <c r="E375" s="103">
        <v>0</v>
      </c>
      <c r="F375" s="104">
        <f>E375/E363</f>
        <v>0</v>
      </c>
      <c r="G375" s="105">
        <v>0</v>
      </c>
      <c r="H375" s="106">
        <f>G375/G363</f>
        <v>0</v>
      </c>
      <c r="I375" s="107">
        <v>0</v>
      </c>
      <c r="J375" s="108">
        <f>I375/I363</f>
        <v>0</v>
      </c>
      <c r="K375" s="109">
        <v>0</v>
      </c>
      <c r="L375" s="110">
        <f>K375/K363</f>
        <v>0</v>
      </c>
      <c r="M375" s="25">
        <v>0</v>
      </c>
      <c r="N375" s="111">
        <f>M375/M363</f>
        <v>0</v>
      </c>
      <c r="O375" s="151"/>
    </row>
    <row r="376" spans="1:15" ht="15" thickBot="1" x14ac:dyDescent="0.4">
      <c r="D376" s="26"/>
      <c r="F376" s="26"/>
      <c r="H376" s="26"/>
      <c r="J376" s="26"/>
      <c r="L376" s="26"/>
      <c r="N376" s="26"/>
    </row>
    <row r="377" spans="1:15" ht="15" thickBot="1" x14ac:dyDescent="0.4">
      <c r="A377" t="s">
        <v>126</v>
      </c>
      <c r="B377" s="65" t="s">
        <v>166</v>
      </c>
      <c r="C377" s="66">
        <v>0</v>
      </c>
      <c r="D377" s="67"/>
      <c r="E377" s="66">
        <v>0</v>
      </c>
      <c r="F377" s="67"/>
      <c r="G377" s="66">
        <v>0</v>
      </c>
      <c r="H377" s="67"/>
      <c r="I377" s="66">
        <v>0</v>
      </c>
      <c r="J377" s="67"/>
      <c r="K377" s="66">
        <v>0</v>
      </c>
      <c r="L377" s="67"/>
      <c r="M377" s="68">
        <f>SUM(C377,E377,G377,I377,K377)</f>
        <v>0</v>
      </c>
      <c r="N377" s="67"/>
      <c r="O377" s="150" t="s">
        <v>127</v>
      </c>
    </row>
    <row r="378" spans="1:15" ht="15" thickBot="1" x14ac:dyDescent="0.4">
      <c r="A378" t="s">
        <v>126</v>
      </c>
      <c r="B378" s="69" t="s">
        <v>167</v>
      </c>
      <c r="C378" s="70">
        <v>15598.825019999989</v>
      </c>
      <c r="D378" s="71">
        <f>SUM(D380:D390)</f>
        <v>0.36650196362033455</v>
      </c>
      <c r="E378" s="70">
        <v>15598.825019999989</v>
      </c>
      <c r="F378" s="71">
        <f>SUM(F380:F390)</f>
        <v>0.36650196362033455</v>
      </c>
      <c r="G378" s="70">
        <v>15598.825019999989</v>
      </c>
      <c r="H378" s="71">
        <f>SUM(H380:H390)</f>
        <v>0.36650196362033455</v>
      </c>
      <c r="I378" s="70">
        <v>15598.825019999989</v>
      </c>
      <c r="J378" s="71">
        <f>SUM(J380:J390)</f>
        <v>0.36650196362033455</v>
      </c>
      <c r="K378" s="70">
        <v>15598.825019999989</v>
      </c>
      <c r="L378" s="71">
        <f>SUM(L380:L390)</f>
        <v>0.36650196362033455</v>
      </c>
      <c r="M378" s="70">
        <f>SUM(C378,E378,G378,I378,K378)</f>
        <v>77994.125099999947</v>
      </c>
      <c r="N378" s="71">
        <f>SUM(N380:N390)</f>
        <v>7.3300392724066896E-2</v>
      </c>
      <c r="O378" s="151"/>
    </row>
    <row r="379" spans="1:15" ht="15" thickBot="1" x14ac:dyDescent="0.4">
      <c r="A379" t="s">
        <v>126</v>
      </c>
      <c r="B379" s="72" t="s">
        <v>168</v>
      </c>
      <c r="C379" s="73"/>
      <c r="D379" s="74">
        <f>(SUM(D380:D390)+C377)/C378</f>
        <v>2.3495485278565861E-5</v>
      </c>
      <c r="E379" s="73"/>
      <c r="F379" s="74">
        <f>(SUM(F380:F390)+E377)/E378</f>
        <v>2.3495485278565861E-5</v>
      </c>
      <c r="G379" s="73"/>
      <c r="H379" s="74">
        <f>(SUM(H380:H390)+G377)/G378</f>
        <v>2.3495485278565861E-5</v>
      </c>
      <c r="I379" s="73"/>
      <c r="J379" s="74">
        <f>(SUM(J380:J390)+I377)/I378</f>
        <v>2.3495485278565861E-5</v>
      </c>
      <c r="K379" s="73"/>
      <c r="L379" s="74">
        <f>(SUM(L380:L390)+K377)/K378</f>
        <v>2.3495485278565861E-5</v>
      </c>
      <c r="M379" s="73"/>
      <c r="N379" s="74">
        <f>(SUM(N380:N390)+M377)/M378</f>
        <v>9.398194111426342E-7</v>
      </c>
      <c r="O379" s="151"/>
    </row>
    <row r="380" spans="1:15" x14ac:dyDescent="0.35">
      <c r="A380" t="s">
        <v>126</v>
      </c>
      <c r="B380" s="75" t="s">
        <v>169</v>
      </c>
      <c r="C380" s="76">
        <v>800</v>
      </c>
      <c r="D380" s="77">
        <f>C380/C378</f>
        <v>5.1285914097650452E-2</v>
      </c>
      <c r="E380" s="78">
        <v>800</v>
      </c>
      <c r="F380" s="79">
        <f>E380/E378</f>
        <v>5.1285914097650452E-2</v>
      </c>
      <c r="G380" s="80">
        <v>800</v>
      </c>
      <c r="H380" s="81">
        <f>G380/G378</f>
        <v>5.1285914097650452E-2</v>
      </c>
      <c r="I380" s="82">
        <v>800</v>
      </c>
      <c r="J380" s="83">
        <f>I380/I378</f>
        <v>5.1285914097650452E-2</v>
      </c>
      <c r="K380" s="84">
        <v>800</v>
      </c>
      <c r="L380" s="85">
        <f>K380/K378</f>
        <v>5.1285914097650452E-2</v>
      </c>
      <c r="M380" s="86">
        <v>800</v>
      </c>
      <c r="N380" s="87">
        <f>M380/M378</f>
        <v>1.025718281953009E-2</v>
      </c>
      <c r="O380" s="151"/>
    </row>
    <row r="381" spans="1:15" x14ac:dyDescent="0.35">
      <c r="A381" t="s">
        <v>126</v>
      </c>
      <c r="B381" s="75" t="s">
        <v>170</v>
      </c>
      <c r="C381" s="88">
        <v>0</v>
      </c>
      <c r="D381" s="77">
        <f>C381/C378</f>
        <v>0</v>
      </c>
      <c r="E381" s="90">
        <v>0</v>
      </c>
      <c r="F381" s="79">
        <f>E381/E378</f>
        <v>0</v>
      </c>
      <c r="G381" s="91">
        <v>0</v>
      </c>
      <c r="H381" s="81">
        <f>G381/G378</f>
        <v>0</v>
      </c>
      <c r="I381" s="92">
        <v>0</v>
      </c>
      <c r="J381" s="83">
        <f>I381/I378</f>
        <v>0</v>
      </c>
      <c r="K381" s="93">
        <v>0</v>
      </c>
      <c r="L381" s="85">
        <f>K381/K378</f>
        <v>0</v>
      </c>
      <c r="M381" s="23">
        <v>0</v>
      </c>
      <c r="N381" s="87">
        <f>M381/M378</f>
        <v>0</v>
      </c>
      <c r="O381" s="151"/>
    </row>
    <row r="382" spans="1:15" x14ac:dyDescent="0.35">
      <c r="A382" t="s">
        <v>126</v>
      </c>
      <c r="B382" s="75" t="s">
        <v>171</v>
      </c>
      <c r="C382" s="88">
        <v>104</v>
      </c>
      <c r="D382" s="77">
        <f>C382/C378</f>
        <v>6.6671688326945585E-3</v>
      </c>
      <c r="E382" s="90">
        <v>104</v>
      </c>
      <c r="F382" s="79">
        <f>E382/E378</f>
        <v>6.6671688326945585E-3</v>
      </c>
      <c r="G382" s="91">
        <v>104</v>
      </c>
      <c r="H382" s="81">
        <f>G382/G378</f>
        <v>6.6671688326945585E-3</v>
      </c>
      <c r="I382" s="92">
        <v>104</v>
      </c>
      <c r="J382" s="83">
        <f>I382/I378</f>
        <v>6.6671688326945585E-3</v>
      </c>
      <c r="K382" s="93">
        <v>104</v>
      </c>
      <c r="L382" s="85">
        <f>K382/K378</f>
        <v>6.6671688326945585E-3</v>
      </c>
      <c r="M382" s="23">
        <v>104</v>
      </c>
      <c r="N382" s="87">
        <f>M382/M378</f>
        <v>1.3334337665389117E-3</v>
      </c>
      <c r="O382" s="151"/>
    </row>
    <row r="383" spans="1:15" x14ac:dyDescent="0.35">
      <c r="A383" t="s">
        <v>126</v>
      </c>
      <c r="B383" s="75" t="s">
        <v>172</v>
      </c>
      <c r="C383" s="88">
        <v>0</v>
      </c>
      <c r="D383" s="77">
        <f>C383/C378</f>
        <v>0</v>
      </c>
      <c r="E383" s="90">
        <v>0</v>
      </c>
      <c r="F383" s="79">
        <f>E383/E378</f>
        <v>0</v>
      </c>
      <c r="G383" s="91">
        <v>0</v>
      </c>
      <c r="H383" s="81">
        <f>G383/G378</f>
        <v>0</v>
      </c>
      <c r="I383" s="92">
        <v>0</v>
      </c>
      <c r="J383" s="83">
        <f>I383/I378</f>
        <v>0</v>
      </c>
      <c r="K383" s="93">
        <v>0</v>
      </c>
      <c r="L383" s="85">
        <f>K383/K378</f>
        <v>0</v>
      </c>
      <c r="M383" s="23">
        <v>0</v>
      </c>
      <c r="N383" s="87">
        <f>M383/M378</f>
        <v>0</v>
      </c>
      <c r="O383" s="151"/>
    </row>
    <row r="384" spans="1:15" x14ac:dyDescent="0.35">
      <c r="A384" t="s">
        <v>126</v>
      </c>
      <c r="B384" s="75" t="s">
        <v>173</v>
      </c>
      <c r="C384" s="94">
        <v>3619</v>
      </c>
      <c r="D384" s="77">
        <f>C384/C378</f>
        <v>0.23200465389924621</v>
      </c>
      <c r="E384" s="95">
        <v>3619</v>
      </c>
      <c r="F384" s="79">
        <f>E384/E378</f>
        <v>0.23200465389924621</v>
      </c>
      <c r="G384" s="96">
        <v>3619</v>
      </c>
      <c r="H384" s="81">
        <f>G384/G378</f>
        <v>0.23200465389924621</v>
      </c>
      <c r="I384" s="97">
        <v>3619</v>
      </c>
      <c r="J384" s="83">
        <f>I384/I378</f>
        <v>0.23200465389924621</v>
      </c>
      <c r="K384" s="98">
        <v>3619</v>
      </c>
      <c r="L384" s="85">
        <f>K384/K378</f>
        <v>0.23200465389924621</v>
      </c>
      <c r="M384" s="99">
        <v>3619</v>
      </c>
      <c r="N384" s="87">
        <f>M384/M378</f>
        <v>4.6400930779849241E-2</v>
      </c>
      <c r="O384" s="151"/>
    </row>
    <row r="385" spans="1:15" x14ac:dyDescent="0.35">
      <c r="A385" t="s">
        <v>126</v>
      </c>
      <c r="B385" s="75" t="s">
        <v>174</v>
      </c>
      <c r="C385" s="88">
        <v>956</v>
      </c>
      <c r="D385" s="77">
        <f>C385/C378</f>
        <v>6.1286667346692289E-2</v>
      </c>
      <c r="E385" s="90">
        <v>956</v>
      </c>
      <c r="F385" s="79">
        <f>E385/E378</f>
        <v>6.1286667346692289E-2</v>
      </c>
      <c r="G385" s="91">
        <v>956</v>
      </c>
      <c r="H385" s="81">
        <f>G385/G378</f>
        <v>6.1286667346692289E-2</v>
      </c>
      <c r="I385" s="92">
        <v>956</v>
      </c>
      <c r="J385" s="83">
        <f>I385/I378</f>
        <v>6.1286667346692289E-2</v>
      </c>
      <c r="K385" s="93">
        <v>956</v>
      </c>
      <c r="L385" s="85">
        <f>K385/K378</f>
        <v>6.1286667346692289E-2</v>
      </c>
      <c r="M385" s="23">
        <v>956</v>
      </c>
      <c r="N385" s="87">
        <f>M385/M378</f>
        <v>1.2257333469338457E-2</v>
      </c>
      <c r="O385" s="151"/>
    </row>
    <row r="386" spans="1:15" x14ac:dyDescent="0.35">
      <c r="A386" t="s">
        <v>126</v>
      </c>
      <c r="B386" s="75" t="s">
        <v>175</v>
      </c>
      <c r="C386" s="88">
        <v>0</v>
      </c>
      <c r="D386" s="77">
        <f>C386/C378</f>
        <v>0</v>
      </c>
      <c r="E386" s="90">
        <v>0</v>
      </c>
      <c r="F386" s="79">
        <f>E386/E378</f>
        <v>0</v>
      </c>
      <c r="G386" s="91">
        <v>0</v>
      </c>
      <c r="H386" s="81">
        <f>G386/G378</f>
        <v>0</v>
      </c>
      <c r="I386" s="92">
        <v>0</v>
      </c>
      <c r="J386" s="83">
        <f>I386/I378</f>
        <v>0</v>
      </c>
      <c r="K386" s="93">
        <v>0</v>
      </c>
      <c r="L386" s="85">
        <f>K386/K378</f>
        <v>0</v>
      </c>
      <c r="M386" s="23">
        <v>0</v>
      </c>
      <c r="N386" s="87">
        <f>M386/M378</f>
        <v>0</v>
      </c>
      <c r="O386" s="151"/>
    </row>
    <row r="387" spans="1:15" x14ac:dyDescent="0.35">
      <c r="A387" t="s">
        <v>126</v>
      </c>
      <c r="B387" s="75" t="s">
        <v>176</v>
      </c>
      <c r="C387" s="88">
        <v>238</v>
      </c>
      <c r="D387" s="77">
        <f>C387/C378</f>
        <v>1.5257559444051008E-2</v>
      </c>
      <c r="E387" s="90">
        <v>238</v>
      </c>
      <c r="F387" s="79">
        <f>E387/E378</f>
        <v>1.5257559444051008E-2</v>
      </c>
      <c r="G387" s="91">
        <v>238</v>
      </c>
      <c r="H387" s="81">
        <f>G387/G378</f>
        <v>1.5257559444051008E-2</v>
      </c>
      <c r="I387" s="92">
        <v>238</v>
      </c>
      <c r="J387" s="83">
        <f>I387/I378</f>
        <v>1.5257559444051008E-2</v>
      </c>
      <c r="K387" s="93">
        <v>238</v>
      </c>
      <c r="L387" s="85">
        <f>K387/K378</f>
        <v>1.5257559444051008E-2</v>
      </c>
      <c r="M387" s="23">
        <v>238</v>
      </c>
      <c r="N387" s="87">
        <f>M387/M378</f>
        <v>3.0515118888102019E-3</v>
      </c>
      <c r="O387" s="151"/>
    </row>
    <row r="388" spans="1:15" x14ac:dyDescent="0.35">
      <c r="A388" t="s">
        <v>126</v>
      </c>
      <c r="B388" s="75" t="s">
        <v>177</v>
      </c>
      <c r="C388" s="88">
        <v>0</v>
      </c>
      <c r="D388" s="77">
        <f>C388/C378</f>
        <v>0</v>
      </c>
      <c r="E388" s="90">
        <v>0</v>
      </c>
      <c r="F388" s="79">
        <f>E388/E378</f>
        <v>0</v>
      </c>
      <c r="G388" s="91">
        <v>0</v>
      </c>
      <c r="H388" s="81">
        <f>G388/G378</f>
        <v>0</v>
      </c>
      <c r="I388" s="92">
        <v>0</v>
      </c>
      <c r="J388" s="83">
        <f>I388/I378</f>
        <v>0</v>
      </c>
      <c r="K388" s="93">
        <v>0</v>
      </c>
      <c r="L388" s="85">
        <f>K388/K378</f>
        <v>0</v>
      </c>
      <c r="M388" s="23">
        <v>0</v>
      </c>
      <c r="N388" s="87">
        <f>M388/M378</f>
        <v>0</v>
      </c>
      <c r="O388" s="151"/>
    </row>
    <row r="389" spans="1:15" x14ac:dyDescent="0.35">
      <c r="A389" t="s">
        <v>126</v>
      </c>
      <c r="B389" s="75" t="s">
        <v>178</v>
      </c>
      <c r="C389" s="88">
        <v>0</v>
      </c>
      <c r="D389" s="77">
        <f>C389/C378</f>
        <v>0</v>
      </c>
      <c r="E389" s="90">
        <v>0</v>
      </c>
      <c r="F389" s="79">
        <f>E389/E378</f>
        <v>0</v>
      </c>
      <c r="G389" s="91">
        <v>0</v>
      </c>
      <c r="H389" s="81">
        <f>G389/G378</f>
        <v>0</v>
      </c>
      <c r="I389" s="92">
        <v>0</v>
      </c>
      <c r="J389" s="83">
        <f>I389/I378</f>
        <v>0</v>
      </c>
      <c r="K389" s="93">
        <v>0</v>
      </c>
      <c r="L389" s="85">
        <f>K389/K378</f>
        <v>0</v>
      </c>
      <c r="M389" s="23">
        <v>0</v>
      </c>
      <c r="N389" s="87">
        <f>M389/M378</f>
        <v>0</v>
      </c>
      <c r="O389" s="151"/>
    </row>
    <row r="390" spans="1:15" ht="15" thickBot="1" x14ac:dyDescent="0.4">
      <c r="A390" t="s">
        <v>126</v>
      </c>
      <c r="B390" s="100" t="s">
        <v>179</v>
      </c>
      <c r="C390" s="101">
        <v>0</v>
      </c>
      <c r="D390" s="113">
        <f t="shared" ref="D390" si="35">C390/$C$33</f>
        <v>0</v>
      </c>
      <c r="E390" s="103">
        <v>0</v>
      </c>
      <c r="F390" s="104">
        <f>E390/E378</f>
        <v>0</v>
      </c>
      <c r="G390" s="105">
        <v>0</v>
      </c>
      <c r="H390" s="106">
        <f>G390/G378</f>
        <v>0</v>
      </c>
      <c r="I390" s="107">
        <v>0</v>
      </c>
      <c r="J390" s="108">
        <f>I390/I378</f>
        <v>0</v>
      </c>
      <c r="K390" s="109">
        <v>0</v>
      </c>
      <c r="L390" s="110">
        <f>K390/K378</f>
        <v>0</v>
      </c>
      <c r="M390" s="25">
        <v>0</v>
      </c>
      <c r="N390" s="111">
        <f>M390/M378</f>
        <v>0</v>
      </c>
      <c r="O390" s="151"/>
    </row>
    <row r="391" spans="1:15" ht="15" thickBot="1" x14ac:dyDescent="0.4">
      <c r="B391" s="24"/>
    </row>
    <row r="392" spans="1:15" ht="15" thickBot="1" x14ac:dyDescent="0.4">
      <c r="A392" t="s">
        <v>128</v>
      </c>
      <c r="B392" s="65" t="s">
        <v>166</v>
      </c>
      <c r="C392" s="66">
        <v>0</v>
      </c>
      <c r="D392" s="67"/>
      <c r="E392" s="66">
        <v>0</v>
      </c>
      <c r="F392" s="67"/>
      <c r="G392" s="66">
        <v>0</v>
      </c>
      <c r="H392" s="67"/>
      <c r="I392" s="66">
        <v>0</v>
      </c>
      <c r="J392" s="67"/>
      <c r="K392" s="66">
        <v>0</v>
      </c>
      <c r="L392" s="67"/>
      <c r="M392" s="68">
        <f>SUM(C392,E392,G392,I392,K392)</f>
        <v>0</v>
      </c>
      <c r="N392" s="67"/>
      <c r="O392" s="150" t="s">
        <v>129</v>
      </c>
    </row>
    <row r="393" spans="1:15" ht="15" thickBot="1" x14ac:dyDescent="0.4">
      <c r="A393" t="s">
        <v>128</v>
      </c>
      <c r="B393" s="69" t="s">
        <v>167</v>
      </c>
      <c r="C393" s="70">
        <v>15598.825019999989</v>
      </c>
      <c r="D393" s="71">
        <f>SUM(D395:D405)</f>
        <v>0.36650196362033455</v>
      </c>
      <c r="E393" s="70">
        <v>15598.825019999989</v>
      </c>
      <c r="F393" s="71">
        <f>SUM(F395:F405)</f>
        <v>0.36650196362033455</v>
      </c>
      <c r="G393" s="70">
        <v>15598.825019999989</v>
      </c>
      <c r="H393" s="71">
        <f>SUM(H395:H405)</f>
        <v>0.36650196362033455</v>
      </c>
      <c r="I393" s="70">
        <v>15598.825019999989</v>
      </c>
      <c r="J393" s="71">
        <f>SUM(J395:J405)</f>
        <v>0.36650196362033455</v>
      </c>
      <c r="K393" s="70">
        <v>15598.825019999989</v>
      </c>
      <c r="L393" s="71">
        <f>SUM(L395:L405)</f>
        <v>0.36650196362033455</v>
      </c>
      <c r="M393" s="70">
        <f>SUM(C393,E393,G393,I393,K393)</f>
        <v>77994.125099999947</v>
      </c>
      <c r="N393" s="71">
        <f>SUM(N395:N405)</f>
        <v>7.3300392724066896E-2</v>
      </c>
      <c r="O393" s="151"/>
    </row>
    <row r="394" spans="1:15" ht="15" thickBot="1" x14ac:dyDescent="0.4">
      <c r="A394" t="s">
        <v>128</v>
      </c>
      <c r="B394" s="72" t="s">
        <v>168</v>
      </c>
      <c r="C394" s="73"/>
      <c r="D394" s="74">
        <f>(SUM(D395:D405)+C392)/C393</f>
        <v>2.3495485278565861E-5</v>
      </c>
      <c r="E394" s="73"/>
      <c r="F394" s="74">
        <f>(SUM(F395:F405)+E392)/E393</f>
        <v>2.3495485278565861E-5</v>
      </c>
      <c r="G394" s="73"/>
      <c r="H394" s="74">
        <f>(SUM(H395:H405)+G392)/G393</f>
        <v>2.3495485278565861E-5</v>
      </c>
      <c r="I394" s="73"/>
      <c r="J394" s="74">
        <f>(SUM(J395:J405)+I392)/I393</f>
        <v>2.3495485278565861E-5</v>
      </c>
      <c r="K394" s="73"/>
      <c r="L394" s="74">
        <f>(SUM(L395:L405)+K392)/K393</f>
        <v>2.3495485278565861E-5</v>
      </c>
      <c r="M394" s="73"/>
      <c r="N394" s="74">
        <f>(SUM(N395:N405)+M392)/M393</f>
        <v>9.398194111426342E-7</v>
      </c>
      <c r="O394" s="151"/>
    </row>
    <row r="395" spans="1:15" x14ac:dyDescent="0.35">
      <c r="A395" t="s">
        <v>128</v>
      </c>
      <c r="B395" s="75" t="s">
        <v>169</v>
      </c>
      <c r="C395" s="76">
        <v>800</v>
      </c>
      <c r="D395" s="77">
        <f>C395/C393</f>
        <v>5.1285914097650452E-2</v>
      </c>
      <c r="E395" s="78">
        <v>800</v>
      </c>
      <c r="F395" s="79">
        <f>E395/E393</f>
        <v>5.1285914097650452E-2</v>
      </c>
      <c r="G395" s="80">
        <v>800</v>
      </c>
      <c r="H395" s="81">
        <f>G395/G393</f>
        <v>5.1285914097650452E-2</v>
      </c>
      <c r="I395" s="82">
        <v>800</v>
      </c>
      <c r="J395" s="83">
        <f>I395/I393</f>
        <v>5.1285914097650452E-2</v>
      </c>
      <c r="K395" s="84">
        <v>800</v>
      </c>
      <c r="L395" s="85">
        <f>K395/K393</f>
        <v>5.1285914097650452E-2</v>
      </c>
      <c r="M395" s="86">
        <v>800</v>
      </c>
      <c r="N395" s="87">
        <f>M395/M393</f>
        <v>1.025718281953009E-2</v>
      </c>
      <c r="O395" s="151"/>
    </row>
    <row r="396" spans="1:15" x14ac:dyDescent="0.35">
      <c r="A396" t="s">
        <v>128</v>
      </c>
      <c r="B396" s="75" t="s">
        <v>170</v>
      </c>
      <c r="C396" s="88">
        <v>0</v>
      </c>
      <c r="D396" s="77">
        <f>C396/C393</f>
        <v>0</v>
      </c>
      <c r="E396" s="90">
        <v>0</v>
      </c>
      <c r="F396" s="79">
        <f>E396/E393</f>
        <v>0</v>
      </c>
      <c r="G396" s="91">
        <v>0</v>
      </c>
      <c r="H396" s="81">
        <f>G396/G393</f>
        <v>0</v>
      </c>
      <c r="I396" s="92">
        <v>0</v>
      </c>
      <c r="J396" s="83">
        <f>I396/I393</f>
        <v>0</v>
      </c>
      <c r="K396" s="93">
        <v>0</v>
      </c>
      <c r="L396" s="85">
        <f>K396/K393</f>
        <v>0</v>
      </c>
      <c r="M396" s="23">
        <v>0</v>
      </c>
      <c r="N396" s="87">
        <f>M396/M393</f>
        <v>0</v>
      </c>
      <c r="O396" s="151"/>
    </row>
    <row r="397" spans="1:15" x14ac:dyDescent="0.35">
      <c r="A397" t="s">
        <v>128</v>
      </c>
      <c r="B397" s="75" t="s">
        <v>171</v>
      </c>
      <c r="C397" s="88">
        <v>104</v>
      </c>
      <c r="D397" s="77">
        <f>C397/C393</f>
        <v>6.6671688326945585E-3</v>
      </c>
      <c r="E397" s="90">
        <v>104</v>
      </c>
      <c r="F397" s="79">
        <f>E397/E393</f>
        <v>6.6671688326945585E-3</v>
      </c>
      <c r="G397" s="91">
        <v>104</v>
      </c>
      <c r="H397" s="81">
        <f>G397/G393</f>
        <v>6.6671688326945585E-3</v>
      </c>
      <c r="I397" s="92">
        <v>104</v>
      </c>
      <c r="J397" s="83">
        <f>I397/I393</f>
        <v>6.6671688326945585E-3</v>
      </c>
      <c r="K397" s="93">
        <v>104</v>
      </c>
      <c r="L397" s="85">
        <f>K397/K393</f>
        <v>6.6671688326945585E-3</v>
      </c>
      <c r="M397" s="23">
        <v>104</v>
      </c>
      <c r="N397" s="87">
        <f>M397/M393</f>
        <v>1.3334337665389117E-3</v>
      </c>
      <c r="O397" s="151"/>
    </row>
    <row r="398" spans="1:15" x14ac:dyDescent="0.35">
      <c r="A398" t="s">
        <v>128</v>
      </c>
      <c r="B398" s="75" t="s">
        <v>172</v>
      </c>
      <c r="C398" s="88">
        <v>0</v>
      </c>
      <c r="D398" s="77">
        <f>C398/C393</f>
        <v>0</v>
      </c>
      <c r="E398" s="90">
        <v>0</v>
      </c>
      <c r="F398" s="79">
        <f>E398/E393</f>
        <v>0</v>
      </c>
      <c r="G398" s="91">
        <v>0</v>
      </c>
      <c r="H398" s="81">
        <f>G398/G393</f>
        <v>0</v>
      </c>
      <c r="I398" s="92">
        <v>0</v>
      </c>
      <c r="J398" s="83">
        <f>I398/I393</f>
        <v>0</v>
      </c>
      <c r="K398" s="93">
        <v>0</v>
      </c>
      <c r="L398" s="85">
        <f>K398/K393</f>
        <v>0</v>
      </c>
      <c r="M398" s="23">
        <v>0</v>
      </c>
      <c r="N398" s="87">
        <f>M398/M393</f>
        <v>0</v>
      </c>
      <c r="O398" s="151"/>
    </row>
    <row r="399" spans="1:15" x14ac:dyDescent="0.35">
      <c r="A399" t="s">
        <v>128</v>
      </c>
      <c r="B399" s="75" t="s">
        <v>173</v>
      </c>
      <c r="C399" s="94">
        <v>3619</v>
      </c>
      <c r="D399" s="77">
        <f>C399/C393</f>
        <v>0.23200465389924621</v>
      </c>
      <c r="E399" s="95">
        <v>3619</v>
      </c>
      <c r="F399" s="79">
        <f>E399/E393</f>
        <v>0.23200465389924621</v>
      </c>
      <c r="G399" s="96">
        <v>3619</v>
      </c>
      <c r="H399" s="81">
        <f>G399/G393</f>
        <v>0.23200465389924621</v>
      </c>
      <c r="I399" s="97">
        <v>3619</v>
      </c>
      <c r="J399" s="83">
        <f>I399/I393</f>
        <v>0.23200465389924621</v>
      </c>
      <c r="K399" s="98">
        <v>3619</v>
      </c>
      <c r="L399" s="85">
        <f>K399/K393</f>
        <v>0.23200465389924621</v>
      </c>
      <c r="M399" s="99">
        <v>3619</v>
      </c>
      <c r="N399" s="87">
        <f>M399/M393</f>
        <v>4.6400930779849241E-2</v>
      </c>
      <c r="O399" s="151"/>
    </row>
    <row r="400" spans="1:15" x14ac:dyDescent="0.35">
      <c r="A400" t="s">
        <v>128</v>
      </c>
      <c r="B400" s="75" t="s">
        <v>174</v>
      </c>
      <c r="C400" s="88">
        <v>956</v>
      </c>
      <c r="D400" s="77">
        <f>C400/C393</f>
        <v>6.1286667346692289E-2</v>
      </c>
      <c r="E400" s="90">
        <v>956</v>
      </c>
      <c r="F400" s="79">
        <f>E400/E393</f>
        <v>6.1286667346692289E-2</v>
      </c>
      <c r="G400" s="91">
        <v>956</v>
      </c>
      <c r="H400" s="81">
        <f>G400/G393</f>
        <v>6.1286667346692289E-2</v>
      </c>
      <c r="I400" s="92">
        <v>956</v>
      </c>
      <c r="J400" s="83">
        <f>I400/I393</f>
        <v>6.1286667346692289E-2</v>
      </c>
      <c r="K400" s="93">
        <v>956</v>
      </c>
      <c r="L400" s="85">
        <f>K400/K393</f>
        <v>6.1286667346692289E-2</v>
      </c>
      <c r="M400" s="23">
        <v>956</v>
      </c>
      <c r="N400" s="87">
        <f>M400/M393</f>
        <v>1.2257333469338457E-2</v>
      </c>
      <c r="O400" s="151"/>
    </row>
    <row r="401" spans="1:15" x14ac:dyDescent="0.35">
      <c r="A401" t="s">
        <v>128</v>
      </c>
      <c r="B401" s="75" t="s">
        <v>175</v>
      </c>
      <c r="C401" s="88">
        <v>0</v>
      </c>
      <c r="D401" s="77">
        <f>C401/C393</f>
        <v>0</v>
      </c>
      <c r="E401" s="90">
        <v>0</v>
      </c>
      <c r="F401" s="79">
        <f>E401/E393</f>
        <v>0</v>
      </c>
      <c r="G401" s="91">
        <v>0</v>
      </c>
      <c r="H401" s="81">
        <f>G401/G393</f>
        <v>0</v>
      </c>
      <c r="I401" s="92">
        <v>0</v>
      </c>
      <c r="J401" s="83">
        <f>I401/I393</f>
        <v>0</v>
      </c>
      <c r="K401" s="93">
        <v>0</v>
      </c>
      <c r="L401" s="85">
        <f>K401/K393</f>
        <v>0</v>
      </c>
      <c r="M401" s="23">
        <v>0</v>
      </c>
      <c r="N401" s="87">
        <f>M401/M393</f>
        <v>0</v>
      </c>
      <c r="O401" s="151"/>
    </row>
    <row r="402" spans="1:15" x14ac:dyDescent="0.35">
      <c r="A402" t="s">
        <v>128</v>
      </c>
      <c r="B402" s="75" t="s">
        <v>176</v>
      </c>
      <c r="C402" s="88">
        <v>238</v>
      </c>
      <c r="D402" s="77">
        <f>C402/C393</f>
        <v>1.5257559444051008E-2</v>
      </c>
      <c r="E402" s="90">
        <v>238</v>
      </c>
      <c r="F402" s="79">
        <f>E402/E393</f>
        <v>1.5257559444051008E-2</v>
      </c>
      <c r="G402" s="91">
        <v>238</v>
      </c>
      <c r="H402" s="81">
        <f>G402/G393</f>
        <v>1.5257559444051008E-2</v>
      </c>
      <c r="I402" s="92">
        <v>238</v>
      </c>
      <c r="J402" s="83">
        <f>I402/I393</f>
        <v>1.5257559444051008E-2</v>
      </c>
      <c r="K402" s="93">
        <v>238</v>
      </c>
      <c r="L402" s="85">
        <f>K402/K393</f>
        <v>1.5257559444051008E-2</v>
      </c>
      <c r="M402" s="23">
        <v>238</v>
      </c>
      <c r="N402" s="87">
        <f>M402/M393</f>
        <v>3.0515118888102019E-3</v>
      </c>
      <c r="O402" s="151"/>
    </row>
    <row r="403" spans="1:15" x14ac:dyDescent="0.35">
      <c r="A403" t="s">
        <v>128</v>
      </c>
      <c r="B403" s="75" t="s">
        <v>177</v>
      </c>
      <c r="C403" s="88">
        <v>0</v>
      </c>
      <c r="D403" s="77">
        <f>C403/C393</f>
        <v>0</v>
      </c>
      <c r="E403" s="90">
        <v>0</v>
      </c>
      <c r="F403" s="79">
        <f>E403/E393</f>
        <v>0</v>
      </c>
      <c r="G403" s="91">
        <v>0</v>
      </c>
      <c r="H403" s="81">
        <f>G403/G393</f>
        <v>0</v>
      </c>
      <c r="I403" s="92">
        <v>0</v>
      </c>
      <c r="J403" s="83">
        <f>I403/I393</f>
        <v>0</v>
      </c>
      <c r="K403" s="93">
        <v>0</v>
      </c>
      <c r="L403" s="85">
        <f>K403/K393</f>
        <v>0</v>
      </c>
      <c r="M403" s="23">
        <v>0</v>
      </c>
      <c r="N403" s="87">
        <f>M403/M393</f>
        <v>0</v>
      </c>
      <c r="O403" s="151"/>
    </row>
    <row r="404" spans="1:15" x14ac:dyDescent="0.35">
      <c r="A404" t="s">
        <v>128</v>
      </c>
      <c r="B404" s="75" t="s">
        <v>178</v>
      </c>
      <c r="C404" s="88">
        <v>0</v>
      </c>
      <c r="D404" s="77">
        <f>C404/C393</f>
        <v>0</v>
      </c>
      <c r="E404" s="90">
        <v>0</v>
      </c>
      <c r="F404" s="79">
        <f>E404/E393</f>
        <v>0</v>
      </c>
      <c r="G404" s="91">
        <v>0</v>
      </c>
      <c r="H404" s="81">
        <f>G404/G393</f>
        <v>0</v>
      </c>
      <c r="I404" s="92">
        <v>0</v>
      </c>
      <c r="J404" s="83">
        <f>I404/I393</f>
        <v>0</v>
      </c>
      <c r="K404" s="93">
        <v>0</v>
      </c>
      <c r="L404" s="85">
        <f>K404/K393</f>
        <v>0</v>
      </c>
      <c r="M404" s="23">
        <v>0</v>
      </c>
      <c r="N404" s="87">
        <f>M404/M393</f>
        <v>0</v>
      </c>
      <c r="O404" s="151"/>
    </row>
    <row r="405" spans="1:15" ht="15" thickBot="1" x14ac:dyDescent="0.4">
      <c r="A405" t="s">
        <v>128</v>
      </c>
      <c r="B405" s="100" t="s">
        <v>179</v>
      </c>
      <c r="C405" s="101">
        <v>0</v>
      </c>
      <c r="D405" s="113">
        <f t="shared" ref="D405" si="36">C405/$C$33</f>
        <v>0</v>
      </c>
      <c r="E405" s="103">
        <v>0</v>
      </c>
      <c r="F405" s="104">
        <f>E405/E393</f>
        <v>0</v>
      </c>
      <c r="G405" s="105">
        <v>0</v>
      </c>
      <c r="H405" s="106">
        <f>G405/G393</f>
        <v>0</v>
      </c>
      <c r="I405" s="107">
        <v>0</v>
      </c>
      <c r="J405" s="108">
        <f>I405/I393</f>
        <v>0</v>
      </c>
      <c r="K405" s="109">
        <v>0</v>
      </c>
      <c r="L405" s="110">
        <f>K405/K393</f>
        <v>0</v>
      </c>
      <c r="M405" s="25">
        <v>0</v>
      </c>
      <c r="N405" s="111">
        <f>M405/M393</f>
        <v>0</v>
      </c>
      <c r="O405" s="151"/>
    </row>
    <row r="406" spans="1:15" ht="15" thickBot="1" x14ac:dyDescent="0.4">
      <c r="D406" s="26"/>
      <c r="F406" s="26"/>
      <c r="H406" s="26"/>
      <c r="J406" s="26"/>
      <c r="L406" s="26"/>
      <c r="N406" s="26"/>
    </row>
    <row r="407" spans="1:15" ht="15" thickBot="1" x14ac:dyDescent="0.4">
      <c r="A407" t="s">
        <v>130</v>
      </c>
      <c r="B407" s="65" t="s">
        <v>166</v>
      </c>
      <c r="C407" s="66">
        <v>0</v>
      </c>
      <c r="D407" s="67"/>
      <c r="E407" s="66">
        <v>0</v>
      </c>
      <c r="F407" s="67"/>
      <c r="G407" s="66">
        <v>0</v>
      </c>
      <c r="H407" s="67"/>
      <c r="I407" s="66">
        <v>0</v>
      </c>
      <c r="J407" s="67"/>
      <c r="K407" s="66">
        <v>0</v>
      </c>
      <c r="L407" s="67"/>
      <c r="M407" s="68">
        <f>SUM(C407,E407,G407,I407,K407)</f>
        <v>0</v>
      </c>
      <c r="N407" s="67"/>
      <c r="O407" s="150" t="s">
        <v>131</v>
      </c>
    </row>
    <row r="408" spans="1:15" ht="15" thickBot="1" x14ac:dyDescent="0.4">
      <c r="A408" t="s">
        <v>130</v>
      </c>
      <c r="B408" s="69" t="s">
        <v>167</v>
      </c>
      <c r="C408" s="70">
        <v>15598.825019999989</v>
      </c>
      <c r="D408" s="71">
        <f>SUM(D410:D420)</f>
        <v>0.36650196362033455</v>
      </c>
      <c r="E408" s="70">
        <v>15598.825019999989</v>
      </c>
      <c r="F408" s="71">
        <f>SUM(F410:F420)</f>
        <v>0.36650196362033455</v>
      </c>
      <c r="G408" s="70">
        <v>15598.825019999989</v>
      </c>
      <c r="H408" s="71">
        <f>SUM(H410:H420)</f>
        <v>0.36650196362033455</v>
      </c>
      <c r="I408" s="70">
        <v>15598.825019999989</v>
      </c>
      <c r="J408" s="71">
        <f>SUM(J410:J420)</f>
        <v>0.36650196362033455</v>
      </c>
      <c r="K408" s="70">
        <v>15598.825019999989</v>
      </c>
      <c r="L408" s="71">
        <f>SUM(L410:L420)</f>
        <v>0.36650196362033455</v>
      </c>
      <c r="M408" s="70">
        <f>SUM(C408,E408,G408,I408,K408)</f>
        <v>77994.125099999947</v>
      </c>
      <c r="N408" s="71">
        <f>SUM(N410:N420)</f>
        <v>7.3300392724066896E-2</v>
      </c>
      <c r="O408" s="151"/>
    </row>
    <row r="409" spans="1:15" ht="15" thickBot="1" x14ac:dyDescent="0.4">
      <c r="A409" t="s">
        <v>130</v>
      </c>
      <c r="B409" s="72" t="s">
        <v>168</v>
      </c>
      <c r="C409" s="73"/>
      <c r="D409" s="74">
        <f>(SUM(D410:D420)+C407)/C408</f>
        <v>2.3495485278565861E-5</v>
      </c>
      <c r="E409" s="73"/>
      <c r="F409" s="74">
        <f>(SUM(F410:F420)+E407)/E408</f>
        <v>2.3495485278565861E-5</v>
      </c>
      <c r="G409" s="73"/>
      <c r="H409" s="74">
        <f>(SUM(H410:H420)+G407)/G408</f>
        <v>2.3495485278565861E-5</v>
      </c>
      <c r="I409" s="73"/>
      <c r="J409" s="74">
        <f>(SUM(J410:J420)+I407)/I408</f>
        <v>2.3495485278565861E-5</v>
      </c>
      <c r="K409" s="73"/>
      <c r="L409" s="74">
        <f>(SUM(L410:L420)+K407)/K408</f>
        <v>2.3495485278565861E-5</v>
      </c>
      <c r="M409" s="73"/>
      <c r="N409" s="74">
        <f>(SUM(N410:N420)+M407)/M408</f>
        <v>9.398194111426342E-7</v>
      </c>
      <c r="O409" s="151"/>
    </row>
    <row r="410" spans="1:15" x14ac:dyDescent="0.35">
      <c r="A410" t="s">
        <v>130</v>
      </c>
      <c r="B410" s="75" t="s">
        <v>169</v>
      </c>
      <c r="C410" s="76">
        <v>800</v>
      </c>
      <c r="D410" s="77">
        <f>C410/C408</f>
        <v>5.1285914097650452E-2</v>
      </c>
      <c r="E410" s="78">
        <v>800</v>
      </c>
      <c r="F410" s="79">
        <f>E410/E408</f>
        <v>5.1285914097650452E-2</v>
      </c>
      <c r="G410" s="80">
        <v>800</v>
      </c>
      <c r="H410" s="81">
        <f>G410/G408</f>
        <v>5.1285914097650452E-2</v>
      </c>
      <c r="I410" s="82">
        <v>800</v>
      </c>
      <c r="J410" s="83">
        <f>I410/I408</f>
        <v>5.1285914097650452E-2</v>
      </c>
      <c r="K410" s="84">
        <v>800</v>
      </c>
      <c r="L410" s="85">
        <f>K410/K408</f>
        <v>5.1285914097650452E-2</v>
      </c>
      <c r="M410" s="86">
        <v>800</v>
      </c>
      <c r="N410" s="87">
        <f>M410/M408</f>
        <v>1.025718281953009E-2</v>
      </c>
      <c r="O410" s="151"/>
    </row>
    <row r="411" spans="1:15" x14ac:dyDescent="0.35">
      <c r="A411" t="s">
        <v>130</v>
      </c>
      <c r="B411" s="75" t="s">
        <v>170</v>
      </c>
      <c r="C411" s="88">
        <v>0</v>
      </c>
      <c r="D411" s="77">
        <f>C411/C408</f>
        <v>0</v>
      </c>
      <c r="E411" s="90">
        <v>0</v>
      </c>
      <c r="F411" s="79">
        <f>E411/E408</f>
        <v>0</v>
      </c>
      <c r="G411" s="91">
        <v>0</v>
      </c>
      <c r="H411" s="81">
        <f>G411/G408</f>
        <v>0</v>
      </c>
      <c r="I411" s="92">
        <v>0</v>
      </c>
      <c r="J411" s="83">
        <f>I411/I408</f>
        <v>0</v>
      </c>
      <c r="K411" s="93">
        <v>0</v>
      </c>
      <c r="L411" s="85">
        <f>K411/K408</f>
        <v>0</v>
      </c>
      <c r="M411" s="23">
        <v>0</v>
      </c>
      <c r="N411" s="87">
        <f>M411/M408</f>
        <v>0</v>
      </c>
      <c r="O411" s="151"/>
    </row>
    <row r="412" spans="1:15" x14ac:dyDescent="0.35">
      <c r="A412" t="s">
        <v>130</v>
      </c>
      <c r="B412" s="75" t="s">
        <v>171</v>
      </c>
      <c r="C412" s="88">
        <v>104</v>
      </c>
      <c r="D412" s="77">
        <f>C412/C408</f>
        <v>6.6671688326945585E-3</v>
      </c>
      <c r="E412" s="90">
        <v>104</v>
      </c>
      <c r="F412" s="79">
        <f>E412/E408</f>
        <v>6.6671688326945585E-3</v>
      </c>
      <c r="G412" s="91">
        <v>104</v>
      </c>
      <c r="H412" s="81">
        <f>G412/G408</f>
        <v>6.6671688326945585E-3</v>
      </c>
      <c r="I412" s="92">
        <v>104</v>
      </c>
      <c r="J412" s="83">
        <f>I412/I408</f>
        <v>6.6671688326945585E-3</v>
      </c>
      <c r="K412" s="93">
        <v>104</v>
      </c>
      <c r="L412" s="85">
        <f>K412/K408</f>
        <v>6.6671688326945585E-3</v>
      </c>
      <c r="M412" s="23">
        <v>104</v>
      </c>
      <c r="N412" s="87">
        <f>M412/M408</f>
        <v>1.3334337665389117E-3</v>
      </c>
      <c r="O412" s="151"/>
    </row>
    <row r="413" spans="1:15" x14ac:dyDescent="0.35">
      <c r="A413" t="s">
        <v>130</v>
      </c>
      <c r="B413" s="75" t="s">
        <v>172</v>
      </c>
      <c r="C413" s="88">
        <v>0</v>
      </c>
      <c r="D413" s="77">
        <f>C413/C408</f>
        <v>0</v>
      </c>
      <c r="E413" s="90">
        <v>0</v>
      </c>
      <c r="F413" s="79">
        <f>E413/E408</f>
        <v>0</v>
      </c>
      <c r="G413" s="91">
        <v>0</v>
      </c>
      <c r="H413" s="81">
        <f>G413/G408</f>
        <v>0</v>
      </c>
      <c r="I413" s="92">
        <v>0</v>
      </c>
      <c r="J413" s="83">
        <f>I413/I408</f>
        <v>0</v>
      </c>
      <c r="K413" s="93">
        <v>0</v>
      </c>
      <c r="L413" s="85">
        <f>K413/K408</f>
        <v>0</v>
      </c>
      <c r="M413" s="23">
        <v>0</v>
      </c>
      <c r="N413" s="87">
        <f>M413/M408</f>
        <v>0</v>
      </c>
      <c r="O413" s="151"/>
    </row>
    <row r="414" spans="1:15" x14ac:dyDescent="0.35">
      <c r="A414" t="s">
        <v>130</v>
      </c>
      <c r="B414" s="75" t="s">
        <v>173</v>
      </c>
      <c r="C414" s="94">
        <v>3619</v>
      </c>
      <c r="D414" s="77">
        <f>C414/C408</f>
        <v>0.23200465389924621</v>
      </c>
      <c r="E414" s="95">
        <v>3619</v>
      </c>
      <c r="F414" s="79">
        <f>E414/E408</f>
        <v>0.23200465389924621</v>
      </c>
      <c r="G414" s="96">
        <v>3619</v>
      </c>
      <c r="H414" s="81">
        <f>G414/G408</f>
        <v>0.23200465389924621</v>
      </c>
      <c r="I414" s="97">
        <v>3619</v>
      </c>
      <c r="J414" s="83">
        <f>I414/I408</f>
        <v>0.23200465389924621</v>
      </c>
      <c r="K414" s="98">
        <v>3619</v>
      </c>
      <c r="L414" s="85">
        <f>K414/K408</f>
        <v>0.23200465389924621</v>
      </c>
      <c r="M414" s="99">
        <v>3619</v>
      </c>
      <c r="N414" s="87">
        <f>M414/M408</f>
        <v>4.6400930779849241E-2</v>
      </c>
      <c r="O414" s="151"/>
    </row>
    <row r="415" spans="1:15" x14ac:dyDescent="0.35">
      <c r="A415" t="s">
        <v>130</v>
      </c>
      <c r="B415" s="75" t="s">
        <v>174</v>
      </c>
      <c r="C415" s="88">
        <v>956</v>
      </c>
      <c r="D415" s="77">
        <f>C415/C408</f>
        <v>6.1286667346692289E-2</v>
      </c>
      <c r="E415" s="90">
        <v>956</v>
      </c>
      <c r="F415" s="79">
        <f>E415/E408</f>
        <v>6.1286667346692289E-2</v>
      </c>
      <c r="G415" s="91">
        <v>956</v>
      </c>
      <c r="H415" s="81">
        <f>G415/G408</f>
        <v>6.1286667346692289E-2</v>
      </c>
      <c r="I415" s="92">
        <v>956</v>
      </c>
      <c r="J415" s="83">
        <f>I415/I408</f>
        <v>6.1286667346692289E-2</v>
      </c>
      <c r="K415" s="93">
        <v>956</v>
      </c>
      <c r="L415" s="85">
        <f>K415/K408</f>
        <v>6.1286667346692289E-2</v>
      </c>
      <c r="M415" s="23">
        <v>956</v>
      </c>
      <c r="N415" s="87">
        <f>M415/M408</f>
        <v>1.2257333469338457E-2</v>
      </c>
      <c r="O415" s="151"/>
    </row>
    <row r="416" spans="1:15" x14ac:dyDescent="0.35">
      <c r="A416" t="s">
        <v>130</v>
      </c>
      <c r="B416" s="75" t="s">
        <v>175</v>
      </c>
      <c r="C416" s="88">
        <v>0</v>
      </c>
      <c r="D416" s="77">
        <f>C416/C408</f>
        <v>0</v>
      </c>
      <c r="E416" s="90">
        <v>0</v>
      </c>
      <c r="F416" s="79">
        <f>E416/E408</f>
        <v>0</v>
      </c>
      <c r="G416" s="91">
        <v>0</v>
      </c>
      <c r="H416" s="81">
        <f>G416/G408</f>
        <v>0</v>
      </c>
      <c r="I416" s="92">
        <v>0</v>
      </c>
      <c r="J416" s="83">
        <f>I416/I408</f>
        <v>0</v>
      </c>
      <c r="K416" s="93">
        <v>0</v>
      </c>
      <c r="L416" s="85">
        <f>K416/K408</f>
        <v>0</v>
      </c>
      <c r="M416" s="23">
        <v>0</v>
      </c>
      <c r="N416" s="87">
        <f>M416/M408</f>
        <v>0</v>
      </c>
      <c r="O416" s="151"/>
    </row>
    <row r="417" spans="1:15" x14ac:dyDescent="0.35">
      <c r="A417" t="s">
        <v>130</v>
      </c>
      <c r="B417" s="75" t="s">
        <v>176</v>
      </c>
      <c r="C417" s="88">
        <v>238</v>
      </c>
      <c r="D417" s="77">
        <f>C417/C408</f>
        <v>1.5257559444051008E-2</v>
      </c>
      <c r="E417" s="90">
        <v>238</v>
      </c>
      <c r="F417" s="79">
        <f>E417/E408</f>
        <v>1.5257559444051008E-2</v>
      </c>
      <c r="G417" s="91">
        <v>238</v>
      </c>
      <c r="H417" s="81">
        <f>G417/G408</f>
        <v>1.5257559444051008E-2</v>
      </c>
      <c r="I417" s="92">
        <v>238</v>
      </c>
      <c r="J417" s="83">
        <f>I417/I408</f>
        <v>1.5257559444051008E-2</v>
      </c>
      <c r="K417" s="93">
        <v>238</v>
      </c>
      <c r="L417" s="85">
        <f>K417/K408</f>
        <v>1.5257559444051008E-2</v>
      </c>
      <c r="M417" s="23">
        <v>238</v>
      </c>
      <c r="N417" s="87">
        <f>M417/M408</f>
        <v>3.0515118888102019E-3</v>
      </c>
      <c r="O417" s="151"/>
    </row>
    <row r="418" spans="1:15" x14ac:dyDescent="0.35">
      <c r="A418" t="s">
        <v>130</v>
      </c>
      <c r="B418" s="75" t="s">
        <v>177</v>
      </c>
      <c r="C418" s="88">
        <v>0</v>
      </c>
      <c r="D418" s="77">
        <f>C418/C408</f>
        <v>0</v>
      </c>
      <c r="E418" s="90">
        <v>0</v>
      </c>
      <c r="F418" s="79">
        <f>E418/E408</f>
        <v>0</v>
      </c>
      <c r="G418" s="91">
        <v>0</v>
      </c>
      <c r="H418" s="81">
        <f>G418/G408</f>
        <v>0</v>
      </c>
      <c r="I418" s="92">
        <v>0</v>
      </c>
      <c r="J418" s="83">
        <f>I418/I408</f>
        <v>0</v>
      </c>
      <c r="K418" s="93">
        <v>0</v>
      </c>
      <c r="L418" s="85">
        <f>K418/K408</f>
        <v>0</v>
      </c>
      <c r="M418" s="23">
        <v>0</v>
      </c>
      <c r="N418" s="87">
        <f>M418/M408</f>
        <v>0</v>
      </c>
      <c r="O418" s="151"/>
    </row>
    <row r="419" spans="1:15" x14ac:dyDescent="0.35">
      <c r="A419" t="s">
        <v>130</v>
      </c>
      <c r="B419" s="75" t="s">
        <v>178</v>
      </c>
      <c r="C419" s="88">
        <v>0</v>
      </c>
      <c r="D419" s="77">
        <f>C419/C408</f>
        <v>0</v>
      </c>
      <c r="E419" s="90">
        <v>0</v>
      </c>
      <c r="F419" s="79">
        <f>E419/E408</f>
        <v>0</v>
      </c>
      <c r="G419" s="91">
        <v>0</v>
      </c>
      <c r="H419" s="81">
        <f>G419/G408</f>
        <v>0</v>
      </c>
      <c r="I419" s="92">
        <v>0</v>
      </c>
      <c r="J419" s="83">
        <f>I419/I408</f>
        <v>0</v>
      </c>
      <c r="K419" s="93">
        <v>0</v>
      </c>
      <c r="L419" s="85">
        <f>K419/K408</f>
        <v>0</v>
      </c>
      <c r="M419" s="23">
        <v>0</v>
      </c>
      <c r="N419" s="87">
        <f>M419/M408</f>
        <v>0</v>
      </c>
      <c r="O419" s="151"/>
    </row>
    <row r="420" spans="1:15" ht="15" thickBot="1" x14ac:dyDescent="0.4">
      <c r="A420" t="s">
        <v>130</v>
      </c>
      <c r="B420" s="100" t="s">
        <v>179</v>
      </c>
      <c r="C420" s="101">
        <v>0</v>
      </c>
      <c r="D420" s="113">
        <f t="shared" ref="D420" si="37">C420/$C$33</f>
        <v>0</v>
      </c>
      <c r="E420" s="103">
        <v>0</v>
      </c>
      <c r="F420" s="104">
        <f>E420/E408</f>
        <v>0</v>
      </c>
      <c r="G420" s="105">
        <v>0</v>
      </c>
      <c r="H420" s="106">
        <f>G420/G408</f>
        <v>0</v>
      </c>
      <c r="I420" s="107">
        <v>0</v>
      </c>
      <c r="J420" s="108">
        <f>I420/I408</f>
        <v>0</v>
      </c>
      <c r="K420" s="109">
        <v>0</v>
      </c>
      <c r="L420" s="110">
        <f>K420/K408</f>
        <v>0</v>
      </c>
      <c r="M420" s="25">
        <v>0</v>
      </c>
      <c r="N420" s="111">
        <f>M420/M408</f>
        <v>0</v>
      </c>
      <c r="O420" s="151"/>
    </row>
    <row r="421" spans="1:15" ht="15" thickBot="1" x14ac:dyDescent="0.4">
      <c r="D421" s="26"/>
      <c r="F421" s="26"/>
      <c r="H421" s="26"/>
      <c r="J421" s="26"/>
      <c r="L421" s="26"/>
      <c r="N421" s="26"/>
    </row>
    <row r="422" spans="1:15" ht="15" thickBot="1" x14ac:dyDescent="0.4">
      <c r="A422" t="s">
        <v>132</v>
      </c>
      <c r="B422" s="65" t="s">
        <v>166</v>
      </c>
      <c r="C422" s="66">
        <v>0</v>
      </c>
      <c r="D422" s="67"/>
      <c r="E422" s="66">
        <v>0</v>
      </c>
      <c r="F422" s="67"/>
      <c r="G422" s="66">
        <v>0</v>
      </c>
      <c r="H422" s="67"/>
      <c r="I422" s="66">
        <v>0</v>
      </c>
      <c r="J422" s="67"/>
      <c r="K422" s="66">
        <v>0</v>
      </c>
      <c r="L422" s="67"/>
      <c r="M422" s="68">
        <f>SUM(C422,E422,G422,I422,K422)</f>
        <v>0</v>
      </c>
      <c r="N422" s="67"/>
      <c r="O422" s="150" t="s">
        <v>133</v>
      </c>
    </row>
    <row r="423" spans="1:15" ht="15" thickBot="1" x14ac:dyDescent="0.4">
      <c r="A423" t="s">
        <v>132</v>
      </c>
      <c r="B423" s="69" t="s">
        <v>167</v>
      </c>
      <c r="C423" s="70">
        <v>15598.825019999989</v>
      </c>
      <c r="D423" s="71">
        <f>SUM(D425:D435)</f>
        <v>0.36650196362033455</v>
      </c>
      <c r="E423" s="70">
        <v>15598.825019999989</v>
      </c>
      <c r="F423" s="71">
        <f>SUM(F425:F435)</f>
        <v>0.36650196362033455</v>
      </c>
      <c r="G423" s="70">
        <v>15598.825019999989</v>
      </c>
      <c r="H423" s="71">
        <f>SUM(H425:H435)</f>
        <v>0.36650196362033455</v>
      </c>
      <c r="I423" s="70">
        <v>15598.825019999989</v>
      </c>
      <c r="J423" s="71">
        <f>SUM(J425:J435)</f>
        <v>0.36650196362033455</v>
      </c>
      <c r="K423" s="70">
        <v>15598.825019999989</v>
      </c>
      <c r="L423" s="71">
        <f>SUM(L425:L435)</f>
        <v>0.36650196362033455</v>
      </c>
      <c r="M423" s="70">
        <f>SUM(C423,E423,G423,I423,K423)</f>
        <v>77994.125099999947</v>
      </c>
      <c r="N423" s="71">
        <f>SUM(N425:N435)</f>
        <v>7.3300392724066896E-2</v>
      </c>
      <c r="O423" s="151"/>
    </row>
    <row r="424" spans="1:15" ht="15" thickBot="1" x14ac:dyDescent="0.4">
      <c r="A424" t="s">
        <v>132</v>
      </c>
      <c r="B424" s="72" t="s">
        <v>168</v>
      </c>
      <c r="C424" s="73"/>
      <c r="D424" s="74">
        <f>(SUM(D425:D435)+C422)/C423</f>
        <v>2.3495485278565861E-5</v>
      </c>
      <c r="E424" s="73"/>
      <c r="F424" s="74">
        <f>(SUM(F425:F435)+E422)/E423</f>
        <v>2.3495485278565861E-5</v>
      </c>
      <c r="G424" s="73"/>
      <c r="H424" s="74">
        <f>(SUM(H425:H435)+G422)/G423</f>
        <v>2.3495485278565861E-5</v>
      </c>
      <c r="I424" s="73"/>
      <c r="J424" s="74">
        <f>(SUM(J425:J435)+I422)/I423</f>
        <v>2.3495485278565861E-5</v>
      </c>
      <c r="K424" s="73"/>
      <c r="L424" s="74">
        <f>(SUM(L425:L435)+K422)/K423</f>
        <v>2.3495485278565861E-5</v>
      </c>
      <c r="M424" s="73"/>
      <c r="N424" s="74">
        <f>(SUM(N425:N435)+M422)/M423</f>
        <v>9.398194111426342E-7</v>
      </c>
      <c r="O424" s="151"/>
    </row>
    <row r="425" spans="1:15" x14ac:dyDescent="0.35">
      <c r="A425" t="s">
        <v>132</v>
      </c>
      <c r="B425" s="75" t="s">
        <v>169</v>
      </c>
      <c r="C425" s="76">
        <v>800</v>
      </c>
      <c r="D425" s="77">
        <f>C425/C423</f>
        <v>5.1285914097650452E-2</v>
      </c>
      <c r="E425" s="78">
        <v>800</v>
      </c>
      <c r="F425" s="79">
        <f>E425/E423</f>
        <v>5.1285914097650452E-2</v>
      </c>
      <c r="G425" s="80">
        <v>800</v>
      </c>
      <c r="H425" s="81">
        <f>G425/G423</f>
        <v>5.1285914097650452E-2</v>
      </c>
      <c r="I425" s="82">
        <v>800</v>
      </c>
      <c r="J425" s="83">
        <f>I425/I423</f>
        <v>5.1285914097650452E-2</v>
      </c>
      <c r="K425" s="84">
        <v>800</v>
      </c>
      <c r="L425" s="85">
        <f>K425/K423</f>
        <v>5.1285914097650452E-2</v>
      </c>
      <c r="M425" s="86">
        <v>800</v>
      </c>
      <c r="N425" s="87">
        <f>M425/M423</f>
        <v>1.025718281953009E-2</v>
      </c>
      <c r="O425" s="151"/>
    </row>
    <row r="426" spans="1:15" x14ac:dyDescent="0.35">
      <c r="A426" t="s">
        <v>132</v>
      </c>
      <c r="B426" s="75" t="s">
        <v>170</v>
      </c>
      <c r="C426" s="88">
        <v>0</v>
      </c>
      <c r="D426" s="77">
        <f>C426/C423</f>
        <v>0</v>
      </c>
      <c r="E426" s="90">
        <v>0</v>
      </c>
      <c r="F426" s="79">
        <f>E426/E423</f>
        <v>0</v>
      </c>
      <c r="G426" s="91">
        <v>0</v>
      </c>
      <c r="H426" s="81">
        <f>G426/G423</f>
        <v>0</v>
      </c>
      <c r="I426" s="92">
        <v>0</v>
      </c>
      <c r="J426" s="83">
        <f>I426/I423</f>
        <v>0</v>
      </c>
      <c r="K426" s="93">
        <v>0</v>
      </c>
      <c r="L426" s="85">
        <f>K426/K423</f>
        <v>0</v>
      </c>
      <c r="M426" s="23">
        <v>0</v>
      </c>
      <c r="N426" s="87">
        <f>M426/M423</f>
        <v>0</v>
      </c>
      <c r="O426" s="151"/>
    </row>
    <row r="427" spans="1:15" x14ac:dyDescent="0.35">
      <c r="A427" t="s">
        <v>132</v>
      </c>
      <c r="B427" s="75" t="s">
        <v>171</v>
      </c>
      <c r="C427" s="88">
        <v>104</v>
      </c>
      <c r="D427" s="77">
        <f>C427/C423</f>
        <v>6.6671688326945585E-3</v>
      </c>
      <c r="E427" s="90">
        <v>104</v>
      </c>
      <c r="F427" s="79">
        <f>E427/E423</f>
        <v>6.6671688326945585E-3</v>
      </c>
      <c r="G427" s="91">
        <v>104</v>
      </c>
      <c r="H427" s="81">
        <f>G427/G423</f>
        <v>6.6671688326945585E-3</v>
      </c>
      <c r="I427" s="92">
        <v>104</v>
      </c>
      <c r="J427" s="83">
        <f>I427/I423</f>
        <v>6.6671688326945585E-3</v>
      </c>
      <c r="K427" s="93">
        <v>104</v>
      </c>
      <c r="L427" s="85">
        <f>K427/K423</f>
        <v>6.6671688326945585E-3</v>
      </c>
      <c r="M427" s="23">
        <v>104</v>
      </c>
      <c r="N427" s="87">
        <f>M427/M423</f>
        <v>1.3334337665389117E-3</v>
      </c>
      <c r="O427" s="151"/>
    </row>
    <row r="428" spans="1:15" x14ac:dyDescent="0.35">
      <c r="A428" t="s">
        <v>132</v>
      </c>
      <c r="B428" s="75" t="s">
        <v>172</v>
      </c>
      <c r="C428" s="88">
        <v>0</v>
      </c>
      <c r="D428" s="77">
        <f>C428/C423</f>
        <v>0</v>
      </c>
      <c r="E428" s="90">
        <v>0</v>
      </c>
      <c r="F428" s="79">
        <f>E428/E423</f>
        <v>0</v>
      </c>
      <c r="G428" s="91">
        <v>0</v>
      </c>
      <c r="H428" s="81">
        <f>G428/G423</f>
        <v>0</v>
      </c>
      <c r="I428" s="92">
        <v>0</v>
      </c>
      <c r="J428" s="83">
        <f>I428/I423</f>
        <v>0</v>
      </c>
      <c r="K428" s="93">
        <v>0</v>
      </c>
      <c r="L428" s="85">
        <f>K428/K423</f>
        <v>0</v>
      </c>
      <c r="M428" s="23">
        <v>0</v>
      </c>
      <c r="N428" s="87">
        <f>M428/M423</f>
        <v>0</v>
      </c>
      <c r="O428" s="151"/>
    </row>
    <row r="429" spans="1:15" x14ac:dyDescent="0.35">
      <c r="A429" t="s">
        <v>132</v>
      </c>
      <c r="B429" s="75" t="s">
        <v>173</v>
      </c>
      <c r="C429" s="94">
        <v>3619</v>
      </c>
      <c r="D429" s="77">
        <f>C429/C423</f>
        <v>0.23200465389924621</v>
      </c>
      <c r="E429" s="95">
        <v>3619</v>
      </c>
      <c r="F429" s="79">
        <f>E429/E423</f>
        <v>0.23200465389924621</v>
      </c>
      <c r="G429" s="96">
        <v>3619</v>
      </c>
      <c r="H429" s="81">
        <f>G429/G423</f>
        <v>0.23200465389924621</v>
      </c>
      <c r="I429" s="97">
        <v>3619</v>
      </c>
      <c r="J429" s="83">
        <f>I429/I423</f>
        <v>0.23200465389924621</v>
      </c>
      <c r="K429" s="98">
        <v>3619</v>
      </c>
      <c r="L429" s="85">
        <f>K429/K423</f>
        <v>0.23200465389924621</v>
      </c>
      <c r="M429" s="99">
        <v>3619</v>
      </c>
      <c r="N429" s="87">
        <f>M429/M423</f>
        <v>4.6400930779849241E-2</v>
      </c>
      <c r="O429" s="151"/>
    </row>
    <row r="430" spans="1:15" x14ac:dyDescent="0.35">
      <c r="A430" t="s">
        <v>132</v>
      </c>
      <c r="B430" s="75" t="s">
        <v>174</v>
      </c>
      <c r="C430" s="88">
        <v>956</v>
      </c>
      <c r="D430" s="77">
        <f>C430/C423</f>
        <v>6.1286667346692289E-2</v>
      </c>
      <c r="E430" s="90">
        <v>956</v>
      </c>
      <c r="F430" s="79">
        <f>E430/E423</f>
        <v>6.1286667346692289E-2</v>
      </c>
      <c r="G430" s="91">
        <v>956</v>
      </c>
      <c r="H430" s="81">
        <f>G430/G423</f>
        <v>6.1286667346692289E-2</v>
      </c>
      <c r="I430" s="92">
        <v>956</v>
      </c>
      <c r="J430" s="83">
        <f>I430/I423</f>
        <v>6.1286667346692289E-2</v>
      </c>
      <c r="K430" s="93">
        <v>956</v>
      </c>
      <c r="L430" s="85">
        <f>K430/K423</f>
        <v>6.1286667346692289E-2</v>
      </c>
      <c r="M430" s="23">
        <v>956</v>
      </c>
      <c r="N430" s="87">
        <f>M430/M423</f>
        <v>1.2257333469338457E-2</v>
      </c>
      <c r="O430" s="151"/>
    </row>
    <row r="431" spans="1:15" x14ac:dyDescent="0.35">
      <c r="A431" t="s">
        <v>132</v>
      </c>
      <c r="B431" s="75" t="s">
        <v>175</v>
      </c>
      <c r="C431" s="88">
        <v>0</v>
      </c>
      <c r="D431" s="77">
        <f>C431/C423</f>
        <v>0</v>
      </c>
      <c r="E431" s="90">
        <v>0</v>
      </c>
      <c r="F431" s="79">
        <f>E431/E423</f>
        <v>0</v>
      </c>
      <c r="G431" s="91">
        <v>0</v>
      </c>
      <c r="H431" s="81">
        <f>G431/G423</f>
        <v>0</v>
      </c>
      <c r="I431" s="92">
        <v>0</v>
      </c>
      <c r="J431" s="83">
        <f>I431/I423</f>
        <v>0</v>
      </c>
      <c r="K431" s="93">
        <v>0</v>
      </c>
      <c r="L431" s="85">
        <f>K431/K423</f>
        <v>0</v>
      </c>
      <c r="M431" s="23">
        <v>0</v>
      </c>
      <c r="N431" s="87">
        <f>M431/M423</f>
        <v>0</v>
      </c>
      <c r="O431" s="151"/>
    </row>
    <row r="432" spans="1:15" x14ac:dyDescent="0.35">
      <c r="A432" t="s">
        <v>132</v>
      </c>
      <c r="B432" s="75" t="s">
        <v>176</v>
      </c>
      <c r="C432" s="88">
        <v>238</v>
      </c>
      <c r="D432" s="77">
        <f>C432/C423</f>
        <v>1.5257559444051008E-2</v>
      </c>
      <c r="E432" s="90">
        <v>238</v>
      </c>
      <c r="F432" s="79">
        <f>E432/E423</f>
        <v>1.5257559444051008E-2</v>
      </c>
      <c r="G432" s="91">
        <v>238</v>
      </c>
      <c r="H432" s="81">
        <f>G432/G423</f>
        <v>1.5257559444051008E-2</v>
      </c>
      <c r="I432" s="92">
        <v>238</v>
      </c>
      <c r="J432" s="83">
        <f>I432/I423</f>
        <v>1.5257559444051008E-2</v>
      </c>
      <c r="K432" s="93">
        <v>238</v>
      </c>
      <c r="L432" s="85">
        <f>K432/K423</f>
        <v>1.5257559444051008E-2</v>
      </c>
      <c r="M432" s="23">
        <v>238</v>
      </c>
      <c r="N432" s="87">
        <f>M432/M423</f>
        <v>3.0515118888102019E-3</v>
      </c>
      <c r="O432" s="151"/>
    </row>
    <row r="433" spans="1:15" x14ac:dyDescent="0.35">
      <c r="A433" t="s">
        <v>132</v>
      </c>
      <c r="B433" s="75" t="s">
        <v>177</v>
      </c>
      <c r="C433" s="88">
        <v>0</v>
      </c>
      <c r="D433" s="77">
        <f>C433/C423</f>
        <v>0</v>
      </c>
      <c r="E433" s="90">
        <v>0</v>
      </c>
      <c r="F433" s="79">
        <f>E433/E423</f>
        <v>0</v>
      </c>
      <c r="G433" s="91">
        <v>0</v>
      </c>
      <c r="H433" s="81">
        <f>G433/G423</f>
        <v>0</v>
      </c>
      <c r="I433" s="92">
        <v>0</v>
      </c>
      <c r="J433" s="83">
        <f>I433/I423</f>
        <v>0</v>
      </c>
      <c r="K433" s="93">
        <v>0</v>
      </c>
      <c r="L433" s="85">
        <f>K433/K423</f>
        <v>0</v>
      </c>
      <c r="M433" s="23">
        <v>0</v>
      </c>
      <c r="N433" s="87">
        <f>M433/M423</f>
        <v>0</v>
      </c>
      <c r="O433" s="151"/>
    </row>
    <row r="434" spans="1:15" x14ac:dyDescent="0.35">
      <c r="A434" t="s">
        <v>132</v>
      </c>
      <c r="B434" s="75" t="s">
        <v>178</v>
      </c>
      <c r="C434" s="88">
        <v>0</v>
      </c>
      <c r="D434" s="77">
        <f>C434/C423</f>
        <v>0</v>
      </c>
      <c r="E434" s="90">
        <v>0</v>
      </c>
      <c r="F434" s="79">
        <f>E434/E423</f>
        <v>0</v>
      </c>
      <c r="G434" s="91">
        <v>0</v>
      </c>
      <c r="H434" s="81">
        <f>G434/G423</f>
        <v>0</v>
      </c>
      <c r="I434" s="92">
        <v>0</v>
      </c>
      <c r="J434" s="83">
        <f>I434/I423</f>
        <v>0</v>
      </c>
      <c r="K434" s="93">
        <v>0</v>
      </c>
      <c r="L434" s="85">
        <f>K434/K423</f>
        <v>0</v>
      </c>
      <c r="M434" s="23">
        <v>0</v>
      </c>
      <c r="N434" s="87">
        <f>M434/M423</f>
        <v>0</v>
      </c>
      <c r="O434" s="151"/>
    </row>
    <row r="435" spans="1:15" ht="15" thickBot="1" x14ac:dyDescent="0.4">
      <c r="A435" t="s">
        <v>132</v>
      </c>
      <c r="B435" s="100" t="s">
        <v>179</v>
      </c>
      <c r="C435" s="101">
        <v>0</v>
      </c>
      <c r="D435" s="113">
        <f t="shared" ref="D435" si="38">C435/$C$33</f>
        <v>0</v>
      </c>
      <c r="E435" s="103">
        <v>0</v>
      </c>
      <c r="F435" s="104">
        <f>E435/E423</f>
        <v>0</v>
      </c>
      <c r="G435" s="105">
        <v>0</v>
      </c>
      <c r="H435" s="106">
        <f>G435/G423</f>
        <v>0</v>
      </c>
      <c r="I435" s="107">
        <v>0</v>
      </c>
      <c r="J435" s="108">
        <f>I435/I423</f>
        <v>0</v>
      </c>
      <c r="K435" s="109">
        <v>0</v>
      </c>
      <c r="L435" s="110">
        <f>K435/K423</f>
        <v>0</v>
      </c>
      <c r="M435" s="25">
        <v>0</v>
      </c>
      <c r="N435" s="111">
        <f>M435/M423</f>
        <v>0</v>
      </c>
      <c r="O435" s="151"/>
    </row>
    <row r="436" spans="1:15" ht="15" thickBot="1" x14ac:dyDescent="0.4">
      <c r="D436" s="26"/>
      <c r="F436" s="26"/>
      <c r="H436" s="26"/>
      <c r="J436" s="26"/>
      <c r="L436" s="26"/>
      <c r="N436" s="26"/>
    </row>
    <row r="437" spans="1:15" ht="15" thickBot="1" x14ac:dyDescent="0.4">
      <c r="A437" t="s">
        <v>134</v>
      </c>
      <c r="B437" s="65" t="s">
        <v>166</v>
      </c>
      <c r="C437" s="66">
        <v>0</v>
      </c>
      <c r="D437" s="67"/>
      <c r="E437" s="66">
        <v>0</v>
      </c>
      <c r="F437" s="67"/>
      <c r="G437" s="66">
        <v>0</v>
      </c>
      <c r="H437" s="67"/>
      <c r="I437" s="66">
        <v>0</v>
      </c>
      <c r="J437" s="67"/>
      <c r="K437" s="66">
        <v>0</v>
      </c>
      <c r="L437" s="67"/>
      <c r="M437" s="68">
        <f>SUM(C437,E437,G437,I437,K437)</f>
        <v>0</v>
      </c>
      <c r="N437" s="67"/>
      <c r="O437" s="150" t="s">
        <v>135</v>
      </c>
    </row>
    <row r="438" spans="1:15" ht="15" thickBot="1" x14ac:dyDescent="0.4">
      <c r="A438" t="s">
        <v>134</v>
      </c>
      <c r="B438" s="69" t="s">
        <v>167</v>
      </c>
      <c r="C438" s="70">
        <v>15598.825019999989</v>
      </c>
      <c r="D438" s="71">
        <f>SUM(D440:D450)</f>
        <v>0.36650196362033455</v>
      </c>
      <c r="E438" s="70">
        <v>15598.825019999989</v>
      </c>
      <c r="F438" s="71">
        <f>SUM(F440:F450)</f>
        <v>0.36650196362033455</v>
      </c>
      <c r="G438" s="70">
        <v>15598.825019999989</v>
      </c>
      <c r="H438" s="71">
        <f>SUM(H440:H450)</f>
        <v>0.36650196362033455</v>
      </c>
      <c r="I438" s="70">
        <v>15598.825019999989</v>
      </c>
      <c r="J438" s="71">
        <f>SUM(J440:J450)</f>
        <v>0.36650196362033455</v>
      </c>
      <c r="K438" s="70">
        <v>15598.825019999989</v>
      </c>
      <c r="L438" s="71">
        <f>SUM(L440:L450)</f>
        <v>0.36650196362033455</v>
      </c>
      <c r="M438" s="70">
        <f>SUM(C438,E438,G438,I438,K438)</f>
        <v>77994.125099999947</v>
      </c>
      <c r="N438" s="71">
        <f>SUM(N440:N450)</f>
        <v>7.3300392724066896E-2</v>
      </c>
      <c r="O438" s="151"/>
    </row>
    <row r="439" spans="1:15" ht="15" thickBot="1" x14ac:dyDescent="0.4">
      <c r="A439" t="s">
        <v>134</v>
      </c>
      <c r="B439" s="72" t="s">
        <v>168</v>
      </c>
      <c r="C439" s="73"/>
      <c r="D439" s="74">
        <f>(SUM(D440:D450)+C437)/C438</f>
        <v>2.3495485278565861E-5</v>
      </c>
      <c r="E439" s="73"/>
      <c r="F439" s="74">
        <f>(SUM(F440:F450)+E437)/E438</f>
        <v>2.3495485278565861E-5</v>
      </c>
      <c r="G439" s="73"/>
      <c r="H439" s="74">
        <f>(SUM(H440:H450)+G437)/G438</f>
        <v>2.3495485278565861E-5</v>
      </c>
      <c r="I439" s="73"/>
      <c r="J439" s="74">
        <f>(SUM(J440:J450)+I437)/I438</f>
        <v>2.3495485278565861E-5</v>
      </c>
      <c r="K439" s="73"/>
      <c r="L439" s="74">
        <f>(SUM(L440:L450)+K437)/K438</f>
        <v>2.3495485278565861E-5</v>
      </c>
      <c r="M439" s="73"/>
      <c r="N439" s="74">
        <f>(SUM(N440:N450)+M437)/M438</f>
        <v>9.398194111426342E-7</v>
      </c>
      <c r="O439" s="151"/>
    </row>
    <row r="440" spans="1:15" x14ac:dyDescent="0.35">
      <c r="A440" t="s">
        <v>134</v>
      </c>
      <c r="B440" s="75" t="s">
        <v>169</v>
      </c>
      <c r="C440" s="76">
        <v>800</v>
      </c>
      <c r="D440" s="77">
        <f>C440/C438</f>
        <v>5.1285914097650452E-2</v>
      </c>
      <c r="E440" s="78">
        <v>800</v>
      </c>
      <c r="F440" s="79">
        <f>E440/E438</f>
        <v>5.1285914097650452E-2</v>
      </c>
      <c r="G440" s="80">
        <v>800</v>
      </c>
      <c r="H440" s="81">
        <f>G440/G438</f>
        <v>5.1285914097650452E-2</v>
      </c>
      <c r="I440" s="82">
        <v>800</v>
      </c>
      <c r="J440" s="83">
        <f>I440/I438</f>
        <v>5.1285914097650452E-2</v>
      </c>
      <c r="K440" s="84">
        <v>800</v>
      </c>
      <c r="L440" s="85">
        <f>K440/K438</f>
        <v>5.1285914097650452E-2</v>
      </c>
      <c r="M440" s="86">
        <v>800</v>
      </c>
      <c r="N440" s="87">
        <f>M440/M438</f>
        <v>1.025718281953009E-2</v>
      </c>
      <c r="O440" s="151"/>
    </row>
    <row r="441" spans="1:15" x14ac:dyDescent="0.35">
      <c r="A441" t="s">
        <v>134</v>
      </c>
      <c r="B441" s="75" t="s">
        <v>170</v>
      </c>
      <c r="C441" s="88">
        <v>0</v>
      </c>
      <c r="D441" s="77">
        <f>C441/C438</f>
        <v>0</v>
      </c>
      <c r="E441" s="90">
        <v>0</v>
      </c>
      <c r="F441" s="79">
        <f>E441/E438</f>
        <v>0</v>
      </c>
      <c r="G441" s="91">
        <v>0</v>
      </c>
      <c r="H441" s="81">
        <f>G441/G438</f>
        <v>0</v>
      </c>
      <c r="I441" s="92">
        <v>0</v>
      </c>
      <c r="J441" s="83">
        <f>I441/I438</f>
        <v>0</v>
      </c>
      <c r="K441" s="93">
        <v>0</v>
      </c>
      <c r="L441" s="85">
        <f>K441/K438</f>
        <v>0</v>
      </c>
      <c r="M441" s="23">
        <v>0</v>
      </c>
      <c r="N441" s="87">
        <f>M441/M438</f>
        <v>0</v>
      </c>
      <c r="O441" s="151"/>
    </row>
    <row r="442" spans="1:15" x14ac:dyDescent="0.35">
      <c r="A442" t="s">
        <v>134</v>
      </c>
      <c r="B442" s="75" t="s">
        <v>171</v>
      </c>
      <c r="C442" s="88">
        <v>104</v>
      </c>
      <c r="D442" s="77">
        <f>C442/C438</f>
        <v>6.6671688326945585E-3</v>
      </c>
      <c r="E442" s="90">
        <v>104</v>
      </c>
      <c r="F442" s="79">
        <f>E442/E438</f>
        <v>6.6671688326945585E-3</v>
      </c>
      <c r="G442" s="91">
        <v>104</v>
      </c>
      <c r="H442" s="81">
        <f>G442/G438</f>
        <v>6.6671688326945585E-3</v>
      </c>
      <c r="I442" s="92">
        <v>104</v>
      </c>
      <c r="J442" s="83">
        <f>I442/I438</f>
        <v>6.6671688326945585E-3</v>
      </c>
      <c r="K442" s="93">
        <v>104</v>
      </c>
      <c r="L442" s="85">
        <f>K442/K438</f>
        <v>6.6671688326945585E-3</v>
      </c>
      <c r="M442" s="23">
        <v>104</v>
      </c>
      <c r="N442" s="87">
        <f>M442/M438</f>
        <v>1.3334337665389117E-3</v>
      </c>
      <c r="O442" s="151"/>
    </row>
    <row r="443" spans="1:15" x14ac:dyDescent="0.35">
      <c r="A443" t="s">
        <v>134</v>
      </c>
      <c r="B443" s="75" t="s">
        <v>172</v>
      </c>
      <c r="C443" s="88">
        <v>0</v>
      </c>
      <c r="D443" s="77">
        <f>C443/C438</f>
        <v>0</v>
      </c>
      <c r="E443" s="90">
        <v>0</v>
      </c>
      <c r="F443" s="79">
        <f>E443/E438</f>
        <v>0</v>
      </c>
      <c r="G443" s="91">
        <v>0</v>
      </c>
      <c r="H443" s="81">
        <f>G443/G438</f>
        <v>0</v>
      </c>
      <c r="I443" s="92">
        <v>0</v>
      </c>
      <c r="J443" s="83">
        <f>I443/I438</f>
        <v>0</v>
      </c>
      <c r="K443" s="93">
        <v>0</v>
      </c>
      <c r="L443" s="85">
        <f>K443/K438</f>
        <v>0</v>
      </c>
      <c r="M443" s="23">
        <v>0</v>
      </c>
      <c r="N443" s="87">
        <f>M443/M438</f>
        <v>0</v>
      </c>
      <c r="O443" s="151"/>
    </row>
    <row r="444" spans="1:15" x14ac:dyDescent="0.35">
      <c r="A444" t="s">
        <v>134</v>
      </c>
      <c r="B444" s="75" t="s">
        <v>173</v>
      </c>
      <c r="C444" s="94">
        <v>3619</v>
      </c>
      <c r="D444" s="77">
        <f>C444/C438</f>
        <v>0.23200465389924621</v>
      </c>
      <c r="E444" s="95">
        <v>3619</v>
      </c>
      <c r="F444" s="79">
        <f>E444/E438</f>
        <v>0.23200465389924621</v>
      </c>
      <c r="G444" s="96">
        <v>3619</v>
      </c>
      <c r="H444" s="81">
        <f>G444/G438</f>
        <v>0.23200465389924621</v>
      </c>
      <c r="I444" s="97">
        <v>3619</v>
      </c>
      <c r="J444" s="83">
        <f>I444/I438</f>
        <v>0.23200465389924621</v>
      </c>
      <c r="K444" s="98">
        <v>3619</v>
      </c>
      <c r="L444" s="85">
        <f>K444/K438</f>
        <v>0.23200465389924621</v>
      </c>
      <c r="M444" s="99">
        <v>3619</v>
      </c>
      <c r="N444" s="87">
        <f>M444/M438</f>
        <v>4.6400930779849241E-2</v>
      </c>
      <c r="O444" s="151"/>
    </row>
    <row r="445" spans="1:15" x14ac:dyDescent="0.35">
      <c r="A445" t="s">
        <v>134</v>
      </c>
      <c r="B445" s="75" t="s">
        <v>174</v>
      </c>
      <c r="C445" s="88">
        <v>956</v>
      </c>
      <c r="D445" s="77">
        <f>C445/C438</f>
        <v>6.1286667346692289E-2</v>
      </c>
      <c r="E445" s="90">
        <v>956</v>
      </c>
      <c r="F445" s="79">
        <f>E445/E438</f>
        <v>6.1286667346692289E-2</v>
      </c>
      <c r="G445" s="91">
        <v>956</v>
      </c>
      <c r="H445" s="81">
        <f>G445/G438</f>
        <v>6.1286667346692289E-2</v>
      </c>
      <c r="I445" s="92">
        <v>956</v>
      </c>
      <c r="J445" s="83">
        <f>I445/I438</f>
        <v>6.1286667346692289E-2</v>
      </c>
      <c r="K445" s="93">
        <v>956</v>
      </c>
      <c r="L445" s="85">
        <f>K445/K438</f>
        <v>6.1286667346692289E-2</v>
      </c>
      <c r="M445" s="23">
        <v>956</v>
      </c>
      <c r="N445" s="87">
        <f>M445/M438</f>
        <v>1.2257333469338457E-2</v>
      </c>
      <c r="O445" s="151"/>
    </row>
    <row r="446" spans="1:15" x14ac:dyDescent="0.35">
      <c r="A446" t="s">
        <v>134</v>
      </c>
      <c r="B446" s="75" t="s">
        <v>175</v>
      </c>
      <c r="C446" s="88">
        <v>0</v>
      </c>
      <c r="D446" s="77">
        <f>C446/C438</f>
        <v>0</v>
      </c>
      <c r="E446" s="90">
        <v>0</v>
      </c>
      <c r="F446" s="79">
        <f>E446/E438</f>
        <v>0</v>
      </c>
      <c r="G446" s="91">
        <v>0</v>
      </c>
      <c r="H446" s="81">
        <f>G446/G438</f>
        <v>0</v>
      </c>
      <c r="I446" s="92">
        <v>0</v>
      </c>
      <c r="J446" s="83">
        <f>I446/I438</f>
        <v>0</v>
      </c>
      <c r="K446" s="93">
        <v>0</v>
      </c>
      <c r="L446" s="85">
        <f>K446/K438</f>
        <v>0</v>
      </c>
      <c r="M446" s="23">
        <v>0</v>
      </c>
      <c r="N446" s="87">
        <f>M446/M438</f>
        <v>0</v>
      </c>
      <c r="O446" s="151"/>
    </row>
    <row r="447" spans="1:15" x14ac:dyDescent="0.35">
      <c r="A447" t="s">
        <v>134</v>
      </c>
      <c r="B447" s="75" t="s">
        <v>176</v>
      </c>
      <c r="C447" s="88">
        <v>238</v>
      </c>
      <c r="D447" s="77">
        <f>C447/C438</f>
        <v>1.5257559444051008E-2</v>
      </c>
      <c r="E447" s="90">
        <v>238</v>
      </c>
      <c r="F447" s="79">
        <f>E447/E438</f>
        <v>1.5257559444051008E-2</v>
      </c>
      <c r="G447" s="91">
        <v>238</v>
      </c>
      <c r="H447" s="81">
        <f>G447/G438</f>
        <v>1.5257559444051008E-2</v>
      </c>
      <c r="I447" s="92">
        <v>238</v>
      </c>
      <c r="J447" s="83">
        <f>I447/I438</f>
        <v>1.5257559444051008E-2</v>
      </c>
      <c r="K447" s="93">
        <v>238</v>
      </c>
      <c r="L447" s="85">
        <f>K447/K438</f>
        <v>1.5257559444051008E-2</v>
      </c>
      <c r="M447" s="23">
        <v>238</v>
      </c>
      <c r="N447" s="87">
        <f>M447/M438</f>
        <v>3.0515118888102019E-3</v>
      </c>
      <c r="O447" s="151"/>
    </row>
    <row r="448" spans="1:15" x14ac:dyDescent="0.35">
      <c r="A448" t="s">
        <v>134</v>
      </c>
      <c r="B448" s="75" t="s">
        <v>177</v>
      </c>
      <c r="C448" s="88">
        <v>0</v>
      </c>
      <c r="D448" s="77">
        <f>C448/C438</f>
        <v>0</v>
      </c>
      <c r="E448" s="90">
        <v>0</v>
      </c>
      <c r="F448" s="79">
        <f>E448/E438</f>
        <v>0</v>
      </c>
      <c r="G448" s="91">
        <v>0</v>
      </c>
      <c r="H448" s="81">
        <f>G448/G438</f>
        <v>0</v>
      </c>
      <c r="I448" s="92">
        <v>0</v>
      </c>
      <c r="J448" s="83">
        <f>I448/I438</f>
        <v>0</v>
      </c>
      <c r="K448" s="93">
        <v>0</v>
      </c>
      <c r="L448" s="85">
        <f>K448/K438</f>
        <v>0</v>
      </c>
      <c r="M448" s="23">
        <v>0</v>
      </c>
      <c r="N448" s="87">
        <f>M448/M438</f>
        <v>0</v>
      </c>
      <c r="O448" s="151"/>
    </row>
    <row r="449" spans="1:15" x14ac:dyDescent="0.35">
      <c r="A449" t="s">
        <v>134</v>
      </c>
      <c r="B449" s="75" t="s">
        <v>178</v>
      </c>
      <c r="C449" s="88">
        <v>0</v>
      </c>
      <c r="D449" s="77">
        <f>C449/C438</f>
        <v>0</v>
      </c>
      <c r="E449" s="90">
        <v>0</v>
      </c>
      <c r="F449" s="79">
        <f>E449/E438</f>
        <v>0</v>
      </c>
      <c r="G449" s="91">
        <v>0</v>
      </c>
      <c r="H449" s="81">
        <f>G449/G438</f>
        <v>0</v>
      </c>
      <c r="I449" s="92">
        <v>0</v>
      </c>
      <c r="J449" s="83">
        <f>I449/I438</f>
        <v>0</v>
      </c>
      <c r="K449" s="93">
        <v>0</v>
      </c>
      <c r="L449" s="85">
        <f>K449/K438</f>
        <v>0</v>
      </c>
      <c r="M449" s="23">
        <v>0</v>
      </c>
      <c r="N449" s="87">
        <f>M449/M438</f>
        <v>0</v>
      </c>
      <c r="O449" s="151"/>
    </row>
    <row r="450" spans="1:15" ht="15" thickBot="1" x14ac:dyDescent="0.4">
      <c r="A450" t="s">
        <v>134</v>
      </c>
      <c r="B450" s="100" t="s">
        <v>179</v>
      </c>
      <c r="C450" s="101">
        <v>0</v>
      </c>
      <c r="D450" s="113">
        <f t="shared" ref="D450" si="39">C450/$C$33</f>
        <v>0</v>
      </c>
      <c r="E450" s="103">
        <v>0</v>
      </c>
      <c r="F450" s="104">
        <f>E450/E438</f>
        <v>0</v>
      </c>
      <c r="G450" s="105">
        <v>0</v>
      </c>
      <c r="H450" s="106">
        <f>G450/G438</f>
        <v>0</v>
      </c>
      <c r="I450" s="107">
        <v>0</v>
      </c>
      <c r="J450" s="108">
        <f>I450/I438</f>
        <v>0</v>
      </c>
      <c r="K450" s="109">
        <v>0</v>
      </c>
      <c r="L450" s="110">
        <f>K450/K438</f>
        <v>0</v>
      </c>
      <c r="M450" s="25">
        <v>0</v>
      </c>
      <c r="N450" s="111">
        <f>M450/M438</f>
        <v>0</v>
      </c>
      <c r="O450" s="151"/>
    </row>
    <row r="451" spans="1:15" ht="15" thickBot="1" x14ac:dyDescent="0.4">
      <c r="D451" s="26"/>
      <c r="F451" s="26"/>
      <c r="H451" s="26"/>
      <c r="J451" s="26"/>
      <c r="L451" s="26"/>
      <c r="N451" s="26"/>
    </row>
    <row r="452" spans="1:15" ht="15" thickBot="1" x14ac:dyDescent="0.4">
      <c r="A452" t="s">
        <v>136</v>
      </c>
      <c r="B452" s="65" t="s">
        <v>166</v>
      </c>
      <c r="C452" s="66">
        <v>0</v>
      </c>
      <c r="D452" s="67"/>
      <c r="E452" s="66">
        <v>0</v>
      </c>
      <c r="F452" s="67"/>
      <c r="G452" s="66">
        <v>0</v>
      </c>
      <c r="H452" s="67"/>
      <c r="I452" s="66">
        <v>0</v>
      </c>
      <c r="J452" s="67"/>
      <c r="K452" s="66">
        <v>0</v>
      </c>
      <c r="L452" s="67"/>
      <c r="M452" s="68">
        <f>SUM(C452,E452,G452,I452,K452)</f>
        <v>0</v>
      </c>
      <c r="N452" s="67"/>
      <c r="O452" s="150" t="s">
        <v>137</v>
      </c>
    </row>
    <row r="453" spans="1:15" ht="15" thickBot="1" x14ac:dyDescent="0.4">
      <c r="A453" t="s">
        <v>136</v>
      </c>
      <c r="B453" s="69" t="s">
        <v>167</v>
      </c>
      <c r="C453" s="70">
        <v>15598.825019999989</v>
      </c>
      <c r="D453" s="71">
        <f>SUM(D455:D465)</f>
        <v>0.36650196362033455</v>
      </c>
      <c r="E453" s="70">
        <v>15598.825019999989</v>
      </c>
      <c r="F453" s="71">
        <f>SUM(F455:F465)</f>
        <v>0.36650196362033455</v>
      </c>
      <c r="G453" s="70">
        <v>15598.825019999989</v>
      </c>
      <c r="H453" s="71">
        <f>SUM(H455:H465)</f>
        <v>0.36650196362033455</v>
      </c>
      <c r="I453" s="70">
        <v>15598.825019999989</v>
      </c>
      <c r="J453" s="71">
        <f>SUM(J455:J465)</f>
        <v>0.36650196362033455</v>
      </c>
      <c r="K453" s="70">
        <v>15598.825019999989</v>
      </c>
      <c r="L453" s="71">
        <f>SUM(L455:L465)</f>
        <v>0.36650196362033455</v>
      </c>
      <c r="M453" s="70">
        <f>SUM(C453,E453,G453,I453,K453)</f>
        <v>77994.125099999947</v>
      </c>
      <c r="N453" s="71">
        <f>SUM(N455:N465)</f>
        <v>7.3300392724066896E-2</v>
      </c>
      <c r="O453" s="151"/>
    </row>
    <row r="454" spans="1:15" ht="15" thickBot="1" x14ac:dyDescent="0.4">
      <c r="A454" t="s">
        <v>136</v>
      </c>
      <c r="B454" s="72" t="s">
        <v>168</v>
      </c>
      <c r="C454" s="73"/>
      <c r="D454" s="74">
        <f>(SUM(D455:D465)+C452)/C453</f>
        <v>2.3495485278565861E-5</v>
      </c>
      <c r="E454" s="73"/>
      <c r="F454" s="74">
        <f>(SUM(F455:F465)+E452)/E453</f>
        <v>2.3495485278565861E-5</v>
      </c>
      <c r="G454" s="73"/>
      <c r="H454" s="74">
        <f>(SUM(H455:H465)+G452)/G453</f>
        <v>2.3495485278565861E-5</v>
      </c>
      <c r="I454" s="73"/>
      <c r="J454" s="74">
        <f>(SUM(J455:J465)+I452)/I453</f>
        <v>2.3495485278565861E-5</v>
      </c>
      <c r="K454" s="73"/>
      <c r="L454" s="74">
        <f>(SUM(L455:L465)+K452)/K453</f>
        <v>2.3495485278565861E-5</v>
      </c>
      <c r="M454" s="73"/>
      <c r="N454" s="74">
        <f>(SUM(N455:N465)+M452)/M453</f>
        <v>9.398194111426342E-7</v>
      </c>
      <c r="O454" s="151"/>
    </row>
    <row r="455" spans="1:15" x14ac:dyDescent="0.35">
      <c r="A455" t="s">
        <v>136</v>
      </c>
      <c r="B455" s="75" t="s">
        <v>169</v>
      </c>
      <c r="C455" s="76">
        <v>800</v>
      </c>
      <c r="D455" s="77">
        <f>C455/C453</f>
        <v>5.1285914097650452E-2</v>
      </c>
      <c r="E455" s="78">
        <v>800</v>
      </c>
      <c r="F455" s="79">
        <f>E455/E453</f>
        <v>5.1285914097650452E-2</v>
      </c>
      <c r="G455" s="80">
        <v>800</v>
      </c>
      <c r="H455" s="81">
        <f>G455/G453</f>
        <v>5.1285914097650452E-2</v>
      </c>
      <c r="I455" s="82">
        <v>800</v>
      </c>
      <c r="J455" s="83">
        <f>I455/I453</f>
        <v>5.1285914097650452E-2</v>
      </c>
      <c r="K455" s="84">
        <v>800</v>
      </c>
      <c r="L455" s="85">
        <f>K455/K453</f>
        <v>5.1285914097650452E-2</v>
      </c>
      <c r="M455" s="86">
        <v>800</v>
      </c>
      <c r="N455" s="87">
        <f>M455/M453</f>
        <v>1.025718281953009E-2</v>
      </c>
      <c r="O455" s="151"/>
    </row>
    <row r="456" spans="1:15" x14ac:dyDescent="0.35">
      <c r="A456" t="s">
        <v>136</v>
      </c>
      <c r="B456" s="75" t="s">
        <v>170</v>
      </c>
      <c r="C456" s="88">
        <v>0</v>
      </c>
      <c r="D456" s="77">
        <f>C456/C453</f>
        <v>0</v>
      </c>
      <c r="E456" s="90">
        <v>0</v>
      </c>
      <c r="F456" s="79">
        <f>E456/E453</f>
        <v>0</v>
      </c>
      <c r="G456" s="91">
        <v>0</v>
      </c>
      <c r="H456" s="81">
        <f>G456/G453</f>
        <v>0</v>
      </c>
      <c r="I456" s="92">
        <v>0</v>
      </c>
      <c r="J456" s="83">
        <f>I456/I453</f>
        <v>0</v>
      </c>
      <c r="K456" s="93">
        <v>0</v>
      </c>
      <c r="L456" s="85">
        <f>K456/K453</f>
        <v>0</v>
      </c>
      <c r="M456" s="23">
        <v>0</v>
      </c>
      <c r="N456" s="87">
        <f>M456/M453</f>
        <v>0</v>
      </c>
      <c r="O456" s="151"/>
    </row>
    <row r="457" spans="1:15" x14ac:dyDescent="0.35">
      <c r="A457" t="s">
        <v>136</v>
      </c>
      <c r="B457" s="75" t="s">
        <v>171</v>
      </c>
      <c r="C457" s="88">
        <v>104</v>
      </c>
      <c r="D457" s="77">
        <f>C457/C453</f>
        <v>6.6671688326945585E-3</v>
      </c>
      <c r="E457" s="90">
        <v>104</v>
      </c>
      <c r="F457" s="79">
        <f>E457/E453</f>
        <v>6.6671688326945585E-3</v>
      </c>
      <c r="G457" s="91">
        <v>104</v>
      </c>
      <c r="H457" s="81">
        <f>G457/G453</f>
        <v>6.6671688326945585E-3</v>
      </c>
      <c r="I457" s="92">
        <v>104</v>
      </c>
      <c r="J457" s="83">
        <f>I457/I453</f>
        <v>6.6671688326945585E-3</v>
      </c>
      <c r="K457" s="93">
        <v>104</v>
      </c>
      <c r="L457" s="85">
        <f>K457/K453</f>
        <v>6.6671688326945585E-3</v>
      </c>
      <c r="M457" s="23">
        <v>104</v>
      </c>
      <c r="N457" s="87">
        <f>M457/M453</f>
        <v>1.3334337665389117E-3</v>
      </c>
      <c r="O457" s="151"/>
    </row>
    <row r="458" spans="1:15" x14ac:dyDescent="0.35">
      <c r="A458" t="s">
        <v>136</v>
      </c>
      <c r="B458" s="75" t="s">
        <v>172</v>
      </c>
      <c r="C458" s="88">
        <v>0</v>
      </c>
      <c r="D458" s="77">
        <f>C458/C453</f>
        <v>0</v>
      </c>
      <c r="E458" s="90">
        <v>0</v>
      </c>
      <c r="F458" s="79">
        <f>E458/E453</f>
        <v>0</v>
      </c>
      <c r="G458" s="91">
        <v>0</v>
      </c>
      <c r="H458" s="81">
        <f>G458/G453</f>
        <v>0</v>
      </c>
      <c r="I458" s="92">
        <v>0</v>
      </c>
      <c r="J458" s="83">
        <f>I458/I453</f>
        <v>0</v>
      </c>
      <c r="K458" s="93">
        <v>0</v>
      </c>
      <c r="L458" s="85">
        <f>K458/K453</f>
        <v>0</v>
      </c>
      <c r="M458" s="23">
        <v>0</v>
      </c>
      <c r="N458" s="87">
        <f>M458/M453</f>
        <v>0</v>
      </c>
      <c r="O458" s="151"/>
    </row>
    <row r="459" spans="1:15" x14ac:dyDescent="0.35">
      <c r="A459" t="s">
        <v>136</v>
      </c>
      <c r="B459" s="75" t="s">
        <v>173</v>
      </c>
      <c r="C459" s="94">
        <v>3619</v>
      </c>
      <c r="D459" s="77">
        <f>C459/C453</f>
        <v>0.23200465389924621</v>
      </c>
      <c r="E459" s="95">
        <v>3619</v>
      </c>
      <c r="F459" s="79">
        <f>E459/E453</f>
        <v>0.23200465389924621</v>
      </c>
      <c r="G459" s="96">
        <v>3619</v>
      </c>
      <c r="H459" s="81">
        <f>G459/G453</f>
        <v>0.23200465389924621</v>
      </c>
      <c r="I459" s="97">
        <v>3619</v>
      </c>
      <c r="J459" s="83">
        <f>I459/I453</f>
        <v>0.23200465389924621</v>
      </c>
      <c r="K459" s="98">
        <v>3619</v>
      </c>
      <c r="L459" s="85">
        <f>K459/K453</f>
        <v>0.23200465389924621</v>
      </c>
      <c r="M459" s="99">
        <v>3619</v>
      </c>
      <c r="N459" s="87">
        <f>M459/M453</f>
        <v>4.6400930779849241E-2</v>
      </c>
      <c r="O459" s="151"/>
    </row>
    <row r="460" spans="1:15" x14ac:dyDescent="0.35">
      <c r="A460" t="s">
        <v>136</v>
      </c>
      <c r="B460" s="75" t="s">
        <v>174</v>
      </c>
      <c r="C460" s="88">
        <v>956</v>
      </c>
      <c r="D460" s="77">
        <f>C460/C453</f>
        <v>6.1286667346692289E-2</v>
      </c>
      <c r="E460" s="90">
        <v>956</v>
      </c>
      <c r="F460" s="79">
        <f>E460/E453</f>
        <v>6.1286667346692289E-2</v>
      </c>
      <c r="G460" s="91">
        <v>956</v>
      </c>
      <c r="H460" s="81">
        <f>G460/G453</f>
        <v>6.1286667346692289E-2</v>
      </c>
      <c r="I460" s="92">
        <v>956</v>
      </c>
      <c r="J460" s="83">
        <f>I460/I453</f>
        <v>6.1286667346692289E-2</v>
      </c>
      <c r="K460" s="93">
        <v>956</v>
      </c>
      <c r="L460" s="85">
        <f>K460/K453</f>
        <v>6.1286667346692289E-2</v>
      </c>
      <c r="M460" s="23">
        <v>956</v>
      </c>
      <c r="N460" s="87">
        <f>M460/M453</f>
        <v>1.2257333469338457E-2</v>
      </c>
      <c r="O460" s="151"/>
    </row>
    <row r="461" spans="1:15" x14ac:dyDescent="0.35">
      <c r="A461" t="s">
        <v>136</v>
      </c>
      <c r="B461" s="75" t="s">
        <v>175</v>
      </c>
      <c r="C461" s="88">
        <v>0</v>
      </c>
      <c r="D461" s="77">
        <f>C461/C453</f>
        <v>0</v>
      </c>
      <c r="E461" s="90">
        <v>0</v>
      </c>
      <c r="F461" s="79">
        <f>E461/E453</f>
        <v>0</v>
      </c>
      <c r="G461" s="91">
        <v>0</v>
      </c>
      <c r="H461" s="81">
        <f>G461/G453</f>
        <v>0</v>
      </c>
      <c r="I461" s="92">
        <v>0</v>
      </c>
      <c r="J461" s="83">
        <f>I461/I453</f>
        <v>0</v>
      </c>
      <c r="K461" s="93">
        <v>0</v>
      </c>
      <c r="L461" s="85">
        <f>K461/K453</f>
        <v>0</v>
      </c>
      <c r="M461" s="23">
        <v>0</v>
      </c>
      <c r="N461" s="87">
        <f>M461/M453</f>
        <v>0</v>
      </c>
      <c r="O461" s="151"/>
    </row>
    <row r="462" spans="1:15" x14ac:dyDescent="0.35">
      <c r="A462" t="s">
        <v>136</v>
      </c>
      <c r="B462" s="75" t="s">
        <v>176</v>
      </c>
      <c r="C462" s="88">
        <v>238</v>
      </c>
      <c r="D462" s="77">
        <f>C462/C453</f>
        <v>1.5257559444051008E-2</v>
      </c>
      <c r="E462" s="90">
        <v>238</v>
      </c>
      <c r="F462" s="79">
        <f>E462/E453</f>
        <v>1.5257559444051008E-2</v>
      </c>
      <c r="G462" s="91">
        <v>238</v>
      </c>
      <c r="H462" s="81">
        <f>G462/G453</f>
        <v>1.5257559444051008E-2</v>
      </c>
      <c r="I462" s="92">
        <v>238</v>
      </c>
      <c r="J462" s="83">
        <f>I462/I453</f>
        <v>1.5257559444051008E-2</v>
      </c>
      <c r="K462" s="93">
        <v>238</v>
      </c>
      <c r="L462" s="85">
        <f>K462/K453</f>
        <v>1.5257559444051008E-2</v>
      </c>
      <c r="M462" s="23">
        <v>238</v>
      </c>
      <c r="N462" s="87">
        <f>M462/M453</f>
        <v>3.0515118888102019E-3</v>
      </c>
      <c r="O462" s="151"/>
    </row>
    <row r="463" spans="1:15" x14ac:dyDescent="0.35">
      <c r="A463" t="s">
        <v>136</v>
      </c>
      <c r="B463" s="75" t="s">
        <v>177</v>
      </c>
      <c r="C463" s="88">
        <v>0</v>
      </c>
      <c r="D463" s="77">
        <f>C463/C453</f>
        <v>0</v>
      </c>
      <c r="E463" s="90">
        <v>0</v>
      </c>
      <c r="F463" s="79">
        <f>E463/E453</f>
        <v>0</v>
      </c>
      <c r="G463" s="91">
        <v>0</v>
      </c>
      <c r="H463" s="81">
        <f>G463/G453</f>
        <v>0</v>
      </c>
      <c r="I463" s="92">
        <v>0</v>
      </c>
      <c r="J463" s="83">
        <f>I463/I453</f>
        <v>0</v>
      </c>
      <c r="K463" s="93">
        <v>0</v>
      </c>
      <c r="L463" s="85">
        <f>K463/K453</f>
        <v>0</v>
      </c>
      <c r="M463" s="23">
        <v>0</v>
      </c>
      <c r="N463" s="87">
        <f>M463/M453</f>
        <v>0</v>
      </c>
      <c r="O463" s="151"/>
    </row>
    <row r="464" spans="1:15" x14ac:dyDescent="0.35">
      <c r="A464" t="s">
        <v>136</v>
      </c>
      <c r="B464" s="75" t="s">
        <v>178</v>
      </c>
      <c r="C464" s="88">
        <v>0</v>
      </c>
      <c r="D464" s="77">
        <f>C464/C453</f>
        <v>0</v>
      </c>
      <c r="E464" s="90">
        <v>0</v>
      </c>
      <c r="F464" s="79">
        <f>E464/E453</f>
        <v>0</v>
      </c>
      <c r="G464" s="91">
        <v>0</v>
      </c>
      <c r="H464" s="81">
        <f>G464/G453</f>
        <v>0</v>
      </c>
      <c r="I464" s="92">
        <v>0</v>
      </c>
      <c r="J464" s="83">
        <f>I464/I453</f>
        <v>0</v>
      </c>
      <c r="K464" s="93">
        <v>0</v>
      </c>
      <c r="L464" s="85">
        <f>K464/K453</f>
        <v>0</v>
      </c>
      <c r="M464" s="23">
        <v>0</v>
      </c>
      <c r="N464" s="87">
        <f>M464/M453</f>
        <v>0</v>
      </c>
      <c r="O464" s="151"/>
    </row>
    <row r="465" spans="1:15" ht="15" thickBot="1" x14ac:dyDescent="0.4">
      <c r="A465" t="s">
        <v>136</v>
      </c>
      <c r="B465" s="100" t="s">
        <v>179</v>
      </c>
      <c r="C465" s="101">
        <v>0</v>
      </c>
      <c r="D465" s="113">
        <f t="shared" ref="D465" si="40">C465/$C$33</f>
        <v>0</v>
      </c>
      <c r="E465" s="103">
        <v>0</v>
      </c>
      <c r="F465" s="104">
        <f>E465/E453</f>
        <v>0</v>
      </c>
      <c r="G465" s="105">
        <v>0</v>
      </c>
      <c r="H465" s="106">
        <f>G465/G453</f>
        <v>0</v>
      </c>
      <c r="I465" s="107">
        <v>0</v>
      </c>
      <c r="J465" s="108">
        <f>I465/I453</f>
        <v>0</v>
      </c>
      <c r="K465" s="109">
        <v>0</v>
      </c>
      <c r="L465" s="110">
        <f>K465/K453</f>
        <v>0</v>
      </c>
      <c r="M465" s="25">
        <v>0</v>
      </c>
      <c r="N465" s="111">
        <f>M465/M453</f>
        <v>0</v>
      </c>
      <c r="O465" s="151"/>
    </row>
    <row r="466" spans="1:15" ht="15" thickBot="1" x14ac:dyDescent="0.4">
      <c r="D466" s="26"/>
      <c r="F466" s="26"/>
      <c r="H466" s="26"/>
      <c r="J466" s="26"/>
      <c r="L466" s="26"/>
      <c r="N466" s="26"/>
    </row>
    <row r="467" spans="1:15" ht="15" thickBot="1" x14ac:dyDescent="0.4">
      <c r="A467" t="s">
        <v>138</v>
      </c>
      <c r="B467" s="65" t="s">
        <v>166</v>
      </c>
      <c r="C467" s="66">
        <v>0</v>
      </c>
      <c r="D467" s="67"/>
      <c r="E467" s="66">
        <v>0</v>
      </c>
      <c r="F467" s="67"/>
      <c r="G467" s="66">
        <v>0</v>
      </c>
      <c r="H467" s="67"/>
      <c r="I467" s="66">
        <v>0</v>
      </c>
      <c r="J467" s="67"/>
      <c r="K467" s="66">
        <v>0</v>
      </c>
      <c r="L467" s="67"/>
      <c r="M467" s="68">
        <f>SUM(C467,E467,G467,I467,K467)</f>
        <v>0</v>
      </c>
      <c r="N467" s="67"/>
      <c r="O467" s="150" t="s">
        <v>139</v>
      </c>
    </row>
    <row r="468" spans="1:15" ht="15" thickBot="1" x14ac:dyDescent="0.4">
      <c r="A468" t="s">
        <v>138</v>
      </c>
      <c r="B468" s="69" t="s">
        <v>167</v>
      </c>
      <c r="C468" s="70">
        <v>15598.825019999989</v>
      </c>
      <c r="D468" s="71">
        <f>SUM(D470:D480)</f>
        <v>0.36650196362033455</v>
      </c>
      <c r="E468" s="70">
        <v>15598.825019999989</v>
      </c>
      <c r="F468" s="71">
        <f>SUM(F470:F480)</f>
        <v>0.36650196362033455</v>
      </c>
      <c r="G468" s="70">
        <v>15598.825019999989</v>
      </c>
      <c r="H468" s="71">
        <f>SUM(H470:H480)</f>
        <v>0.36650196362033455</v>
      </c>
      <c r="I468" s="70">
        <v>15598.825019999989</v>
      </c>
      <c r="J468" s="71">
        <f>SUM(J470:J480)</f>
        <v>0.36650196362033455</v>
      </c>
      <c r="K468" s="70">
        <v>15598.825019999989</v>
      </c>
      <c r="L468" s="71">
        <f>SUM(L470:L480)</f>
        <v>0.36650196362033455</v>
      </c>
      <c r="M468" s="70">
        <f>SUM(C468,E468,G468,I468,K468)</f>
        <v>77994.125099999947</v>
      </c>
      <c r="N468" s="71">
        <f>SUM(N470:N480)</f>
        <v>7.3300392724066896E-2</v>
      </c>
      <c r="O468" s="151"/>
    </row>
    <row r="469" spans="1:15" ht="15" thickBot="1" x14ac:dyDescent="0.4">
      <c r="A469" t="s">
        <v>138</v>
      </c>
      <c r="B469" s="72" t="s">
        <v>168</v>
      </c>
      <c r="C469" s="73"/>
      <c r="D469" s="74">
        <f>(SUM(D470:D480)+C467)/C468</f>
        <v>2.3495485278565861E-5</v>
      </c>
      <c r="E469" s="73"/>
      <c r="F469" s="74">
        <f>(SUM(F470:F480)+E467)/E468</f>
        <v>2.3495485278565861E-5</v>
      </c>
      <c r="G469" s="73"/>
      <c r="H469" s="74">
        <f>(SUM(H470:H480)+G467)/G468</f>
        <v>2.3495485278565861E-5</v>
      </c>
      <c r="I469" s="73"/>
      <c r="J469" s="74">
        <f>(SUM(J470:J480)+I467)/I468</f>
        <v>2.3495485278565861E-5</v>
      </c>
      <c r="K469" s="73"/>
      <c r="L469" s="74">
        <f>(SUM(L470:L480)+K467)/K468</f>
        <v>2.3495485278565861E-5</v>
      </c>
      <c r="M469" s="73"/>
      <c r="N469" s="74">
        <f>(SUM(N470:N480)+M467)/M468</f>
        <v>9.398194111426342E-7</v>
      </c>
      <c r="O469" s="151"/>
    </row>
    <row r="470" spans="1:15" x14ac:dyDescent="0.35">
      <c r="A470" t="s">
        <v>138</v>
      </c>
      <c r="B470" s="75" t="s">
        <v>169</v>
      </c>
      <c r="C470" s="76">
        <v>800</v>
      </c>
      <c r="D470" s="77">
        <f>C470/C468</f>
        <v>5.1285914097650452E-2</v>
      </c>
      <c r="E470" s="78">
        <v>800</v>
      </c>
      <c r="F470" s="79">
        <f>E470/E468</f>
        <v>5.1285914097650452E-2</v>
      </c>
      <c r="G470" s="80">
        <v>800</v>
      </c>
      <c r="H470" s="81">
        <f>G470/G468</f>
        <v>5.1285914097650452E-2</v>
      </c>
      <c r="I470" s="82">
        <v>800</v>
      </c>
      <c r="J470" s="83">
        <f>I470/I468</f>
        <v>5.1285914097650452E-2</v>
      </c>
      <c r="K470" s="84">
        <v>800</v>
      </c>
      <c r="L470" s="85">
        <f>K470/K468</f>
        <v>5.1285914097650452E-2</v>
      </c>
      <c r="M470" s="86">
        <v>800</v>
      </c>
      <c r="N470" s="87">
        <f>M470/M468</f>
        <v>1.025718281953009E-2</v>
      </c>
      <c r="O470" s="151"/>
    </row>
    <row r="471" spans="1:15" x14ac:dyDescent="0.35">
      <c r="A471" t="s">
        <v>138</v>
      </c>
      <c r="B471" s="75" t="s">
        <v>170</v>
      </c>
      <c r="C471" s="88">
        <v>0</v>
      </c>
      <c r="D471" s="77">
        <f>C471/C468</f>
        <v>0</v>
      </c>
      <c r="E471" s="90">
        <v>0</v>
      </c>
      <c r="F471" s="79">
        <f>E471/E468</f>
        <v>0</v>
      </c>
      <c r="G471" s="91">
        <v>0</v>
      </c>
      <c r="H471" s="81">
        <f>G471/G468</f>
        <v>0</v>
      </c>
      <c r="I471" s="92">
        <v>0</v>
      </c>
      <c r="J471" s="83">
        <f>I471/I468</f>
        <v>0</v>
      </c>
      <c r="K471" s="93">
        <v>0</v>
      </c>
      <c r="L471" s="85">
        <f>K471/K468</f>
        <v>0</v>
      </c>
      <c r="M471" s="23">
        <v>0</v>
      </c>
      <c r="N471" s="87">
        <f>M471/M468</f>
        <v>0</v>
      </c>
      <c r="O471" s="151"/>
    </row>
    <row r="472" spans="1:15" x14ac:dyDescent="0.35">
      <c r="A472" t="s">
        <v>138</v>
      </c>
      <c r="B472" s="75" t="s">
        <v>171</v>
      </c>
      <c r="C472" s="88">
        <v>104</v>
      </c>
      <c r="D472" s="77">
        <f>C472/C468</f>
        <v>6.6671688326945585E-3</v>
      </c>
      <c r="E472" s="90">
        <v>104</v>
      </c>
      <c r="F472" s="79">
        <f>E472/E468</f>
        <v>6.6671688326945585E-3</v>
      </c>
      <c r="G472" s="91">
        <v>104</v>
      </c>
      <c r="H472" s="81">
        <f>G472/G468</f>
        <v>6.6671688326945585E-3</v>
      </c>
      <c r="I472" s="92">
        <v>104</v>
      </c>
      <c r="J472" s="83">
        <f>I472/I468</f>
        <v>6.6671688326945585E-3</v>
      </c>
      <c r="K472" s="93">
        <v>104</v>
      </c>
      <c r="L472" s="85">
        <f>K472/K468</f>
        <v>6.6671688326945585E-3</v>
      </c>
      <c r="M472" s="23">
        <v>104</v>
      </c>
      <c r="N472" s="87">
        <f>M472/M468</f>
        <v>1.3334337665389117E-3</v>
      </c>
      <c r="O472" s="151"/>
    </row>
    <row r="473" spans="1:15" x14ac:dyDescent="0.35">
      <c r="A473" t="s">
        <v>138</v>
      </c>
      <c r="B473" s="75" t="s">
        <v>172</v>
      </c>
      <c r="C473" s="88">
        <v>0</v>
      </c>
      <c r="D473" s="77">
        <f>C473/C468</f>
        <v>0</v>
      </c>
      <c r="E473" s="90">
        <v>0</v>
      </c>
      <c r="F473" s="79">
        <f>E473/E468</f>
        <v>0</v>
      </c>
      <c r="G473" s="91">
        <v>0</v>
      </c>
      <c r="H473" s="81">
        <f>G473/G468</f>
        <v>0</v>
      </c>
      <c r="I473" s="92">
        <v>0</v>
      </c>
      <c r="J473" s="83">
        <f>I473/I468</f>
        <v>0</v>
      </c>
      <c r="K473" s="93">
        <v>0</v>
      </c>
      <c r="L473" s="85">
        <f>K473/K468</f>
        <v>0</v>
      </c>
      <c r="M473" s="23">
        <v>0</v>
      </c>
      <c r="N473" s="87">
        <f>M473/M468</f>
        <v>0</v>
      </c>
      <c r="O473" s="151"/>
    </row>
    <row r="474" spans="1:15" x14ac:dyDescent="0.35">
      <c r="A474" t="s">
        <v>138</v>
      </c>
      <c r="B474" s="75" t="s">
        <v>173</v>
      </c>
      <c r="C474" s="94">
        <v>3619</v>
      </c>
      <c r="D474" s="77">
        <f>C474/C468</f>
        <v>0.23200465389924621</v>
      </c>
      <c r="E474" s="95">
        <v>3619</v>
      </c>
      <c r="F474" s="79">
        <f>E474/E468</f>
        <v>0.23200465389924621</v>
      </c>
      <c r="G474" s="96">
        <v>3619</v>
      </c>
      <c r="H474" s="81">
        <f>G474/G468</f>
        <v>0.23200465389924621</v>
      </c>
      <c r="I474" s="97">
        <v>3619</v>
      </c>
      <c r="J474" s="83">
        <f>I474/I468</f>
        <v>0.23200465389924621</v>
      </c>
      <c r="K474" s="98">
        <v>3619</v>
      </c>
      <c r="L474" s="85">
        <f>K474/K468</f>
        <v>0.23200465389924621</v>
      </c>
      <c r="M474" s="99">
        <v>3619</v>
      </c>
      <c r="N474" s="87">
        <f>M474/M468</f>
        <v>4.6400930779849241E-2</v>
      </c>
      <c r="O474" s="151"/>
    </row>
    <row r="475" spans="1:15" x14ac:dyDescent="0.35">
      <c r="A475" t="s">
        <v>138</v>
      </c>
      <c r="B475" s="75" t="s">
        <v>174</v>
      </c>
      <c r="C475" s="88">
        <v>956</v>
      </c>
      <c r="D475" s="77">
        <f>C475/C468</f>
        <v>6.1286667346692289E-2</v>
      </c>
      <c r="E475" s="90">
        <v>956</v>
      </c>
      <c r="F475" s="79">
        <f>E475/E468</f>
        <v>6.1286667346692289E-2</v>
      </c>
      <c r="G475" s="91">
        <v>956</v>
      </c>
      <c r="H475" s="81">
        <f>G475/G468</f>
        <v>6.1286667346692289E-2</v>
      </c>
      <c r="I475" s="92">
        <v>956</v>
      </c>
      <c r="J475" s="83">
        <f>I475/I468</f>
        <v>6.1286667346692289E-2</v>
      </c>
      <c r="K475" s="93">
        <v>956</v>
      </c>
      <c r="L475" s="85">
        <f>K475/K468</f>
        <v>6.1286667346692289E-2</v>
      </c>
      <c r="M475" s="23">
        <v>956</v>
      </c>
      <c r="N475" s="87">
        <f>M475/M468</f>
        <v>1.2257333469338457E-2</v>
      </c>
      <c r="O475" s="151"/>
    </row>
    <row r="476" spans="1:15" x14ac:dyDescent="0.35">
      <c r="A476" t="s">
        <v>138</v>
      </c>
      <c r="B476" s="75" t="s">
        <v>175</v>
      </c>
      <c r="C476" s="88">
        <v>0</v>
      </c>
      <c r="D476" s="77">
        <f>C476/C468</f>
        <v>0</v>
      </c>
      <c r="E476" s="90">
        <v>0</v>
      </c>
      <c r="F476" s="79">
        <f>E476/E468</f>
        <v>0</v>
      </c>
      <c r="G476" s="91">
        <v>0</v>
      </c>
      <c r="H476" s="81">
        <f>G476/G468</f>
        <v>0</v>
      </c>
      <c r="I476" s="92">
        <v>0</v>
      </c>
      <c r="J476" s="83">
        <f>I476/I468</f>
        <v>0</v>
      </c>
      <c r="K476" s="93">
        <v>0</v>
      </c>
      <c r="L476" s="85">
        <f>K476/K468</f>
        <v>0</v>
      </c>
      <c r="M476" s="23">
        <v>0</v>
      </c>
      <c r="N476" s="87">
        <f>M476/M468</f>
        <v>0</v>
      </c>
      <c r="O476" s="151"/>
    </row>
    <row r="477" spans="1:15" x14ac:dyDescent="0.35">
      <c r="A477" t="s">
        <v>138</v>
      </c>
      <c r="B477" s="75" t="s">
        <v>176</v>
      </c>
      <c r="C477" s="88">
        <v>238</v>
      </c>
      <c r="D477" s="77">
        <f>C477/C468</f>
        <v>1.5257559444051008E-2</v>
      </c>
      <c r="E477" s="90">
        <v>238</v>
      </c>
      <c r="F477" s="79">
        <f>E477/E468</f>
        <v>1.5257559444051008E-2</v>
      </c>
      <c r="G477" s="91">
        <v>238</v>
      </c>
      <c r="H477" s="81">
        <f>G477/G468</f>
        <v>1.5257559444051008E-2</v>
      </c>
      <c r="I477" s="92">
        <v>238</v>
      </c>
      <c r="J477" s="83">
        <f>I477/I468</f>
        <v>1.5257559444051008E-2</v>
      </c>
      <c r="K477" s="93">
        <v>238</v>
      </c>
      <c r="L477" s="85">
        <f>K477/K468</f>
        <v>1.5257559444051008E-2</v>
      </c>
      <c r="M477" s="23">
        <v>238</v>
      </c>
      <c r="N477" s="87">
        <f>M477/M468</f>
        <v>3.0515118888102019E-3</v>
      </c>
      <c r="O477" s="151"/>
    </row>
    <row r="478" spans="1:15" x14ac:dyDescent="0.35">
      <c r="A478" t="s">
        <v>138</v>
      </c>
      <c r="B478" s="75" t="s">
        <v>177</v>
      </c>
      <c r="C478" s="88">
        <v>0</v>
      </c>
      <c r="D478" s="77">
        <f>C478/C468</f>
        <v>0</v>
      </c>
      <c r="E478" s="90">
        <v>0</v>
      </c>
      <c r="F478" s="79">
        <f>E478/E468</f>
        <v>0</v>
      </c>
      <c r="G478" s="91">
        <v>0</v>
      </c>
      <c r="H478" s="81">
        <f>G478/G468</f>
        <v>0</v>
      </c>
      <c r="I478" s="92">
        <v>0</v>
      </c>
      <c r="J478" s="83">
        <f>I478/I468</f>
        <v>0</v>
      </c>
      <c r="K478" s="93">
        <v>0</v>
      </c>
      <c r="L478" s="85">
        <f>K478/K468</f>
        <v>0</v>
      </c>
      <c r="M478" s="23">
        <v>0</v>
      </c>
      <c r="N478" s="87">
        <f>M478/M468</f>
        <v>0</v>
      </c>
      <c r="O478" s="151"/>
    </row>
    <row r="479" spans="1:15" x14ac:dyDescent="0.35">
      <c r="A479" t="s">
        <v>138</v>
      </c>
      <c r="B479" s="75" t="s">
        <v>178</v>
      </c>
      <c r="C479" s="88">
        <v>0</v>
      </c>
      <c r="D479" s="77">
        <f>C479/C468</f>
        <v>0</v>
      </c>
      <c r="E479" s="90">
        <v>0</v>
      </c>
      <c r="F479" s="79">
        <f>E479/E468</f>
        <v>0</v>
      </c>
      <c r="G479" s="91">
        <v>0</v>
      </c>
      <c r="H479" s="81">
        <f>G479/G468</f>
        <v>0</v>
      </c>
      <c r="I479" s="92">
        <v>0</v>
      </c>
      <c r="J479" s="83">
        <f>I479/I468</f>
        <v>0</v>
      </c>
      <c r="K479" s="93">
        <v>0</v>
      </c>
      <c r="L479" s="85">
        <f>K479/K468</f>
        <v>0</v>
      </c>
      <c r="M479" s="23">
        <v>0</v>
      </c>
      <c r="N479" s="87">
        <f>M479/M468</f>
        <v>0</v>
      </c>
      <c r="O479" s="151"/>
    </row>
    <row r="480" spans="1:15" ht="15" thickBot="1" x14ac:dyDescent="0.4">
      <c r="A480" t="s">
        <v>138</v>
      </c>
      <c r="B480" s="100" t="s">
        <v>179</v>
      </c>
      <c r="C480" s="101">
        <v>0</v>
      </c>
      <c r="D480" s="113">
        <f t="shared" ref="D480" si="41">C480/$C$33</f>
        <v>0</v>
      </c>
      <c r="E480" s="103">
        <v>0</v>
      </c>
      <c r="F480" s="104">
        <f>E480/E468</f>
        <v>0</v>
      </c>
      <c r="G480" s="105">
        <v>0</v>
      </c>
      <c r="H480" s="106">
        <f>G480/G468</f>
        <v>0</v>
      </c>
      <c r="I480" s="107">
        <v>0</v>
      </c>
      <c r="J480" s="108">
        <f>I480/I468</f>
        <v>0</v>
      </c>
      <c r="K480" s="109">
        <v>0</v>
      </c>
      <c r="L480" s="110">
        <f>K480/K468</f>
        <v>0</v>
      </c>
      <c r="M480" s="25">
        <v>0</v>
      </c>
      <c r="N480" s="111">
        <f>M480/M468</f>
        <v>0</v>
      </c>
      <c r="O480" s="151"/>
    </row>
    <row r="481" spans="1:15" ht="15" thickBot="1" x14ac:dyDescent="0.4">
      <c r="D481" s="26"/>
      <c r="F481" s="26"/>
      <c r="H481" s="26"/>
      <c r="J481" s="26"/>
      <c r="L481" s="26"/>
      <c r="N481" s="26"/>
    </row>
    <row r="482" spans="1:15" ht="15" thickBot="1" x14ac:dyDescent="0.4">
      <c r="A482" t="s">
        <v>140</v>
      </c>
      <c r="B482" s="65" t="s">
        <v>166</v>
      </c>
      <c r="C482" s="66">
        <v>0</v>
      </c>
      <c r="D482" s="67"/>
      <c r="E482" s="66">
        <v>0</v>
      </c>
      <c r="F482" s="67"/>
      <c r="G482" s="66">
        <v>0</v>
      </c>
      <c r="H482" s="67"/>
      <c r="I482" s="66">
        <v>0</v>
      </c>
      <c r="J482" s="67"/>
      <c r="K482" s="66">
        <v>0</v>
      </c>
      <c r="L482" s="67"/>
      <c r="M482" s="68">
        <f>SUM(C482,E482,G482,I482,K482)</f>
        <v>0</v>
      </c>
      <c r="N482" s="67"/>
      <c r="O482" s="150" t="s">
        <v>141</v>
      </c>
    </row>
    <row r="483" spans="1:15" ht="15" thickBot="1" x14ac:dyDescent="0.4">
      <c r="A483" t="s">
        <v>140</v>
      </c>
      <c r="B483" s="69" t="s">
        <v>167</v>
      </c>
      <c r="C483" s="70">
        <v>15598.825019999989</v>
      </c>
      <c r="D483" s="71">
        <f>SUM(D485:D495)</f>
        <v>0.36650196362033455</v>
      </c>
      <c r="E483" s="70">
        <v>15598.825019999989</v>
      </c>
      <c r="F483" s="71">
        <f>SUM(F485:F495)</f>
        <v>0.36650196362033455</v>
      </c>
      <c r="G483" s="70">
        <v>15598.825019999989</v>
      </c>
      <c r="H483" s="71">
        <f>SUM(H485:H495)</f>
        <v>0.36650196362033455</v>
      </c>
      <c r="I483" s="70">
        <v>15598.825019999989</v>
      </c>
      <c r="J483" s="71">
        <f>SUM(J485:J495)</f>
        <v>0.36650196362033455</v>
      </c>
      <c r="K483" s="70">
        <v>15598.825019999989</v>
      </c>
      <c r="L483" s="71">
        <f>SUM(L485:L495)</f>
        <v>0.36650196362033455</v>
      </c>
      <c r="M483" s="70">
        <f>SUM(C483,E483,G483,I483,K483)</f>
        <v>77994.125099999947</v>
      </c>
      <c r="N483" s="71">
        <f>SUM(N485:N495)</f>
        <v>7.3300392724066896E-2</v>
      </c>
      <c r="O483" s="151"/>
    </row>
    <row r="484" spans="1:15" ht="15" thickBot="1" x14ac:dyDescent="0.4">
      <c r="A484" t="s">
        <v>140</v>
      </c>
      <c r="B484" s="72" t="s">
        <v>168</v>
      </c>
      <c r="C484" s="73"/>
      <c r="D484" s="74">
        <f>(SUM(D485:D495)+C482)/C483</f>
        <v>2.3495485278565861E-5</v>
      </c>
      <c r="E484" s="73"/>
      <c r="F484" s="74">
        <f>(SUM(F485:F495)+E482)/E483</f>
        <v>2.3495485278565861E-5</v>
      </c>
      <c r="G484" s="73"/>
      <c r="H484" s="74">
        <f>(SUM(H485:H495)+G482)/G483</f>
        <v>2.3495485278565861E-5</v>
      </c>
      <c r="I484" s="73"/>
      <c r="J484" s="74">
        <f>(SUM(J485:J495)+I482)/I483</f>
        <v>2.3495485278565861E-5</v>
      </c>
      <c r="K484" s="73"/>
      <c r="L484" s="74">
        <f>(SUM(L485:L495)+K482)/K483</f>
        <v>2.3495485278565861E-5</v>
      </c>
      <c r="M484" s="73"/>
      <c r="N484" s="74">
        <f>(SUM(N485:N495)+M482)/M483</f>
        <v>9.398194111426342E-7</v>
      </c>
      <c r="O484" s="151"/>
    </row>
    <row r="485" spans="1:15" x14ac:dyDescent="0.35">
      <c r="A485" t="s">
        <v>140</v>
      </c>
      <c r="B485" s="75" t="s">
        <v>169</v>
      </c>
      <c r="C485" s="76">
        <v>800</v>
      </c>
      <c r="D485" s="77">
        <f>C485/C483</f>
        <v>5.1285914097650452E-2</v>
      </c>
      <c r="E485" s="78">
        <v>800</v>
      </c>
      <c r="F485" s="79">
        <f>E485/E483</f>
        <v>5.1285914097650452E-2</v>
      </c>
      <c r="G485" s="80">
        <v>800</v>
      </c>
      <c r="H485" s="81">
        <f>G485/G483</f>
        <v>5.1285914097650452E-2</v>
      </c>
      <c r="I485" s="82">
        <v>800</v>
      </c>
      <c r="J485" s="83">
        <f>I485/I483</f>
        <v>5.1285914097650452E-2</v>
      </c>
      <c r="K485" s="84">
        <v>800</v>
      </c>
      <c r="L485" s="85">
        <f>K485/K483</f>
        <v>5.1285914097650452E-2</v>
      </c>
      <c r="M485" s="86">
        <v>800</v>
      </c>
      <c r="N485" s="87">
        <f>M485/M483</f>
        <v>1.025718281953009E-2</v>
      </c>
      <c r="O485" s="151"/>
    </row>
    <row r="486" spans="1:15" x14ac:dyDescent="0.35">
      <c r="A486" t="s">
        <v>140</v>
      </c>
      <c r="B486" s="75" t="s">
        <v>170</v>
      </c>
      <c r="C486" s="88">
        <v>0</v>
      </c>
      <c r="D486" s="77">
        <f>C486/C483</f>
        <v>0</v>
      </c>
      <c r="E486" s="90">
        <v>0</v>
      </c>
      <c r="F486" s="79">
        <f>E486/E483</f>
        <v>0</v>
      </c>
      <c r="G486" s="91">
        <v>0</v>
      </c>
      <c r="H486" s="81">
        <f>G486/G483</f>
        <v>0</v>
      </c>
      <c r="I486" s="92">
        <v>0</v>
      </c>
      <c r="J486" s="83">
        <f>I486/I483</f>
        <v>0</v>
      </c>
      <c r="K486" s="93">
        <v>0</v>
      </c>
      <c r="L486" s="85">
        <f>K486/K483</f>
        <v>0</v>
      </c>
      <c r="M486" s="23">
        <v>0</v>
      </c>
      <c r="N486" s="87">
        <f>M486/M483</f>
        <v>0</v>
      </c>
      <c r="O486" s="151"/>
    </row>
    <row r="487" spans="1:15" x14ac:dyDescent="0.35">
      <c r="A487" t="s">
        <v>140</v>
      </c>
      <c r="B487" s="75" t="s">
        <v>171</v>
      </c>
      <c r="C487" s="88">
        <v>104</v>
      </c>
      <c r="D487" s="77">
        <f>C487/C483</f>
        <v>6.6671688326945585E-3</v>
      </c>
      <c r="E487" s="90">
        <v>104</v>
      </c>
      <c r="F487" s="79">
        <f>E487/E483</f>
        <v>6.6671688326945585E-3</v>
      </c>
      <c r="G487" s="91">
        <v>104</v>
      </c>
      <c r="H487" s="81">
        <f>G487/G483</f>
        <v>6.6671688326945585E-3</v>
      </c>
      <c r="I487" s="92">
        <v>104</v>
      </c>
      <c r="J487" s="83">
        <f>I487/I483</f>
        <v>6.6671688326945585E-3</v>
      </c>
      <c r="K487" s="93">
        <v>104</v>
      </c>
      <c r="L487" s="85">
        <f>K487/K483</f>
        <v>6.6671688326945585E-3</v>
      </c>
      <c r="M487" s="23">
        <v>104</v>
      </c>
      <c r="N487" s="87">
        <f>M487/M483</f>
        <v>1.3334337665389117E-3</v>
      </c>
      <c r="O487" s="151"/>
    </row>
    <row r="488" spans="1:15" x14ac:dyDescent="0.35">
      <c r="A488" t="s">
        <v>140</v>
      </c>
      <c r="B488" s="75" t="s">
        <v>172</v>
      </c>
      <c r="C488" s="88">
        <v>0</v>
      </c>
      <c r="D488" s="77">
        <f>C488/C483</f>
        <v>0</v>
      </c>
      <c r="E488" s="90">
        <v>0</v>
      </c>
      <c r="F488" s="79">
        <f>E488/E483</f>
        <v>0</v>
      </c>
      <c r="G488" s="91">
        <v>0</v>
      </c>
      <c r="H488" s="81">
        <f>G488/G483</f>
        <v>0</v>
      </c>
      <c r="I488" s="92">
        <v>0</v>
      </c>
      <c r="J488" s="83">
        <f>I488/I483</f>
        <v>0</v>
      </c>
      <c r="K488" s="93">
        <v>0</v>
      </c>
      <c r="L488" s="85">
        <f>K488/K483</f>
        <v>0</v>
      </c>
      <c r="M488" s="23">
        <v>0</v>
      </c>
      <c r="N488" s="87">
        <f>M488/M483</f>
        <v>0</v>
      </c>
      <c r="O488" s="151"/>
    </row>
    <row r="489" spans="1:15" x14ac:dyDescent="0.35">
      <c r="A489" t="s">
        <v>140</v>
      </c>
      <c r="B489" s="75" t="s">
        <v>173</v>
      </c>
      <c r="C489" s="94">
        <v>3619</v>
      </c>
      <c r="D489" s="77">
        <f>C489/C483</f>
        <v>0.23200465389924621</v>
      </c>
      <c r="E489" s="95">
        <v>3619</v>
      </c>
      <c r="F489" s="79">
        <f>E489/E483</f>
        <v>0.23200465389924621</v>
      </c>
      <c r="G489" s="96">
        <v>3619</v>
      </c>
      <c r="H489" s="81">
        <f>G489/G483</f>
        <v>0.23200465389924621</v>
      </c>
      <c r="I489" s="97">
        <v>3619</v>
      </c>
      <c r="J489" s="83">
        <f>I489/I483</f>
        <v>0.23200465389924621</v>
      </c>
      <c r="K489" s="98">
        <v>3619</v>
      </c>
      <c r="L489" s="85">
        <f>K489/K483</f>
        <v>0.23200465389924621</v>
      </c>
      <c r="M489" s="99">
        <v>3619</v>
      </c>
      <c r="N489" s="87">
        <f>M489/M483</f>
        <v>4.6400930779849241E-2</v>
      </c>
      <c r="O489" s="151"/>
    </row>
    <row r="490" spans="1:15" x14ac:dyDescent="0.35">
      <c r="A490" t="s">
        <v>140</v>
      </c>
      <c r="B490" s="75" t="s">
        <v>174</v>
      </c>
      <c r="C490" s="88">
        <v>956</v>
      </c>
      <c r="D490" s="77">
        <f>C490/C483</f>
        <v>6.1286667346692289E-2</v>
      </c>
      <c r="E490" s="90">
        <v>956</v>
      </c>
      <c r="F490" s="79">
        <f>E490/E483</f>
        <v>6.1286667346692289E-2</v>
      </c>
      <c r="G490" s="91">
        <v>956</v>
      </c>
      <c r="H490" s="81">
        <f>G490/G483</f>
        <v>6.1286667346692289E-2</v>
      </c>
      <c r="I490" s="92">
        <v>956</v>
      </c>
      <c r="J490" s="83">
        <f>I490/I483</f>
        <v>6.1286667346692289E-2</v>
      </c>
      <c r="K490" s="93">
        <v>956</v>
      </c>
      <c r="L490" s="85">
        <f>K490/K483</f>
        <v>6.1286667346692289E-2</v>
      </c>
      <c r="M490" s="23">
        <v>956</v>
      </c>
      <c r="N490" s="87">
        <f>M490/M483</f>
        <v>1.2257333469338457E-2</v>
      </c>
      <c r="O490" s="151"/>
    </row>
    <row r="491" spans="1:15" x14ac:dyDescent="0.35">
      <c r="A491" t="s">
        <v>140</v>
      </c>
      <c r="B491" s="75" t="s">
        <v>175</v>
      </c>
      <c r="C491" s="88">
        <v>0</v>
      </c>
      <c r="D491" s="77">
        <f>C491/C483</f>
        <v>0</v>
      </c>
      <c r="E491" s="90">
        <v>0</v>
      </c>
      <c r="F491" s="79">
        <f>E491/E483</f>
        <v>0</v>
      </c>
      <c r="G491" s="91">
        <v>0</v>
      </c>
      <c r="H491" s="81">
        <f>G491/G483</f>
        <v>0</v>
      </c>
      <c r="I491" s="92">
        <v>0</v>
      </c>
      <c r="J491" s="83">
        <f>I491/I483</f>
        <v>0</v>
      </c>
      <c r="K491" s="93">
        <v>0</v>
      </c>
      <c r="L491" s="85">
        <f>K491/K483</f>
        <v>0</v>
      </c>
      <c r="M491" s="23">
        <v>0</v>
      </c>
      <c r="N491" s="87">
        <f>M491/M483</f>
        <v>0</v>
      </c>
      <c r="O491" s="151"/>
    </row>
    <row r="492" spans="1:15" x14ac:dyDescent="0.35">
      <c r="A492" t="s">
        <v>140</v>
      </c>
      <c r="B492" s="75" t="s">
        <v>176</v>
      </c>
      <c r="C492" s="88">
        <v>238</v>
      </c>
      <c r="D492" s="77">
        <f>C492/C483</f>
        <v>1.5257559444051008E-2</v>
      </c>
      <c r="E492" s="90">
        <v>238</v>
      </c>
      <c r="F492" s="79">
        <f>E492/E483</f>
        <v>1.5257559444051008E-2</v>
      </c>
      <c r="G492" s="91">
        <v>238</v>
      </c>
      <c r="H492" s="81">
        <f>G492/G483</f>
        <v>1.5257559444051008E-2</v>
      </c>
      <c r="I492" s="92">
        <v>238</v>
      </c>
      <c r="J492" s="83">
        <f>I492/I483</f>
        <v>1.5257559444051008E-2</v>
      </c>
      <c r="K492" s="93">
        <v>238</v>
      </c>
      <c r="L492" s="85">
        <f>K492/K483</f>
        <v>1.5257559444051008E-2</v>
      </c>
      <c r="M492" s="23">
        <v>238</v>
      </c>
      <c r="N492" s="87">
        <f>M492/M483</f>
        <v>3.0515118888102019E-3</v>
      </c>
      <c r="O492" s="151"/>
    </row>
    <row r="493" spans="1:15" x14ac:dyDescent="0.35">
      <c r="A493" t="s">
        <v>140</v>
      </c>
      <c r="B493" s="75" t="s">
        <v>177</v>
      </c>
      <c r="C493" s="88">
        <v>0</v>
      </c>
      <c r="D493" s="77">
        <f>C493/C483</f>
        <v>0</v>
      </c>
      <c r="E493" s="90">
        <v>0</v>
      </c>
      <c r="F493" s="79">
        <f>E493/E483</f>
        <v>0</v>
      </c>
      <c r="G493" s="91">
        <v>0</v>
      </c>
      <c r="H493" s="81">
        <f>G493/G483</f>
        <v>0</v>
      </c>
      <c r="I493" s="92">
        <v>0</v>
      </c>
      <c r="J493" s="83">
        <f>I493/I483</f>
        <v>0</v>
      </c>
      <c r="K493" s="93">
        <v>0</v>
      </c>
      <c r="L493" s="85">
        <f>K493/K483</f>
        <v>0</v>
      </c>
      <c r="M493" s="23">
        <v>0</v>
      </c>
      <c r="N493" s="87">
        <f>M493/M483</f>
        <v>0</v>
      </c>
      <c r="O493" s="151"/>
    </row>
    <row r="494" spans="1:15" x14ac:dyDescent="0.35">
      <c r="A494" t="s">
        <v>140</v>
      </c>
      <c r="B494" s="75" t="s">
        <v>178</v>
      </c>
      <c r="C494" s="88">
        <v>0</v>
      </c>
      <c r="D494" s="77">
        <f>C494/C483</f>
        <v>0</v>
      </c>
      <c r="E494" s="90">
        <v>0</v>
      </c>
      <c r="F494" s="79">
        <f>E494/E483</f>
        <v>0</v>
      </c>
      <c r="G494" s="91">
        <v>0</v>
      </c>
      <c r="H494" s="81">
        <f>G494/G483</f>
        <v>0</v>
      </c>
      <c r="I494" s="92">
        <v>0</v>
      </c>
      <c r="J494" s="83">
        <f>I494/I483</f>
        <v>0</v>
      </c>
      <c r="K494" s="93">
        <v>0</v>
      </c>
      <c r="L494" s="85">
        <f>K494/K483</f>
        <v>0</v>
      </c>
      <c r="M494" s="23">
        <v>0</v>
      </c>
      <c r="N494" s="87">
        <f>M494/M483</f>
        <v>0</v>
      </c>
      <c r="O494" s="151"/>
    </row>
    <row r="495" spans="1:15" ht="15" thickBot="1" x14ac:dyDescent="0.4">
      <c r="A495" t="s">
        <v>140</v>
      </c>
      <c r="B495" s="100" t="s">
        <v>179</v>
      </c>
      <c r="C495" s="101">
        <v>0</v>
      </c>
      <c r="D495" s="113">
        <f t="shared" ref="D495" si="42">C495/$C$33</f>
        <v>0</v>
      </c>
      <c r="E495" s="103">
        <v>0</v>
      </c>
      <c r="F495" s="104">
        <f>E495/E483</f>
        <v>0</v>
      </c>
      <c r="G495" s="105">
        <v>0</v>
      </c>
      <c r="H495" s="106">
        <f>G495/G483</f>
        <v>0</v>
      </c>
      <c r="I495" s="107">
        <v>0</v>
      </c>
      <c r="J495" s="108">
        <f>I495/I483</f>
        <v>0</v>
      </c>
      <c r="K495" s="109">
        <v>0</v>
      </c>
      <c r="L495" s="110">
        <f>K495/K483</f>
        <v>0</v>
      </c>
      <c r="M495" s="25">
        <v>0</v>
      </c>
      <c r="N495" s="111">
        <f>M495/M483</f>
        <v>0</v>
      </c>
      <c r="O495" s="151"/>
    </row>
    <row r="496" spans="1:15" ht="15" thickBot="1" x14ac:dyDescent="0.4">
      <c r="D496" s="26"/>
      <c r="F496" s="26"/>
      <c r="H496" s="26"/>
      <c r="J496" s="26"/>
      <c r="L496" s="26"/>
      <c r="N496" s="26"/>
    </row>
    <row r="497" spans="1:15" ht="15" thickBot="1" x14ac:dyDescent="0.4">
      <c r="A497" t="s">
        <v>142</v>
      </c>
      <c r="B497" s="65" t="s">
        <v>166</v>
      </c>
      <c r="C497" s="66">
        <v>0</v>
      </c>
      <c r="D497" s="67"/>
      <c r="E497" s="66">
        <v>0</v>
      </c>
      <c r="F497" s="67"/>
      <c r="G497" s="66">
        <v>0</v>
      </c>
      <c r="H497" s="67"/>
      <c r="I497" s="66">
        <v>0</v>
      </c>
      <c r="J497" s="67"/>
      <c r="K497" s="66">
        <v>0</v>
      </c>
      <c r="L497" s="67"/>
      <c r="M497" s="68">
        <f>SUM(C497,E497,G497,I497,K497)</f>
        <v>0</v>
      </c>
      <c r="N497" s="67"/>
      <c r="O497" s="150" t="s">
        <v>143</v>
      </c>
    </row>
    <row r="498" spans="1:15" ht="15" thickBot="1" x14ac:dyDescent="0.4">
      <c r="A498" t="s">
        <v>142</v>
      </c>
      <c r="B498" s="69" t="s">
        <v>167</v>
      </c>
      <c r="C498" s="70">
        <v>15598.825019999989</v>
      </c>
      <c r="D498" s="71">
        <f>SUM(D500:D510)</f>
        <v>0.36650196362033455</v>
      </c>
      <c r="E498" s="70">
        <v>15598.825019999989</v>
      </c>
      <c r="F498" s="71">
        <f>SUM(F500:F510)</f>
        <v>0.36650196362033455</v>
      </c>
      <c r="G498" s="70">
        <v>15598.825019999989</v>
      </c>
      <c r="H498" s="71">
        <f>SUM(H500:H510)</f>
        <v>0.36650196362033455</v>
      </c>
      <c r="I498" s="70">
        <v>15598.825019999989</v>
      </c>
      <c r="J498" s="71">
        <f>SUM(J500:J510)</f>
        <v>0.36650196362033455</v>
      </c>
      <c r="K498" s="70">
        <v>15598.825019999989</v>
      </c>
      <c r="L498" s="71">
        <f>SUM(L500:L510)</f>
        <v>0.36650196362033455</v>
      </c>
      <c r="M498" s="70">
        <f>SUM(C498,E498,G498,I498,K498)</f>
        <v>77994.125099999947</v>
      </c>
      <c r="N498" s="71">
        <f>SUM(N500:N510)</f>
        <v>7.3300392724066896E-2</v>
      </c>
      <c r="O498" s="151"/>
    </row>
    <row r="499" spans="1:15" ht="15" thickBot="1" x14ac:dyDescent="0.4">
      <c r="A499" t="s">
        <v>142</v>
      </c>
      <c r="B499" s="72" t="s">
        <v>168</v>
      </c>
      <c r="C499" s="73"/>
      <c r="D499" s="74">
        <f>(SUM(D500:D510)+C497)/C498</f>
        <v>2.3495485278565861E-5</v>
      </c>
      <c r="E499" s="73"/>
      <c r="F499" s="74">
        <f>(SUM(F500:F510)+E497)/E498</f>
        <v>2.3495485278565861E-5</v>
      </c>
      <c r="G499" s="73"/>
      <c r="H499" s="74">
        <f>(SUM(H500:H510)+G497)/G498</f>
        <v>2.3495485278565861E-5</v>
      </c>
      <c r="I499" s="73"/>
      <c r="J499" s="74">
        <f>(SUM(J500:J510)+I497)/I498</f>
        <v>2.3495485278565861E-5</v>
      </c>
      <c r="K499" s="73"/>
      <c r="L499" s="74">
        <f>(SUM(L500:L510)+K497)/K498</f>
        <v>2.3495485278565861E-5</v>
      </c>
      <c r="M499" s="73"/>
      <c r="N499" s="74">
        <f>(SUM(N500:N510)+M497)/M498</f>
        <v>9.398194111426342E-7</v>
      </c>
      <c r="O499" s="151"/>
    </row>
    <row r="500" spans="1:15" x14ac:dyDescent="0.35">
      <c r="A500" t="s">
        <v>142</v>
      </c>
      <c r="B500" s="75" t="s">
        <v>169</v>
      </c>
      <c r="C500" s="76">
        <v>800</v>
      </c>
      <c r="D500" s="77">
        <f>C500/C498</f>
        <v>5.1285914097650452E-2</v>
      </c>
      <c r="E500" s="78">
        <v>800</v>
      </c>
      <c r="F500" s="79">
        <f>E500/E498</f>
        <v>5.1285914097650452E-2</v>
      </c>
      <c r="G500" s="80">
        <v>800</v>
      </c>
      <c r="H500" s="81">
        <f>G500/G498</f>
        <v>5.1285914097650452E-2</v>
      </c>
      <c r="I500" s="82">
        <v>800</v>
      </c>
      <c r="J500" s="83">
        <f>I500/I498</f>
        <v>5.1285914097650452E-2</v>
      </c>
      <c r="K500" s="84">
        <v>800</v>
      </c>
      <c r="L500" s="85">
        <f>K500/K498</f>
        <v>5.1285914097650452E-2</v>
      </c>
      <c r="M500" s="86">
        <v>800</v>
      </c>
      <c r="N500" s="87">
        <f>M500/M498</f>
        <v>1.025718281953009E-2</v>
      </c>
      <c r="O500" s="151"/>
    </row>
    <row r="501" spans="1:15" x14ac:dyDescent="0.35">
      <c r="A501" t="s">
        <v>142</v>
      </c>
      <c r="B501" s="75" t="s">
        <v>170</v>
      </c>
      <c r="C501" s="88">
        <v>0</v>
      </c>
      <c r="D501" s="77">
        <f>C501/C498</f>
        <v>0</v>
      </c>
      <c r="E501" s="90">
        <v>0</v>
      </c>
      <c r="F501" s="79">
        <f>E501/E498</f>
        <v>0</v>
      </c>
      <c r="G501" s="91">
        <v>0</v>
      </c>
      <c r="H501" s="81">
        <f>G501/G498</f>
        <v>0</v>
      </c>
      <c r="I501" s="92">
        <v>0</v>
      </c>
      <c r="J501" s="83">
        <f>I501/I498</f>
        <v>0</v>
      </c>
      <c r="K501" s="93">
        <v>0</v>
      </c>
      <c r="L501" s="85">
        <f>K501/K498</f>
        <v>0</v>
      </c>
      <c r="M501" s="23">
        <v>0</v>
      </c>
      <c r="N501" s="87">
        <f>M501/M498</f>
        <v>0</v>
      </c>
      <c r="O501" s="151"/>
    </row>
    <row r="502" spans="1:15" x14ac:dyDescent="0.35">
      <c r="A502" t="s">
        <v>142</v>
      </c>
      <c r="B502" s="75" t="s">
        <v>171</v>
      </c>
      <c r="C502" s="88">
        <v>104</v>
      </c>
      <c r="D502" s="77">
        <f>C502/C498</f>
        <v>6.6671688326945585E-3</v>
      </c>
      <c r="E502" s="90">
        <v>104</v>
      </c>
      <c r="F502" s="79">
        <f>E502/E498</f>
        <v>6.6671688326945585E-3</v>
      </c>
      <c r="G502" s="91">
        <v>104</v>
      </c>
      <c r="H502" s="81">
        <f>G502/G498</f>
        <v>6.6671688326945585E-3</v>
      </c>
      <c r="I502" s="92">
        <v>104</v>
      </c>
      <c r="J502" s="83">
        <f>I502/I498</f>
        <v>6.6671688326945585E-3</v>
      </c>
      <c r="K502" s="93">
        <v>104</v>
      </c>
      <c r="L502" s="85">
        <f>K502/K498</f>
        <v>6.6671688326945585E-3</v>
      </c>
      <c r="M502" s="23">
        <v>104</v>
      </c>
      <c r="N502" s="87">
        <f>M502/M498</f>
        <v>1.3334337665389117E-3</v>
      </c>
      <c r="O502" s="151"/>
    </row>
    <row r="503" spans="1:15" x14ac:dyDescent="0.35">
      <c r="A503" t="s">
        <v>142</v>
      </c>
      <c r="B503" s="75" t="s">
        <v>172</v>
      </c>
      <c r="C503" s="88">
        <v>0</v>
      </c>
      <c r="D503" s="77">
        <f>C503/C498</f>
        <v>0</v>
      </c>
      <c r="E503" s="90">
        <v>0</v>
      </c>
      <c r="F503" s="79">
        <f>E503/E498</f>
        <v>0</v>
      </c>
      <c r="G503" s="91">
        <v>0</v>
      </c>
      <c r="H503" s="81">
        <f>G503/G498</f>
        <v>0</v>
      </c>
      <c r="I503" s="92">
        <v>0</v>
      </c>
      <c r="J503" s="83">
        <f>I503/I498</f>
        <v>0</v>
      </c>
      <c r="K503" s="93">
        <v>0</v>
      </c>
      <c r="L503" s="85">
        <f>K503/K498</f>
        <v>0</v>
      </c>
      <c r="M503" s="23">
        <v>0</v>
      </c>
      <c r="N503" s="87">
        <f>M503/M498</f>
        <v>0</v>
      </c>
      <c r="O503" s="151"/>
    </row>
    <row r="504" spans="1:15" x14ac:dyDescent="0.35">
      <c r="A504" t="s">
        <v>142</v>
      </c>
      <c r="B504" s="75" t="s">
        <v>173</v>
      </c>
      <c r="C504" s="94">
        <v>3619</v>
      </c>
      <c r="D504" s="77">
        <f>C504/C498</f>
        <v>0.23200465389924621</v>
      </c>
      <c r="E504" s="95">
        <v>3619</v>
      </c>
      <c r="F504" s="79">
        <f>E504/E498</f>
        <v>0.23200465389924621</v>
      </c>
      <c r="G504" s="96">
        <v>3619</v>
      </c>
      <c r="H504" s="81">
        <f>G504/G498</f>
        <v>0.23200465389924621</v>
      </c>
      <c r="I504" s="97">
        <v>3619</v>
      </c>
      <c r="J504" s="83">
        <f>I504/I498</f>
        <v>0.23200465389924621</v>
      </c>
      <c r="K504" s="98">
        <v>3619</v>
      </c>
      <c r="L504" s="85">
        <f>K504/K498</f>
        <v>0.23200465389924621</v>
      </c>
      <c r="M504" s="99">
        <v>3619</v>
      </c>
      <c r="N504" s="87">
        <f>M504/M498</f>
        <v>4.6400930779849241E-2</v>
      </c>
      <c r="O504" s="151"/>
    </row>
    <row r="505" spans="1:15" x14ac:dyDescent="0.35">
      <c r="A505" t="s">
        <v>142</v>
      </c>
      <c r="B505" s="75" t="s">
        <v>174</v>
      </c>
      <c r="C505" s="88">
        <v>956</v>
      </c>
      <c r="D505" s="77">
        <f>C505/C498</f>
        <v>6.1286667346692289E-2</v>
      </c>
      <c r="E505" s="90">
        <v>956</v>
      </c>
      <c r="F505" s="79">
        <f>E505/E498</f>
        <v>6.1286667346692289E-2</v>
      </c>
      <c r="G505" s="91">
        <v>956</v>
      </c>
      <c r="H505" s="81">
        <f>G505/G498</f>
        <v>6.1286667346692289E-2</v>
      </c>
      <c r="I505" s="92">
        <v>956</v>
      </c>
      <c r="J505" s="83">
        <f>I505/I498</f>
        <v>6.1286667346692289E-2</v>
      </c>
      <c r="K505" s="93">
        <v>956</v>
      </c>
      <c r="L505" s="85">
        <f>K505/K498</f>
        <v>6.1286667346692289E-2</v>
      </c>
      <c r="M505" s="23">
        <v>956</v>
      </c>
      <c r="N505" s="87">
        <f>M505/M498</f>
        <v>1.2257333469338457E-2</v>
      </c>
      <c r="O505" s="151"/>
    </row>
    <row r="506" spans="1:15" x14ac:dyDescent="0.35">
      <c r="A506" t="s">
        <v>142</v>
      </c>
      <c r="B506" s="75" t="s">
        <v>175</v>
      </c>
      <c r="C506" s="88">
        <v>0</v>
      </c>
      <c r="D506" s="77">
        <f>C506/C498</f>
        <v>0</v>
      </c>
      <c r="E506" s="90">
        <v>0</v>
      </c>
      <c r="F506" s="79">
        <f>E506/E498</f>
        <v>0</v>
      </c>
      <c r="G506" s="91">
        <v>0</v>
      </c>
      <c r="H506" s="81">
        <f>G506/G498</f>
        <v>0</v>
      </c>
      <c r="I506" s="92">
        <v>0</v>
      </c>
      <c r="J506" s="83">
        <f>I506/I498</f>
        <v>0</v>
      </c>
      <c r="K506" s="93">
        <v>0</v>
      </c>
      <c r="L506" s="85">
        <f>K506/K498</f>
        <v>0</v>
      </c>
      <c r="M506" s="23">
        <v>0</v>
      </c>
      <c r="N506" s="87">
        <f>M506/M498</f>
        <v>0</v>
      </c>
      <c r="O506" s="151"/>
    </row>
    <row r="507" spans="1:15" x14ac:dyDescent="0.35">
      <c r="A507" t="s">
        <v>142</v>
      </c>
      <c r="B507" s="75" t="s">
        <v>176</v>
      </c>
      <c r="C507" s="88">
        <v>238</v>
      </c>
      <c r="D507" s="77">
        <f>C507/C498</f>
        <v>1.5257559444051008E-2</v>
      </c>
      <c r="E507" s="90">
        <v>238</v>
      </c>
      <c r="F507" s="79">
        <f>E507/E498</f>
        <v>1.5257559444051008E-2</v>
      </c>
      <c r="G507" s="91">
        <v>238</v>
      </c>
      <c r="H507" s="81">
        <f>G507/G498</f>
        <v>1.5257559444051008E-2</v>
      </c>
      <c r="I507" s="92">
        <v>238</v>
      </c>
      <c r="J507" s="83">
        <f>I507/I498</f>
        <v>1.5257559444051008E-2</v>
      </c>
      <c r="K507" s="93">
        <v>238</v>
      </c>
      <c r="L507" s="85">
        <f>K507/K498</f>
        <v>1.5257559444051008E-2</v>
      </c>
      <c r="M507" s="23">
        <v>238</v>
      </c>
      <c r="N507" s="87">
        <f>M507/M498</f>
        <v>3.0515118888102019E-3</v>
      </c>
      <c r="O507" s="151"/>
    </row>
    <row r="508" spans="1:15" x14ac:dyDescent="0.35">
      <c r="A508" t="s">
        <v>142</v>
      </c>
      <c r="B508" s="75" t="s">
        <v>177</v>
      </c>
      <c r="C508" s="88">
        <v>0</v>
      </c>
      <c r="D508" s="77">
        <f>C508/C498</f>
        <v>0</v>
      </c>
      <c r="E508" s="90">
        <v>0</v>
      </c>
      <c r="F508" s="79">
        <f>E508/E498</f>
        <v>0</v>
      </c>
      <c r="G508" s="91">
        <v>0</v>
      </c>
      <c r="H508" s="81">
        <f>G508/G498</f>
        <v>0</v>
      </c>
      <c r="I508" s="92">
        <v>0</v>
      </c>
      <c r="J508" s="83">
        <f>I508/I498</f>
        <v>0</v>
      </c>
      <c r="K508" s="93">
        <v>0</v>
      </c>
      <c r="L508" s="85">
        <f>K508/K498</f>
        <v>0</v>
      </c>
      <c r="M508" s="23">
        <v>0</v>
      </c>
      <c r="N508" s="87">
        <f>M508/M498</f>
        <v>0</v>
      </c>
      <c r="O508" s="151"/>
    </row>
    <row r="509" spans="1:15" x14ac:dyDescent="0.35">
      <c r="A509" t="s">
        <v>142</v>
      </c>
      <c r="B509" s="75" t="s">
        <v>178</v>
      </c>
      <c r="C509" s="88">
        <v>0</v>
      </c>
      <c r="D509" s="77">
        <f>C509/C498</f>
        <v>0</v>
      </c>
      <c r="E509" s="90">
        <v>0</v>
      </c>
      <c r="F509" s="79">
        <f>E509/E498</f>
        <v>0</v>
      </c>
      <c r="G509" s="91">
        <v>0</v>
      </c>
      <c r="H509" s="81">
        <f>G509/G498</f>
        <v>0</v>
      </c>
      <c r="I509" s="92">
        <v>0</v>
      </c>
      <c r="J509" s="83">
        <f>I509/I498</f>
        <v>0</v>
      </c>
      <c r="K509" s="93">
        <v>0</v>
      </c>
      <c r="L509" s="85">
        <f>K509/K498</f>
        <v>0</v>
      </c>
      <c r="M509" s="23">
        <v>0</v>
      </c>
      <c r="N509" s="87">
        <f>M509/M498</f>
        <v>0</v>
      </c>
      <c r="O509" s="151"/>
    </row>
    <row r="510" spans="1:15" ht="15" thickBot="1" x14ac:dyDescent="0.4">
      <c r="A510" t="s">
        <v>142</v>
      </c>
      <c r="B510" s="100" t="s">
        <v>179</v>
      </c>
      <c r="C510" s="101">
        <v>0</v>
      </c>
      <c r="D510" s="113">
        <f t="shared" ref="D510" si="43">C510/$C$33</f>
        <v>0</v>
      </c>
      <c r="E510" s="103">
        <v>0</v>
      </c>
      <c r="F510" s="104">
        <f>E510/E498</f>
        <v>0</v>
      </c>
      <c r="G510" s="105">
        <v>0</v>
      </c>
      <c r="H510" s="106">
        <f>G510/G498</f>
        <v>0</v>
      </c>
      <c r="I510" s="107">
        <v>0</v>
      </c>
      <c r="J510" s="108">
        <f>I510/I498</f>
        <v>0</v>
      </c>
      <c r="K510" s="109">
        <v>0</v>
      </c>
      <c r="L510" s="110">
        <f>K510/K498</f>
        <v>0</v>
      </c>
      <c r="M510" s="25">
        <v>0</v>
      </c>
      <c r="N510" s="111">
        <f>M510/M498</f>
        <v>0</v>
      </c>
      <c r="O510" s="151"/>
    </row>
    <row r="511" spans="1:15" ht="15" thickBot="1" x14ac:dyDescent="0.4">
      <c r="B511" s="24"/>
    </row>
    <row r="512" spans="1:15" ht="15" thickBot="1" x14ac:dyDescent="0.4">
      <c r="A512" t="s">
        <v>144</v>
      </c>
      <c r="B512" s="65" t="s">
        <v>166</v>
      </c>
      <c r="C512" s="66">
        <v>0</v>
      </c>
      <c r="D512" s="67"/>
      <c r="E512" s="66">
        <v>0</v>
      </c>
      <c r="F512" s="67"/>
      <c r="G512" s="66">
        <v>0</v>
      </c>
      <c r="H512" s="67"/>
      <c r="I512" s="66">
        <v>0</v>
      </c>
      <c r="J512" s="67"/>
      <c r="K512" s="66">
        <v>0</v>
      </c>
      <c r="L512" s="67"/>
      <c r="M512" s="68">
        <f>SUM(C512,E512,G512,I512,K512)</f>
        <v>0</v>
      </c>
      <c r="N512" s="67"/>
      <c r="O512" s="150" t="s">
        <v>145</v>
      </c>
    </row>
    <row r="513" spans="1:15" ht="15" thickBot="1" x14ac:dyDescent="0.4">
      <c r="A513" t="s">
        <v>144</v>
      </c>
      <c r="B513" s="69" t="s">
        <v>167</v>
      </c>
      <c r="C513" s="70">
        <v>15598.825019999989</v>
      </c>
      <c r="D513" s="71">
        <f>SUM(D515:D525)</f>
        <v>0.36650196362033455</v>
      </c>
      <c r="E513" s="70">
        <v>15598.825019999989</v>
      </c>
      <c r="F513" s="71">
        <f>SUM(F515:F525)</f>
        <v>0.36650196362033455</v>
      </c>
      <c r="G513" s="70">
        <v>15598.825019999989</v>
      </c>
      <c r="H513" s="71">
        <f>SUM(H515:H525)</f>
        <v>0.36650196362033455</v>
      </c>
      <c r="I513" s="70">
        <v>15598.825019999989</v>
      </c>
      <c r="J513" s="71">
        <f>SUM(J515:J525)</f>
        <v>0.36650196362033455</v>
      </c>
      <c r="K513" s="70">
        <v>15598.825019999989</v>
      </c>
      <c r="L513" s="71">
        <f>SUM(L515:L525)</f>
        <v>0.36650196362033455</v>
      </c>
      <c r="M513" s="70">
        <f>SUM(C513,E513,G513,I513,K513)</f>
        <v>77994.125099999947</v>
      </c>
      <c r="N513" s="71">
        <f>SUM(N515:N525)</f>
        <v>7.3300392724066896E-2</v>
      </c>
      <c r="O513" s="151"/>
    </row>
    <row r="514" spans="1:15" ht="15" thickBot="1" x14ac:dyDescent="0.4">
      <c r="A514" t="s">
        <v>144</v>
      </c>
      <c r="B514" s="72" t="s">
        <v>168</v>
      </c>
      <c r="C514" s="73"/>
      <c r="D514" s="74">
        <f>(SUM(D515:D525)+C512)/C513</f>
        <v>2.3495485278565861E-5</v>
      </c>
      <c r="E514" s="73"/>
      <c r="F514" s="74">
        <f>(SUM(F515:F525)+E512)/E513</f>
        <v>2.3495485278565861E-5</v>
      </c>
      <c r="G514" s="73"/>
      <c r="H514" s="74">
        <f>(SUM(H515:H525)+G512)/G513</f>
        <v>2.3495485278565861E-5</v>
      </c>
      <c r="I514" s="73"/>
      <c r="J514" s="74">
        <f>(SUM(J515:J525)+I512)/I513</f>
        <v>2.3495485278565861E-5</v>
      </c>
      <c r="K514" s="73"/>
      <c r="L514" s="74">
        <f>(SUM(L515:L525)+K512)/K513</f>
        <v>2.3495485278565861E-5</v>
      </c>
      <c r="M514" s="73"/>
      <c r="N514" s="74">
        <f>(SUM(N515:N525)+M512)/M513</f>
        <v>9.398194111426342E-7</v>
      </c>
      <c r="O514" s="151"/>
    </row>
    <row r="515" spans="1:15" x14ac:dyDescent="0.35">
      <c r="A515" t="s">
        <v>144</v>
      </c>
      <c r="B515" s="75" t="s">
        <v>169</v>
      </c>
      <c r="C515" s="76">
        <v>800</v>
      </c>
      <c r="D515" s="77">
        <f>C515/C513</f>
        <v>5.1285914097650452E-2</v>
      </c>
      <c r="E515" s="78">
        <v>800</v>
      </c>
      <c r="F515" s="79">
        <f>E515/E513</f>
        <v>5.1285914097650452E-2</v>
      </c>
      <c r="G515" s="80">
        <v>800</v>
      </c>
      <c r="H515" s="81">
        <f>G515/G513</f>
        <v>5.1285914097650452E-2</v>
      </c>
      <c r="I515" s="82">
        <v>800</v>
      </c>
      <c r="J515" s="83">
        <f>I515/I513</f>
        <v>5.1285914097650452E-2</v>
      </c>
      <c r="K515" s="84">
        <v>800</v>
      </c>
      <c r="L515" s="85">
        <f>K515/K513</f>
        <v>5.1285914097650452E-2</v>
      </c>
      <c r="M515" s="86">
        <v>800</v>
      </c>
      <c r="N515" s="87">
        <f>M515/M513</f>
        <v>1.025718281953009E-2</v>
      </c>
      <c r="O515" s="151"/>
    </row>
    <row r="516" spans="1:15" x14ac:dyDescent="0.35">
      <c r="A516" t="s">
        <v>144</v>
      </c>
      <c r="B516" s="75" t="s">
        <v>170</v>
      </c>
      <c r="C516" s="88">
        <v>0</v>
      </c>
      <c r="D516" s="77">
        <f>C516/C513</f>
        <v>0</v>
      </c>
      <c r="E516" s="90">
        <v>0</v>
      </c>
      <c r="F516" s="79">
        <f>E516/E513</f>
        <v>0</v>
      </c>
      <c r="G516" s="91">
        <v>0</v>
      </c>
      <c r="H516" s="81">
        <f>G516/G513</f>
        <v>0</v>
      </c>
      <c r="I516" s="92">
        <v>0</v>
      </c>
      <c r="J516" s="83">
        <f>I516/I513</f>
        <v>0</v>
      </c>
      <c r="K516" s="93">
        <v>0</v>
      </c>
      <c r="L516" s="85">
        <f>K516/K513</f>
        <v>0</v>
      </c>
      <c r="M516" s="23">
        <v>0</v>
      </c>
      <c r="N516" s="87">
        <f>M516/M513</f>
        <v>0</v>
      </c>
      <c r="O516" s="151"/>
    </row>
    <row r="517" spans="1:15" x14ac:dyDescent="0.35">
      <c r="A517" t="s">
        <v>144</v>
      </c>
      <c r="B517" s="75" t="s">
        <v>171</v>
      </c>
      <c r="C517" s="88">
        <v>104</v>
      </c>
      <c r="D517" s="77">
        <f>C517/C513</f>
        <v>6.6671688326945585E-3</v>
      </c>
      <c r="E517" s="90">
        <v>104</v>
      </c>
      <c r="F517" s="79">
        <f>E517/E513</f>
        <v>6.6671688326945585E-3</v>
      </c>
      <c r="G517" s="91">
        <v>104</v>
      </c>
      <c r="H517" s="81">
        <f>G517/G513</f>
        <v>6.6671688326945585E-3</v>
      </c>
      <c r="I517" s="92">
        <v>104</v>
      </c>
      <c r="J517" s="83">
        <f>I517/I513</f>
        <v>6.6671688326945585E-3</v>
      </c>
      <c r="K517" s="93">
        <v>104</v>
      </c>
      <c r="L517" s="85">
        <f>K517/K513</f>
        <v>6.6671688326945585E-3</v>
      </c>
      <c r="M517" s="23">
        <v>104</v>
      </c>
      <c r="N517" s="87">
        <f>M517/M513</f>
        <v>1.3334337665389117E-3</v>
      </c>
      <c r="O517" s="151"/>
    </row>
    <row r="518" spans="1:15" x14ac:dyDescent="0.35">
      <c r="A518" t="s">
        <v>144</v>
      </c>
      <c r="B518" s="75" t="s">
        <v>172</v>
      </c>
      <c r="C518" s="88">
        <v>0</v>
      </c>
      <c r="D518" s="77">
        <f>C518/C513</f>
        <v>0</v>
      </c>
      <c r="E518" s="90">
        <v>0</v>
      </c>
      <c r="F518" s="79">
        <f>E518/E513</f>
        <v>0</v>
      </c>
      <c r="G518" s="91">
        <v>0</v>
      </c>
      <c r="H518" s="81">
        <f>G518/G513</f>
        <v>0</v>
      </c>
      <c r="I518" s="92">
        <v>0</v>
      </c>
      <c r="J518" s="83">
        <f>I518/I513</f>
        <v>0</v>
      </c>
      <c r="K518" s="93">
        <v>0</v>
      </c>
      <c r="L518" s="85">
        <f>K518/K513</f>
        <v>0</v>
      </c>
      <c r="M518" s="23">
        <v>0</v>
      </c>
      <c r="N518" s="87">
        <f>M518/M513</f>
        <v>0</v>
      </c>
      <c r="O518" s="151"/>
    </row>
    <row r="519" spans="1:15" x14ac:dyDescent="0.35">
      <c r="A519" t="s">
        <v>144</v>
      </c>
      <c r="B519" s="75" t="s">
        <v>173</v>
      </c>
      <c r="C519" s="94">
        <v>3619</v>
      </c>
      <c r="D519" s="77">
        <f>C519/C513</f>
        <v>0.23200465389924621</v>
      </c>
      <c r="E519" s="95">
        <v>3619</v>
      </c>
      <c r="F519" s="79">
        <f>E519/E513</f>
        <v>0.23200465389924621</v>
      </c>
      <c r="G519" s="96">
        <v>3619</v>
      </c>
      <c r="H519" s="81">
        <f>G519/G513</f>
        <v>0.23200465389924621</v>
      </c>
      <c r="I519" s="97">
        <v>3619</v>
      </c>
      <c r="J519" s="83">
        <f>I519/I513</f>
        <v>0.23200465389924621</v>
      </c>
      <c r="K519" s="98">
        <v>3619</v>
      </c>
      <c r="L519" s="85">
        <f>K519/K513</f>
        <v>0.23200465389924621</v>
      </c>
      <c r="M519" s="99">
        <v>3619</v>
      </c>
      <c r="N519" s="87">
        <f>M519/M513</f>
        <v>4.6400930779849241E-2</v>
      </c>
      <c r="O519" s="151"/>
    </row>
    <row r="520" spans="1:15" x14ac:dyDescent="0.35">
      <c r="A520" t="s">
        <v>144</v>
      </c>
      <c r="B520" s="75" t="s">
        <v>174</v>
      </c>
      <c r="C520" s="88">
        <v>956</v>
      </c>
      <c r="D520" s="77">
        <f>C520/C513</f>
        <v>6.1286667346692289E-2</v>
      </c>
      <c r="E520" s="90">
        <v>956</v>
      </c>
      <c r="F520" s="79">
        <f>E520/E513</f>
        <v>6.1286667346692289E-2</v>
      </c>
      <c r="G520" s="91">
        <v>956</v>
      </c>
      <c r="H520" s="81">
        <f>G520/G513</f>
        <v>6.1286667346692289E-2</v>
      </c>
      <c r="I520" s="92">
        <v>956</v>
      </c>
      <c r="J520" s="83">
        <f>I520/I513</f>
        <v>6.1286667346692289E-2</v>
      </c>
      <c r="K520" s="93">
        <v>956</v>
      </c>
      <c r="L520" s="85">
        <f>K520/K513</f>
        <v>6.1286667346692289E-2</v>
      </c>
      <c r="M520" s="23">
        <v>956</v>
      </c>
      <c r="N520" s="87">
        <f>M520/M513</f>
        <v>1.2257333469338457E-2</v>
      </c>
      <c r="O520" s="151"/>
    </row>
    <row r="521" spans="1:15" x14ac:dyDescent="0.35">
      <c r="A521" t="s">
        <v>144</v>
      </c>
      <c r="B521" s="75" t="s">
        <v>175</v>
      </c>
      <c r="C521" s="88">
        <v>0</v>
      </c>
      <c r="D521" s="77">
        <f>C521/C513</f>
        <v>0</v>
      </c>
      <c r="E521" s="90">
        <v>0</v>
      </c>
      <c r="F521" s="79">
        <f>E521/E513</f>
        <v>0</v>
      </c>
      <c r="G521" s="91">
        <v>0</v>
      </c>
      <c r="H521" s="81">
        <f>G521/G513</f>
        <v>0</v>
      </c>
      <c r="I521" s="92">
        <v>0</v>
      </c>
      <c r="J521" s="83">
        <f>I521/I513</f>
        <v>0</v>
      </c>
      <c r="K521" s="93">
        <v>0</v>
      </c>
      <c r="L521" s="85">
        <f>K521/K513</f>
        <v>0</v>
      </c>
      <c r="M521" s="23">
        <v>0</v>
      </c>
      <c r="N521" s="87">
        <f>M521/M513</f>
        <v>0</v>
      </c>
      <c r="O521" s="151"/>
    </row>
    <row r="522" spans="1:15" x14ac:dyDescent="0.35">
      <c r="A522" t="s">
        <v>144</v>
      </c>
      <c r="B522" s="75" t="s">
        <v>176</v>
      </c>
      <c r="C522" s="88">
        <v>238</v>
      </c>
      <c r="D522" s="77">
        <f>C522/C513</f>
        <v>1.5257559444051008E-2</v>
      </c>
      <c r="E522" s="90">
        <v>238</v>
      </c>
      <c r="F522" s="79">
        <f>E522/E513</f>
        <v>1.5257559444051008E-2</v>
      </c>
      <c r="G522" s="91">
        <v>238</v>
      </c>
      <c r="H522" s="81">
        <f>G522/G513</f>
        <v>1.5257559444051008E-2</v>
      </c>
      <c r="I522" s="92">
        <v>238</v>
      </c>
      <c r="J522" s="83">
        <f>I522/I513</f>
        <v>1.5257559444051008E-2</v>
      </c>
      <c r="K522" s="93">
        <v>238</v>
      </c>
      <c r="L522" s="85">
        <f>K522/K513</f>
        <v>1.5257559444051008E-2</v>
      </c>
      <c r="M522" s="23">
        <v>238</v>
      </c>
      <c r="N522" s="87">
        <f>M522/M513</f>
        <v>3.0515118888102019E-3</v>
      </c>
      <c r="O522" s="151"/>
    </row>
    <row r="523" spans="1:15" x14ac:dyDescent="0.35">
      <c r="A523" t="s">
        <v>144</v>
      </c>
      <c r="B523" s="75" t="s">
        <v>177</v>
      </c>
      <c r="C523" s="88">
        <v>0</v>
      </c>
      <c r="D523" s="77">
        <f>C523/C513</f>
        <v>0</v>
      </c>
      <c r="E523" s="90">
        <v>0</v>
      </c>
      <c r="F523" s="79">
        <f>E523/E513</f>
        <v>0</v>
      </c>
      <c r="G523" s="91">
        <v>0</v>
      </c>
      <c r="H523" s="81">
        <f>G523/G513</f>
        <v>0</v>
      </c>
      <c r="I523" s="92">
        <v>0</v>
      </c>
      <c r="J523" s="83">
        <f>I523/I513</f>
        <v>0</v>
      </c>
      <c r="K523" s="93">
        <v>0</v>
      </c>
      <c r="L523" s="85">
        <f>K523/K513</f>
        <v>0</v>
      </c>
      <c r="M523" s="23">
        <v>0</v>
      </c>
      <c r="N523" s="87">
        <f>M523/M513</f>
        <v>0</v>
      </c>
      <c r="O523" s="151"/>
    </row>
    <row r="524" spans="1:15" x14ac:dyDescent="0.35">
      <c r="A524" t="s">
        <v>144</v>
      </c>
      <c r="B524" s="75" t="s">
        <v>178</v>
      </c>
      <c r="C524" s="88">
        <v>0</v>
      </c>
      <c r="D524" s="77">
        <f>C524/C513</f>
        <v>0</v>
      </c>
      <c r="E524" s="90">
        <v>0</v>
      </c>
      <c r="F524" s="79">
        <f>E524/E513</f>
        <v>0</v>
      </c>
      <c r="G524" s="91">
        <v>0</v>
      </c>
      <c r="H524" s="81">
        <f>G524/G513</f>
        <v>0</v>
      </c>
      <c r="I524" s="92">
        <v>0</v>
      </c>
      <c r="J524" s="83">
        <f>I524/I513</f>
        <v>0</v>
      </c>
      <c r="K524" s="93">
        <v>0</v>
      </c>
      <c r="L524" s="85">
        <f>K524/K513</f>
        <v>0</v>
      </c>
      <c r="M524" s="23">
        <v>0</v>
      </c>
      <c r="N524" s="87">
        <f>M524/M513</f>
        <v>0</v>
      </c>
      <c r="O524" s="151"/>
    </row>
    <row r="525" spans="1:15" ht="15" thickBot="1" x14ac:dyDescent="0.4">
      <c r="A525" t="s">
        <v>144</v>
      </c>
      <c r="B525" s="100" t="s">
        <v>179</v>
      </c>
      <c r="C525" s="101">
        <v>0</v>
      </c>
      <c r="D525" s="113">
        <f t="shared" ref="D525" si="44">C525/$C$33</f>
        <v>0</v>
      </c>
      <c r="E525" s="103">
        <v>0</v>
      </c>
      <c r="F525" s="104">
        <f>E525/E513</f>
        <v>0</v>
      </c>
      <c r="G525" s="105">
        <v>0</v>
      </c>
      <c r="H525" s="106">
        <f>G525/G513</f>
        <v>0</v>
      </c>
      <c r="I525" s="107">
        <v>0</v>
      </c>
      <c r="J525" s="108">
        <f>I525/I513</f>
        <v>0</v>
      </c>
      <c r="K525" s="109">
        <v>0</v>
      </c>
      <c r="L525" s="110">
        <f>K525/K513</f>
        <v>0</v>
      </c>
      <c r="M525" s="25">
        <v>0</v>
      </c>
      <c r="N525" s="111">
        <f>M525/M513</f>
        <v>0</v>
      </c>
      <c r="O525" s="151"/>
    </row>
    <row r="526" spans="1:15" ht="15" thickBot="1" x14ac:dyDescent="0.4">
      <c r="D526" s="26"/>
      <c r="F526" s="26"/>
      <c r="H526" s="26"/>
      <c r="J526" s="26"/>
      <c r="L526" s="26"/>
      <c r="N526" s="26"/>
    </row>
    <row r="527" spans="1:15" ht="15" thickBot="1" x14ac:dyDescent="0.4">
      <c r="A527" t="s">
        <v>146</v>
      </c>
      <c r="B527" s="65" t="s">
        <v>166</v>
      </c>
      <c r="C527" s="66">
        <v>0</v>
      </c>
      <c r="D527" s="67"/>
      <c r="E527" s="66">
        <v>0</v>
      </c>
      <c r="F527" s="67"/>
      <c r="G527" s="66">
        <v>0</v>
      </c>
      <c r="H527" s="67"/>
      <c r="I527" s="66">
        <v>0</v>
      </c>
      <c r="J527" s="67"/>
      <c r="K527" s="66">
        <v>0</v>
      </c>
      <c r="L527" s="67"/>
      <c r="M527" s="68">
        <f>SUM(C527,E527,G527,I527,K527)</f>
        <v>0</v>
      </c>
      <c r="N527" s="67"/>
      <c r="O527" s="150" t="s">
        <v>147</v>
      </c>
    </row>
    <row r="528" spans="1:15" ht="15" thickBot="1" x14ac:dyDescent="0.4">
      <c r="A528" t="s">
        <v>146</v>
      </c>
      <c r="B528" s="69" t="s">
        <v>167</v>
      </c>
      <c r="C528" s="70">
        <v>15598.825019999989</v>
      </c>
      <c r="D528" s="71">
        <f>SUM(D530:D540)</f>
        <v>0.36650196362033455</v>
      </c>
      <c r="E528" s="70">
        <v>15598.825019999989</v>
      </c>
      <c r="F528" s="71">
        <f>SUM(F530:F540)</f>
        <v>0.36650196362033455</v>
      </c>
      <c r="G528" s="70">
        <v>15598.825019999989</v>
      </c>
      <c r="H528" s="71">
        <f>SUM(H530:H540)</f>
        <v>0.36650196362033455</v>
      </c>
      <c r="I528" s="70">
        <v>15598.825019999989</v>
      </c>
      <c r="J528" s="71">
        <f>SUM(J530:J540)</f>
        <v>0.36650196362033455</v>
      </c>
      <c r="K528" s="70">
        <v>15598.825019999989</v>
      </c>
      <c r="L528" s="71">
        <f>SUM(L530:L540)</f>
        <v>0.36650196362033455</v>
      </c>
      <c r="M528" s="70">
        <f>SUM(C528,E528,G528,I528,K528)</f>
        <v>77994.125099999947</v>
      </c>
      <c r="N528" s="71">
        <f>SUM(N530:N540)</f>
        <v>7.3300392724066896E-2</v>
      </c>
      <c r="O528" s="151"/>
    </row>
    <row r="529" spans="1:15" ht="15" thickBot="1" x14ac:dyDescent="0.4">
      <c r="A529" t="s">
        <v>146</v>
      </c>
      <c r="B529" s="72" t="s">
        <v>168</v>
      </c>
      <c r="C529" s="73"/>
      <c r="D529" s="74">
        <f>(SUM(D530:D540)+C527)/C528</f>
        <v>2.3495485278565861E-5</v>
      </c>
      <c r="E529" s="73"/>
      <c r="F529" s="74">
        <f>(SUM(F530:F540)+E527)/E528</f>
        <v>2.3495485278565861E-5</v>
      </c>
      <c r="G529" s="73"/>
      <c r="H529" s="74">
        <f>(SUM(H530:H540)+G527)/G528</f>
        <v>2.3495485278565861E-5</v>
      </c>
      <c r="I529" s="73"/>
      <c r="J529" s="74">
        <f>(SUM(J530:J540)+I527)/I528</f>
        <v>2.3495485278565861E-5</v>
      </c>
      <c r="K529" s="73"/>
      <c r="L529" s="74">
        <f>(SUM(L530:L540)+K527)/K528</f>
        <v>2.3495485278565861E-5</v>
      </c>
      <c r="M529" s="73"/>
      <c r="N529" s="74">
        <f>(SUM(N530:N540)+M527)/M528</f>
        <v>9.398194111426342E-7</v>
      </c>
      <c r="O529" s="151"/>
    </row>
    <row r="530" spans="1:15" x14ac:dyDescent="0.35">
      <c r="A530" t="s">
        <v>146</v>
      </c>
      <c r="B530" s="75" t="s">
        <v>169</v>
      </c>
      <c r="C530" s="76">
        <v>800</v>
      </c>
      <c r="D530" s="77">
        <f>C530/C528</f>
        <v>5.1285914097650452E-2</v>
      </c>
      <c r="E530" s="78">
        <v>800</v>
      </c>
      <c r="F530" s="79">
        <f>E530/E528</f>
        <v>5.1285914097650452E-2</v>
      </c>
      <c r="G530" s="80">
        <v>800</v>
      </c>
      <c r="H530" s="81">
        <f>G530/G528</f>
        <v>5.1285914097650452E-2</v>
      </c>
      <c r="I530" s="82">
        <v>800</v>
      </c>
      <c r="J530" s="83">
        <f>I530/I528</f>
        <v>5.1285914097650452E-2</v>
      </c>
      <c r="K530" s="84">
        <v>800</v>
      </c>
      <c r="L530" s="85">
        <f>K530/K528</f>
        <v>5.1285914097650452E-2</v>
      </c>
      <c r="M530" s="86">
        <v>800</v>
      </c>
      <c r="N530" s="87">
        <f>M530/M528</f>
        <v>1.025718281953009E-2</v>
      </c>
      <c r="O530" s="151"/>
    </row>
    <row r="531" spans="1:15" x14ac:dyDescent="0.35">
      <c r="A531" t="s">
        <v>146</v>
      </c>
      <c r="B531" s="75" t="s">
        <v>170</v>
      </c>
      <c r="C531" s="88">
        <v>0</v>
      </c>
      <c r="D531" s="77">
        <f>C531/C528</f>
        <v>0</v>
      </c>
      <c r="E531" s="90">
        <v>0</v>
      </c>
      <c r="F531" s="79">
        <f>E531/E528</f>
        <v>0</v>
      </c>
      <c r="G531" s="91">
        <v>0</v>
      </c>
      <c r="H531" s="81">
        <f>G531/G528</f>
        <v>0</v>
      </c>
      <c r="I531" s="92">
        <v>0</v>
      </c>
      <c r="J531" s="83">
        <f>I531/I528</f>
        <v>0</v>
      </c>
      <c r="K531" s="93">
        <v>0</v>
      </c>
      <c r="L531" s="85">
        <f>K531/K528</f>
        <v>0</v>
      </c>
      <c r="M531" s="23">
        <v>0</v>
      </c>
      <c r="N531" s="87">
        <f>M531/M528</f>
        <v>0</v>
      </c>
      <c r="O531" s="151"/>
    </row>
    <row r="532" spans="1:15" x14ac:dyDescent="0.35">
      <c r="A532" t="s">
        <v>146</v>
      </c>
      <c r="B532" s="75" t="s">
        <v>171</v>
      </c>
      <c r="C532" s="88">
        <v>104</v>
      </c>
      <c r="D532" s="77">
        <f>C532/C528</f>
        <v>6.6671688326945585E-3</v>
      </c>
      <c r="E532" s="90">
        <v>104</v>
      </c>
      <c r="F532" s="79">
        <f>E532/E528</f>
        <v>6.6671688326945585E-3</v>
      </c>
      <c r="G532" s="91">
        <v>104</v>
      </c>
      <c r="H532" s="81">
        <f>G532/G528</f>
        <v>6.6671688326945585E-3</v>
      </c>
      <c r="I532" s="92">
        <v>104</v>
      </c>
      <c r="J532" s="83">
        <f>I532/I528</f>
        <v>6.6671688326945585E-3</v>
      </c>
      <c r="K532" s="93">
        <v>104</v>
      </c>
      <c r="L532" s="85">
        <f>K532/K528</f>
        <v>6.6671688326945585E-3</v>
      </c>
      <c r="M532" s="23">
        <v>104</v>
      </c>
      <c r="N532" s="87">
        <f>M532/M528</f>
        <v>1.3334337665389117E-3</v>
      </c>
      <c r="O532" s="151"/>
    </row>
    <row r="533" spans="1:15" x14ac:dyDescent="0.35">
      <c r="A533" t="s">
        <v>146</v>
      </c>
      <c r="B533" s="75" t="s">
        <v>172</v>
      </c>
      <c r="C533" s="88">
        <v>0</v>
      </c>
      <c r="D533" s="77">
        <f>C533/C528</f>
        <v>0</v>
      </c>
      <c r="E533" s="90">
        <v>0</v>
      </c>
      <c r="F533" s="79">
        <f>E533/E528</f>
        <v>0</v>
      </c>
      <c r="G533" s="91">
        <v>0</v>
      </c>
      <c r="H533" s="81">
        <f>G533/G528</f>
        <v>0</v>
      </c>
      <c r="I533" s="92">
        <v>0</v>
      </c>
      <c r="J533" s="83">
        <f>I533/I528</f>
        <v>0</v>
      </c>
      <c r="K533" s="93">
        <v>0</v>
      </c>
      <c r="L533" s="85">
        <f>K533/K528</f>
        <v>0</v>
      </c>
      <c r="M533" s="23">
        <v>0</v>
      </c>
      <c r="N533" s="87">
        <f>M533/M528</f>
        <v>0</v>
      </c>
      <c r="O533" s="151"/>
    </row>
    <row r="534" spans="1:15" x14ac:dyDescent="0.35">
      <c r="A534" t="s">
        <v>146</v>
      </c>
      <c r="B534" s="75" t="s">
        <v>173</v>
      </c>
      <c r="C534" s="94">
        <v>3619</v>
      </c>
      <c r="D534" s="77">
        <f>C534/C528</f>
        <v>0.23200465389924621</v>
      </c>
      <c r="E534" s="95">
        <v>3619</v>
      </c>
      <c r="F534" s="79">
        <f>E534/E528</f>
        <v>0.23200465389924621</v>
      </c>
      <c r="G534" s="96">
        <v>3619</v>
      </c>
      <c r="H534" s="81">
        <f>G534/G528</f>
        <v>0.23200465389924621</v>
      </c>
      <c r="I534" s="97">
        <v>3619</v>
      </c>
      <c r="J534" s="83">
        <f>I534/I528</f>
        <v>0.23200465389924621</v>
      </c>
      <c r="K534" s="98">
        <v>3619</v>
      </c>
      <c r="L534" s="85">
        <f>K534/K528</f>
        <v>0.23200465389924621</v>
      </c>
      <c r="M534" s="99">
        <v>3619</v>
      </c>
      <c r="N534" s="87">
        <f>M534/M528</f>
        <v>4.6400930779849241E-2</v>
      </c>
      <c r="O534" s="151"/>
    </row>
    <row r="535" spans="1:15" x14ac:dyDescent="0.35">
      <c r="A535" t="s">
        <v>146</v>
      </c>
      <c r="B535" s="75" t="s">
        <v>174</v>
      </c>
      <c r="C535" s="88">
        <v>956</v>
      </c>
      <c r="D535" s="77">
        <f>C535/C528</f>
        <v>6.1286667346692289E-2</v>
      </c>
      <c r="E535" s="90">
        <v>956</v>
      </c>
      <c r="F535" s="79">
        <f>E535/E528</f>
        <v>6.1286667346692289E-2</v>
      </c>
      <c r="G535" s="91">
        <v>956</v>
      </c>
      <c r="H535" s="81">
        <f>G535/G528</f>
        <v>6.1286667346692289E-2</v>
      </c>
      <c r="I535" s="92">
        <v>956</v>
      </c>
      <c r="J535" s="83">
        <f>I535/I528</f>
        <v>6.1286667346692289E-2</v>
      </c>
      <c r="K535" s="93">
        <v>956</v>
      </c>
      <c r="L535" s="85">
        <f>K535/K528</f>
        <v>6.1286667346692289E-2</v>
      </c>
      <c r="M535" s="23">
        <v>956</v>
      </c>
      <c r="N535" s="87">
        <f>M535/M528</f>
        <v>1.2257333469338457E-2</v>
      </c>
      <c r="O535" s="151"/>
    </row>
    <row r="536" spans="1:15" x14ac:dyDescent="0.35">
      <c r="A536" t="s">
        <v>146</v>
      </c>
      <c r="B536" s="75" t="s">
        <v>175</v>
      </c>
      <c r="C536" s="88">
        <v>0</v>
      </c>
      <c r="D536" s="77">
        <f>C536/C528</f>
        <v>0</v>
      </c>
      <c r="E536" s="90">
        <v>0</v>
      </c>
      <c r="F536" s="79">
        <f>E536/E528</f>
        <v>0</v>
      </c>
      <c r="G536" s="91">
        <v>0</v>
      </c>
      <c r="H536" s="81">
        <f>G536/G528</f>
        <v>0</v>
      </c>
      <c r="I536" s="92">
        <v>0</v>
      </c>
      <c r="J536" s="83">
        <f>I536/I528</f>
        <v>0</v>
      </c>
      <c r="K536" s="93">
        <v>0</v>
      </c>
      <c r="L536" s="85">
        <f>K536/K528</f>
        <v>0</v>
      </c>
      <c r="M536" s="23">
        <v>0</v>
      </c>
      <c r="N536" s="87">
        <f>M536/M528</f>
        <v>0</v>
      </c>
      <c r="O536" s="151"/>
    </row>
    <row r="537" spans="1:15" x14ac:dyDescent="0.35">
      <c r="A537" t="s">
        <v>146</v>
      </c>
      <c r="B537" s="75" t="s">
        <v>176</v>
      </c>
      <c r="C537" s="88">
        <v>238</v>
      </c>
      <c r="D537" s="77">
        <f>C537/C528</f>
        <v>1.5257559444051008E-2</v>
      </c>
      <c r="E537" s="90">
        <v>238</v>
      </c>
      <c r="F537" s="79">
        <f>E537/E528</f>
        <v>1.5257559444051008E-2</v>
      </c>
      <c r="G537" s="91">
        <v>238</v>
      </c>
      <c r="H537" s="81">
        <f>G537/G528</f>
        <v>1.5257559444051008E-2</v>
      </c>
      <c r="I537" s="92">
        <v>238</v>
      </c>
      <c r="J537" s="83">
        <f>I537/I528</f>
        <v>1.5257559444051008E-2</v>
      </c>
      <c r="K537" s="93">
        <v>238</v>
      </c>
      <c r="L537" s="85">
        <f>K537/K528</f>
        <v>1.5257559444051008E-2</v>
      </c>
      <c r="M537" s="23">
        <v>238</v>
      </c>
      <c r="N537" s="87">
        <f>M537/M528</f>
        <v>3.0515118888102019E-3</v>
      </c>
      <c r="O537" s="151"/>
    </row>
    <row r="538" spans="1:15" x14ac:dyDescent="0.35">
      <c r="A538" t="s">
        <v>146</v>
      </c>
      <c r="B538" s="75" t="s">
        <v>177</v>
      </c>
      <c r="C538" s="88">
        <v>0</v>
      </c>
      <c r="D538" s="77">
        <f>C538/C528</f>
        <v>0</v>
      </c>
      <c r="E538" s="90">
        <v>0</v>
      </c>
      <c r="F538" s="79">
        <f>E538/E528</f>
        <v>0</v>
      </c>
      <c r="G538" s="91">
        <v>0</v>
      </c>
      <c r="H538" s="81">
        <f>G538/G528</f>
        <v>0</v>
      </c>
      <c r="I538" s="92">
        <v>0</v>
      </c>
      <c r="J538" s="83">
        <f>I538/I528</f>
        <v>0</v>
      </c>
      <c r="K538" s="93">
        <v>0</v>
      </c>
      <c r="L538" s="85">
        <f>K538/K528</f>
        <v>0</v>
      </c>
      <c r="M538" s="23">
        <v>0</v>
      </c>
      <c r="N538" s="87">
        <f>M538/M528</f>
        <v>0</v>
      </c>
      <c r="O538" s="151"/>
    </row>
    <row r="539" spans="1:15" x14ac:dyDescent="0.35">
      <c r="A539" t="s">
        <v>146</v>
      </c>
      <c r="B539" s="75" t="s">
        <v>178</v>
      </c>
      <c r="C539" s="88">
        <v>0</v>
      </c>
      <c r="D539" s="77">
        <f>C539/C528</f>
        <v>0</v>
      </c>
      <c r="E539" s="90">
        <v>0</v>
      </c>
      <c r="F539" s="79">
        <f>E539/E528</f>
        <v>0</v>
      </c>
      <c r="G539" s="91">
        <v>0</v>
      </c>
      <c r="H539" s="81">
        <f>G539/G528</f>
        <v>0</v>
      </c>
      <c r="I539" s="92">
        <v>0</v>
      </c>
      <c r="J539" s="83">
        <f>I539/I528</f>
        <v>0</v>
      </c>
      <c r="K539" s="93">
        <v>0</v>
      </c>
      <c r="L539" s="85">
        <f>K539/K528</f>
        <v>0</v>
      </c>
      <c r="M539" s="23">
        <v>0</v>
      </c>
      <c r="N539" s="87">
        <f>M539/M528</f>
        <v>0</v>
      </c>
      <c r="O539" s="151"/>
    </row>
    <row r="540" spans="1:15" ht="15" thickBot="1" x14ac:dyDescent="0.4">
      <c r="A540" t="s">
        <v>146</v>
      </c>
      <c r="B540" s="100" t="s">
        <v>179</v>
      </c>
      <c r="C540" s="101">
        <v>0</v>
      </c>
      <c r="D540" s="113">
        <f t="shared" ref="D540" si="45">C540/$C$33</f>
        <v>0</v>
      </c>
      <c r="E540" s="103">
        <v>0</v>
      </c>
      <c r="F540" s="104">
        <f>E540/E528</f>
        <v>0</v>
      </c>
      <c r="G540" s="105">
        <v>0</v>
      </c>
      <c r="H540" s="106">
        <f>G540/G528</f>
        <v>0</v>
      </c>
      <c r="I540" s="107">
        <v>0</v>
      </c>
      <c r="J540" s="108">
        <f>I540/I528</f>
        <v>0</v>
      </c>
      <c r="K540" s="109">
        <v>0</v>
      </c>
      <c r="L540" s="110">
        <f>K540/K528</f>
        <v>0</v>
      </c>
      <c r="M540" s="25">
        <v>0</v>
      </c>
      <c r="N540" s="111">
        <f>M540/M528</f>
        <v>0</v>
      </c>
      <c r="O540" s="151"/>
    </row>
    <row r="541" spans="1:15" ht="15" thickBot="1" x14ac:dyDescent="0.4">
      <c r="D541" s="26"/>
      <c r="F541" s="26"/>
      <c r="H541" s="26"/>
      <c r="J541" s="26"/>
      <c r="L541" s="26"/>
      <c r="N541" s="26"/>
    </row>
    <row r="542" spans="1:15" ht="15" thickBot="1" x14ac:dyDescent="0.4">
      <c r="A542" t="s">
        <v>148</v>
      </c>
      <c r="B542" s="65" t="s">
        <v>166</v>
      </c>
      <c r="C542" s="66">
        <v>0</v>
      </c>
      <c r="D542" s="67"/>
      <c r="E542" s="66">
        <v>0</v>
      </c>
      <c r="F542" s="67"/>
      <c r="G542" s="66">
        <v>0</v>
      </c>
      <c r="H542" s="67"/>
      <c r="I542" s="66">
        <v>0</v>
      </c>
      <c r="J542" s="67"/>
      <c r="K542" s="66">
        <v>0</v>
      </c>
      <c r="L542" s="67"/>
      <c r="M542" s="68">
        <f>SUM(C542,E542,G542,I542,K542)</f>
        <v>0</v>
      </c>
      <c r="N542" s="67"/>
      <c r="O542" s="150" t="s">
        <v>149</v>
      </c>
    </row>
    <row r="543" spans="1:15" ht="15" thickBot="1" x14ac:dyDescent="0.4">
      <c r="A543" t="s">
        <v>148</v>
      </c>
      <c r="B543" s="69" t="s">
        <v>167</v>
      </c>
      <c r="C543" s="70">
        <v>15598.825019999989</v>
      </c>
      <c r="D543" s="71">
        <f>SUM(D545:D555)</f>
        <v>0.36650196362033455</v>
      </c>
      <c r="E543" s="70">
        <v>15598.825019999989</v>
      </c>
      <c r="F543" s="71">
        <f>SUM(F545:F555)</f>
        <v>0.36650196362033455</v>
      </c>
      <c r="G543" s="70">
        <v>15598.825019999989</v>
      </c>
      <c r="H543" s="71">
        <f>SUM(H545:H555)</f>
        <v>0.36650196362033455</v>
      </c>
      <c r="I543" s="70">
        <v>15598.825019999989</v>
      </c>
      <c r="J543" s="71">
        <f>SUM(J545:J555)</f>
        <v>0.36650196362033455</v>
      </c>
      <c r="K543" s="70">
        <v>15598.825019999989</v>
      </c>
      <c r="L543" s="71">
        <f>SUM(L545:L555)</f>
        <v>0.36650196362033455</v>
      </c>
      <c r="M543" s="70">
        <f>SUM(C543,E543,G543,I543,K543)</f>
        <v>77994.125099999947</v>
      </c>
      <c r="N543" s="71">
        <f>SUM(N545:N555)</f>
        <v>7.3300392724066896E-2</v>
      </c>
      <c r="O543" s="151"/>
    </row>
    <row r="544" spans="1:15" ht="15" thickBot="1" x14ac:dyDescent="0.4">
      <c r="A544" t="s">
        <v>148</v>
      </c>
      <c r="B544" s="72" t="s">
        <v>168</v>
      </c>
      <c r="C544" s="73"/>
      <c r="D544" s="74">
        <f>(SUM(D545:D555)+C542)/C543</f>
        <v>2.3495485278565861E-5</v>
      </c>
      <c r="E544" s="73"/>
      <c r="F544" s="74">
        <f>(SUM(F545:F555)+E542)/E543</f>
        <v>2.3495485278565861E-5</v>
      </c>
      <c r="G544" s="73"/>
      <c r="H544" s="74">
        <f>(SUM(H545:H555)+G542)/G543</f>
        <v>2.3495485278565861E-5</v>
      </c>
      <c r="I544" s="73"/>
      <c r="J544" s="74">
        <f>(SUM(J545:J555)+I542)/I543</f>
        <v>2.3495485278565861E-5</v>
      </c>
      <c r="K544" s="73"/>
      <c r="L544" s="74">
        <f>(SUM(L545:L555)+K542)/K543</f>
        <v>2.3495485278565861E-5</v>
      </c>
      <c r="M544" s="73"/>
      <c r="N544" s="74">
        <f>(SUM(N545:N555)+M542)/M543</f>
        <v>9.398194111426342E-7</v>
      </c>
      <c r="O544" s="151"/>
    </row>
    <row r="545" spans="1:15" x14ac:dyDescent="0.35">
      <c r="A545" t="s">
        <v>148</v>
      </c>
      <c r="B545" s="75" t="s">
        <v>169</v>
      </c>
      <c r="C545" s="76">
        <v>800</v>
      </c>
      <c r="D545" s="77">
        <f>C545/C543</f>
        <v>5.1285914097650452E-2</v>
      </c>
      <c r="E545" s="78">
        <v>800</v>
      </c>
      <c r="F545" s="79">
        <f>E545/E543</f>
        <v>5.1285914097650452E-2</v>
      </c>
      <c r="G545" s="80">
        <v>800</v>
      </c>
      <c r="H545" s="81">
        <f>G545/G543</f>
        <v>5.1285914097650452E-2</v>
      </c>
      <c r="I545" s="82">
        <v>800</v>
      </c>
      <c r="J545" s="83">
        <f>I545/I543</f>
        <v>5.1285914097650452E-2</v>
      </c>
      <c r="K545" s="84">
        <v>800</v>
      </c>
      <c r="L545" s="85">
        <f>K545/K543</f>
        <v>5.1285914097650452E-2</v>
      </c>
      <c r="M545" s="86">
        <v>800</v>
      </c>
      <c r="N545" s="87">
        <f>M545/M543</f>
        <v>1.025718281953009E-2</v>
      </c>
      <c r="O545" s="151"/>
    </row>
    <row r="546" spans="1:15" x14ac:dyDescent="0.35">
      <c r="A546" t="s">
        <v>148</v>
      </c>
      <c r="B546" s="75" t="s">
        <v>170</v>
      </c>
      <c r="C546" s="88">
        <v>0</v>
      </c>
      <c r="D546" s="77">
        <f>C546/C543</f>
        <v>0</v>
      </c>
      <c r="E546" s="90">
        <v>0</v>
      </c>
      <c r="F546" s="79">
        <f>E546/E543</f>
        <v>0</v>
      </c>
      <c r="G546" s="91">
        <v>0</v>
      </c>
      <c r="H546" s="81">
        <f>G546/G543</f>
        <v>0</v>
      </c>
      <c r="I546" s="92">
        <v>0</v>
      </c>
      <c r="J546" s="83">
        <f>I546/I543</f>
        <v>0</v>
      </c>
      <c r="K546" s="93">
        <v>0</v>
      </c>
      <c r="L546" s="85">
        <f>K546/K543</f>
        <v>0</v>
      </c>
      <c r="M546" s="23">
        <v>0</v>
      </c>
      <c r="N546" s="87">
        <f>M546/M543</f>
        <v>0</v>
      </c>
      <c r="O546" s="151"/>
    </row>
    <row r="547" spans="1:15" x14ac:dyDescent="0.35">
      <c r="A547" t="s">
        <v>148</v>
      </c>
      <c r="B547" s="75" t="s">
        <v>171</v>
      </c>
      <c r="C547" s="88">
        <v>104</v>
      </c>
      <c r="D547" s="77">
        <f>C547/C543</f>
        <v>6.6671688326945585E-3</v>
      </c>
      <c r="E547" s="90">
        <v>104</v>
      </c>
      <c r="F547" s="79">
        <f>E547/E543</f>
        <v>6.6671688326945585E-3</v>
      </c>
      <c r="G547" s="91">
        <v>104</v>
      </c>
      <c r="H547" s="81">
        <f>G547/G543</f>
        <v>6.6671688326945585E-3</v>
      </c>
      <c r="I547" s="92">
        <v>104</v>
      </c>
      <c r="J547" s="83">
        <f>I547/I543</f>
        <v>6.6671688326945585E-3</v>
      </c>
      <c r="K547" s="93">
        <v>104</v>
      </c>
      <c r="L547" s="85">
        <f>K547/K543</f>
        <v>6.6671688326945585E-3</v>
      </c>
      <c r="M547" s="23">
        <v>104</v>
      </c>
      <c r="N547" s="87">
        <f>M547/M543</f>
        <v>1.3334337665389117E-3</v>
      </c>
      <c r="O547" s="151"/>
    </row>
    <row r="548" spans="1:15" x14ac:dyDescent="0.35">
      <c r="A548" t="s">
        <v>148</v>
      </c>
      <c r="B548" s="75" t="s">
        <v>172</v>
      </c>
      <c r="C548" s="88">
        <v>0</v>
      </c>
      <c r="D548" s="77">
        <f>C548/C543</f>
        <v>0</v>
      </c>
      <c r="E548" s="90">
        <v>0</v>
      </c>
      <c r="F548" s="79">
        <f>E548/E543</f>
        <v>0</v>
      </c>
      <c r="G548" s="91">
        <v>0</v>
      </c>
      <c r="H548" s="81">
        <f>G548/G543</f>
        <v>0</v>
      </c>
      <c r="I548" s="92">
        <v>0</v>
      </c>
      <c r="J548" s="83">
        <f>I548/I543</f>
        <v>0</v>
      </c>
      <c r="K548" s="93">
        <v>0</v>
      </c>
      <c r="L548" s="85">
        <f>K548/K543</f>
        <v>0</v>
      </c>
      <c r="M548" s="23">
        <v>0</v>
      </c>
      <c r="N548" s="87">
        <f>M548/M543</f>
        <v>0</v>
      </c>
      <c r="O548" s="151"/>
    </row>
    <row r="549" spans="1:15" x14ac:dyDescent="0.35">
      <c r="A549" t="s">
        <v>148</v>
      </c>
      <c r="B549" s="75" t="s">
        <v>173</v>
      </c>
      <c r="C549" s="94">
        <v>3619</v>
      </c>
      <c r="D549" s="77">
        <f>C549/C543</f>
        <v>0.23200465389924621</v>
      </c>
      <c r="E549" s="95">
        <v>3619</v>
      </c>
      <c r="F549" s="79">
        <f>E549/E543</f>
        <v>0.23200465389924621</v>
      </c>
      <c r="G549" s="96">
        <v>3619</v>
      </c>
      <c r="H549" s="81">
        <f>G549/G543</f>
        <v>0.23200465389924621</v>
      </c>
      <c r="I549" s="97">
        <v>3619</v>
      </c>
      <c r="J549" s="83">
        <f>I549/I543</f>
        <v>0.23200465389924621</v>
      </c>
      <c r="K549" s="98">
        <v>3619</v>
      </c>
      <c r="L549" s="85">
        <f>K549/K543</f>
        <v>0.23200465389924621</v>
      </c>
      <c r="M549" s="99">
        <v>3619</v>
      </c>
      <c r="N549" s="87">
        <f>M549/M543</f>
        <v>4.6400930779849241E-2</v>
      </c>
      <c r="O549" s="151"/>
    </row>
    <row r="550" spans="1:15" x14ac:dyDescent="0.35">
      <c r="A550" t="s">
        <v>148</v>
      </c>
      <c r="B550" s="75" t="s">
        <v>174</v>
      </c>
      <c r="C550" s="88">
        <v>956</v>
      </c>
      <c r="D550" s="77">
        <f>C550/C543</f>
        <v>6.1286667346692289E-2</v>
      </c>
      <c r="E550" s="90">
        <v>956</v>
      </c>
      <c r="F550" s="79">
        <f>E550/E543</f>
        <v>6.1286667346692289E-2</v>
      </c>
      <c r="G550" s="91">
        <v>956</v>
      </c>
      <c r="H550" s="81">
        <f>G550/G543</f>
        <v>6.1286667346692289E-2</v>
      </c>
      <c r="I550" s="92">
        <v>956</v>
      </c>
      <c r="J550" s="83">
        <f>I550/I543</f>
        <v>6.1286667346692289E-2</v>
      </c>
      <c r="K550" s="93">
        <v>956</v>
      </c>
      <c r="L550" s="85">
        <f>K550/K543</f>
        <v>6.1286667346692289E-2</v>
      </c>
      <c r="M550" s="23">
        <v>956</v>
      </c>
      <c r="N550" s="87">
        <f>M550/M543</f>
        <v>1.2257333469338457E-2</v>
      </c>
      <c r="O550" s="151"/>
    </row>
    <row r="551" spans="1:15" x14ac:dyDescent="0.35">
      <c r="A551" t="s">
        <v>148</v>
      </c>
      <c r="B551" s="75" t="s">
        <v>175</v>
      </c>
      <c r="C551" s="88">
        <v>0</v>
      </c>
      <c r="D551" s="77">
        <f>C551/C543</f>
        <v>0</v>
      </c>
      <c r="E551" s="90">
        <v>0</v>
      </c>
      <c r="F551" s="79">
        <f>E551/E543</f>
        <v>0</v>
      </c>
      <c r="G551" s="91">
        <v>0</v>
      </c>
      <c r="H551" s="81">
        <f>G551/G543</f>
        <v>0</v>
      </c>
      <c r="I551" s="92">
        <v>0</v>
      </c>
      <c r="J551" s="83">
        <f>I551/I543</f>
        <v>0</v>
      </c>
      <c r="K551" s="93">
        <v>0</v>
      </c>
      <c r="L551" s="85">
        <f>K551/K543</f>
        <v>0</v>
      </c>
      <c r="M551" s="23">
        <v>0</v>
      </c>
      <c r="N551" s="87">
        <f>M551/M543</f>
        <v>0</v>
      </c>
      <c r="O551" s="151"/>
    </row>
    <row r="552" spans="1:15" x14ac:dyDescent="0.35">
      <c r="A552" t="s">
        <v>148</v>
      </c>
      <c r="B552" s="75" t="s">
        <v>176</v>
      </c>
      <c r="C552" s="88">
        <v>238</v>
      </c>
      <c r="D552" s="77">
        <f>C552/C543</f>
        <v>1.5257559444051008E-2</v>
      </c>
      <c r="E552" s="90">
        <v>238</v>
      </c>
      <c r="F552" s="79">
        <f>E552/E543</f>
        <v>1.5257559444051008E-2</v>
      </c>
      <c r="G552" s="91">
        <v>238</v>
      </c>
      <c r="H552" s="81">
        <f>G552/G543</f>
        <v>1.5257559444051008E-2</v>
      </c>
      <c r="I552" s="92">
        <v>238</v>
      </c>
      <c r="J552" s="83">
        <f>I552/I543</f>
        <v>1.5257559444051008E-2</v>
      </c>
      <c r="K552" s="93">
        <v>238</v>
      </c>
      <c r="L552" s="85">
        <f>K552/K543</f>
        <v>1.5257559444051008E-2</v>
      </c>
      <c r="M552" s="23">
        <v>238</v>
      </c>
      <c r="N552" s="87">
        <f>M552/M543</f>
        <v>3.0515118888102019E-3</v>
      </c>
      <c r="O552" s="151"/>
    </row>
    <row r="553" spans="1:15" x14ac:dyDescent="0.35">
      <c r="A553" t="s">
        <v>148</v>
      </c>
      <c r="B553" s="75" t="s">
        <v>177</v>
      </c>
      <c r="C553" s="88">
        <v>0</v>
      </c>
      <c r="D553" s="77">
        <f>C553/C543</f>
        <v>0</v>
      </c>
      <c r="E553" s="90">
        <v>0</v>
      </c>
      <c r="F553" s="79">
        <f>E553/E543</f>
        <v>0</v>
      </c>
      <c r="G553" s="91">
        <v>0</v>
      </c>
      <c r="H553" s="81">
        <f>G553/G543</f>
        <v>0</v>
      </c>
      <c r="I553" s="92">
        <v>0</v>
      </c>
      <c r="J553" s="83">
        <f>I553/I543</f>
        <v>0</v>
      </c>
      <c r="K553" s="93">
        <v>0</v>
      </c>
      <c r="L553" s="85">
        <f>K553/K543</f>
        <v>0</v>
      </c>
      <c r="M553" s="23">
        <v>0</v>
      </c>
      <c r="N553" s="87">
        <f>M553/M543</f>
        <v>0</v>
      </c>
      <c r="O553" s="151"/>
    </row>
    <row r="554" spans="1:15" x14ac:dyDescent="0.35">
      <c r="A554" t="s">
        <v>148</v>
      </c>
      <c r="B554" s="75" t="s">
        <v>178</v>
      </c>
      <c r="C554" s="88">
        <v>0</v>
      </c>
      <c r="D554" s="77">
        <f>C554/C543</f>
        <v>0</v>
      </c>
      <c r="E554" s="90">
        <v>0</v>
      </c>
      <c r="F554" s="79">
        <f>E554/E543</f>
        <v>0</v>
      </c>
      <c r="G554" s="91">
        <v>0</v>
      </c>
      <c r="H554" s="81">
        <f>G554/G543</f>
        <v>0</v>
      </c>
      <c r="I554" s="92">
        <v>0</v>
      </c>
      <c r="J554" s="83">
        <f>I554/I543</f>
        <v>0</v>
      </c>
      <c r="K554" s="93">
        <v>0</v>
      </c>
      <c r="L554" s="85">
        <f>K554/K543</f>
        <v>0</v>
      </c>
      <c r="M554" s="23">
        <v>0</v>
      </c>
      <c r="N554" s="87">
        <f>M554/M543</f>
        <v>0</v>
      </c>
      <c r="O554" s="151"/>
    </row>
    <row r="555" spans="1:15" ht="15" thickBot="1" x14ac:dyDescent="0.4">
      <c r="A555" t="s">
        <v>148</v>
      </c>
      <c r="B555" s="100" t="s">
        <v>179</v>
      </c>
      <c r="C555" s="101">
        <v>0</v>
      </c>
      <c r="D555" s="113">
        <f t="shared" ref="D555" si="46">C555/$C$33</f>
        <v>0</v>
      </c>
      <c r="E555" s="103">
        <v>0</v>
      </c>
      <c r="F555" s="104">
        <f>E555/E543</f>
        <v>0</v>
      </c>
      <c r="G555" s="105">
        <v>0</v>
      </c>
      <c r="H555" s="106">
        <f>G555/G543</f>
        <v>0</v>
      </c>
      <c r="I555" s="107">
        <v>0</v>
      </c>
      <c r="J555" s="108">
        <f>I555/I543</f>
        <v>0</v>
      </c>
      <c r="K555" s="109">
        <v>0</v>
      </c>
      <c r="L555" s="110">
        <f>K555/K543</f>
        <v>0</v>
      </c>
      <c r="M555" s="25">
        <v>0</v>
      </c>
      <c r="N555" s="111">
        <f>M555/M543</f>
        <v>0</v>
      </c>
      <c r="O555" s="151"/>
    </row>
    <row r="556" spans="1:15" ht="15" thickBot="1" x14ac:dyDescent="0.4">
      <c r="D556" s="26"/>
      <c r="F556" s="26"/>
      <c r="H556" s="26"/>
      <c r="J556" s="26"/>
      <c r="L556" s="26"/>
      <c r="N556" s="26"/>
    </row>
    <row r="557" spans="1:15" ht="15" thickBot="1" x14ac:dyDescent="0.4">
      <c r="A557" t="s">
        <v>150</v>
      </c>
      <c r="B557" s="65" t="s">
        <v>166</v>
      </c>
      <c r="C557" s="66">
        <v>0</v>
      </c>
      <c r="D557" s="67"/>
      <c r="E557" s="66">
        <v>0</v>
      </c>
      <c r="F557" s="67"/>
      <c r="G557" s="66">
        <v>0</v>
      </c>
      <c r="H557" s="67"/>
      <c r="I557" s="66">
        <v>0</v>
      </c>
      <c r="J557" s="67"/>
      <c r="K557" s="66">
        <v>0</v>
      </c>
      <c r="L557" s="67"/>
      <c r="M557" s="68">
        <f>SUM(C557,E557,G557,I557,K557)</f>
        <v>0</v>
      </c>
      <c r="N557" s="67"/>
      <c r="O557" s="150" t="s">
        <v>151</v>
      </c>
    </row>
    <row r="558" spans="1:15" ht="15" thickBot="1" x14ac:dyDescent="0.4">
      <c r="A558" t="s">
        <v>150</v>
      </c>
      <c r="B558" s="69" t="s">
        <v>167</v>
      </c>
      <c r="C558" s="70">
        <v>15598.825019999989</v>
      </c>
      <c r="D558" s="71">
        <f>SUM(D560:D570)</f>
        <v>0.36650196362033455</v>
      </c>
      <c r="E558" s="70">
        <v>15598.825019999989</v>
      </c>
      <c r="F558" s="71">
        <f>SUM(F560:F570)</f>
        <v>0.36650196362033455</v>
      </c>
      <c r="G558" s="70">
        <v>15598.825019999989</v>
      </c>
      <c r="H558" s="71">
        <f>SUM(H560:H570)</f>
        <v>0.36650196362033455</v>
      </c>
      <c r="I558" s="70">
        <v>15598.825019999989</v>
      </c>
      <c r="J558" s="71">
        <f>SUM(J560:J570)</f>
        <v>0.36650196362033455</v>
      </c>
      <c r="K558" s="70">
        <v>15598.825019999989</v>
      </c>
      <c r="L558" s="71">
        <f>SUM(L560:L570)</f>
        <v>0.36650196362033455</v>
      </c>
      <c r="M558" s="70">
        <f>SUM(C558,E558,G558,I558,K558)</f>
        <v>77994.125099999947</v>
      </c>
      <c r="N558" s="71">
        <f>SUM(N560:N570)</f>
        <v>7.3300392724066896E-2</v>
      </c>
      <c r="O558" s="151"/>
    </row>
    <row r="559" spans="1:15" ht="15" thickBot="1" x14ac:dyDescent="0.4">
      <c r="A559" t="s">
        <v>150</v>
      </c>
      <c r="B559" s="72" t="s">
        <v>168</v>
      </c>
      <c r="C559" s="73"/>
      <c r="D559" s="74">
        <f>(SUM(D560:D570)+C557)/C558</f>
        <v>2.3495485278565861E-5</v>
      </c>
      <c r="E559" s="73"/>
      <c r="F559" s="74">
        <f>(SUM(F560:F570)+E557)/E558</f>
        <v>2.3495485278565861E-5</v>
      </c>
      <c r="G559" s="73"/>
      <c r="H559" s="74">
        <f>(SUM(H560:H570)+G557)/G558</f>
        <v>2.3495485278565861E-5</v>
      </c>
      <c r="I559" s="73"/>
      <c r="J559" s="74">
        <f>(SUM(J560:J570)+I557)/I558</f>
        <v>2.3495485278565861E-5</v>
      </c>
      <c r="K559" s="73"/>
      <c r="L559" s="74">
        <f>(SUM(L560:L570)+K557)/K558</f>
        <v>2.3495485278565861E-5</v>
      </c>
      <c r="M559" s="73"/>
      <c r="N559" s="74">
        <f>(SUM(N560:N570)+M557)/M558</f>
        <v>9.398194111426342E-7</v>
      </c>
      <c r="O559" s="151"/>
    </row>
    <row r="560" spans="1:15" x14ac:dyDescent="0.35">
      <c r="A560" t="s">
        <v>150</v>
      </c>
      <c r="B560" s="75" t="s">
        <v>169</v>
      </c>
      <c r="C560" s="76">
        <v>800</v>
      </c>
      <c r="D560" s="77">
        <f>C560/C558</f>
        <v>5.1285914097650452E-2</v>
      </c>
      <c r="E560" s="78">
        <v>800</v>
      </c>
      <c r="F560" s="79">
        <f>E560/E558</f>
        <v>5.1285914097650452E-2</v>
      </c>
      <c r="G560" s="80">
        <v>800</v>
      </c>
      <c r="H560" s="81">
        <f>G560/G558</f>
        <v>5.1285914097650452E-2</v>
      </c>
      <c r="I560" s="82">
        <v>800</v>
      </c>
      <c r="J560" s="83">
        <f>I560/I558</f>
        <v>5.1285914097650452E-2</v>
      </c>
      <c r="K560" s="84">
        <v>800</v>
      </c>
      <c r="L560" s="85">
        <f>K560/K558</f>
        <v>5.1285914097650452E-2</v>
      </c>
      <c r="M560" s="86">
        <v>800</v>
      </c>
      <c r="N560" s="87">
        <f>M560/M558</f>
        <v>1.025718281953009E-2</v>
      </c>
      <c r="O560" s="151"/>
    </row>
    <row r="561" spans="1:15" x14ac:dyDescent="0.35">
      <c r="A561" t="s">
        <v>150</v>
      </c>
      <c r="B561" s="75" t="s">
        <v>170</v>
      </c>
      <c r="C561" s="88">
        <v>0</v>
      </c>
      <c r="D561" s="77">
        <f>C561/C558</f>
        <v>0</v>
      </c>
      <c r="E561" s="90">
        <v>0</v>
      </c>
      <c r="F561" s="79">
        <f>E561/E558</f>
        <v>0</v>
      </c>
      <c r="G561" s="91">
        <v>0</v>
      </c>
      <c r="H561" s="81">
        <f>G561/G558</f>
        <v>0</v>
      </c>
      <c r="I561" s="92">
        <v>0</v>
      </c>
      <c r="J561" s="83">
        <f>I561/I558</f>
        <v>0</v>
      </c>
      <c r="K561" s="93">
        <v>0</v>
      </c>
      <c r="L561" s="85">
        <f>K561/K558</f>
        <v>0</v>
      </c>
      <c r="M561" s="23">
        <v>0</v>
      </c>
      <c r="N561" s="87">
        <f>M561/M558</f>
        <v>0</v>
      </c>
      <c r="O561" s="151"/>
    </row>
    <row r="562" spans="1:15" x14ac:dyDescent="0.35">
      <c r="A562" t="s">
        <v>150</v>
      </c>
      <c r="B562" s="75" t="s">
        <v>171</v>
      </c>
      <c r="C562" s="88">
        <v>104</v>
      </c>
      <c r="D562" s="77">
        <f>C562/C558</f>
        <v>6.6671688326945585E-3</v>
      </c>
      <c r="E562" s="90">
        <v>104</v>
      </c>
      <c r="F562" s="79">
        <f>E562/E558</f>
        <v>6.6671688326945585E-3</v>
      </c>
      <c r="G562" s="91">
        <v>104</v>
      </c>
      <c r="H562" s="81">
        <f>G562/G558</f>
        <v>6.6671688326945585E-3</v>
      </c>
      <c r="I562" s="92">
        <v>104</v>
      </c>
      <c r="J562" s="83">
        <f>I562/I558</f>
        <v>6.6671688326945585E-3</v>
      </c>
      <c r="K562" s="93">
        <v>104</v>
      </c>
      <c r="L562" s="85">
        <f>K562/K558</f>
        <v>6.6671688326945585E-3</v>
      </c>
      <c r="M562" s="23">
        <v>104</v>
      </c>
      <c r="N562" s="87">
        <f>M562/M558</f>
        <v>1.3334337665389117E-3</v>
      </c>
      <c r="O562" s="151"/>
    </row>
    <row r="563" spans="1:15" x14ac:dyDescent="0.35">
      <c r="A563" t="s">
        <v>150</v>
      </c>
      <c r="B563" s="75" t="s">
        <v>172</v>
      </c>
      <c r="C563" s="88">
        <v>0</v>
      </c>
      <c r="D563" s="77">
        <f>C563/C558</f>
        <v>0</v>
      </c>
      <c r="E563" s="90">
        <v>0</v>
      </c>
      <c r="F563" s="79">
        <f>E563/E558</f>
        <v>0</v>
      </c>
      <c r="G563" s="91">
        <v>0</v>
      </c>
      <c r="H563" s="81">
        <f>G563/G558</f>
        <v>0</v>
      </c>
      <c r="I563" s="92">
        <v>0</v>
      </c>
      <c r="J563" s="83">
        <f>I563/I558</f>
        <v>0</v>
      </c>
      <c r="K563" s="93">
        <v>0</v>
      </c>
      <c r="L563" s="85">
        <f>K563/K558</f>
        <v>0</v>
      </c>
      <c r="M563" s="23">
        <v>0</v>
      </c>
      <c r="N563" s="87">
        <f>M563/M558</f>
        <v>0</v>
      </c>
      <c r="O563" s="151"/>
    </row>
    <row r="564" spans="1:15" x14ac:dyDescent="0.35">
      <c r="A564" t="s">
        <v>150</v>
      </c>
      <c r="B564" s="75" t="s">
        <v>173</v>
      </c>
      <c r="C564" s="94">
        <v>3619</v>
      </c>
      <c r="D564" s="77">
        <f>C564/C558</f>
        <v>0.23200465389924621</v>
      </c>
      <c r="E564" s="95">
        <v>3619</v>
      </c>
      <c r="F564" s="79">
        <f>E564/E558</f>
        <v>0.23200465389924621</v>
      </c>
      <c r="G564" s="96">
        <v>3619</v>
      </c>
      <c r="H564" s="81">
        <f>G564/G558</f>
        <v>0.23200465389924621</v>
      </c>
      <c r="I564" s="97">
        <v>3619</v>
      </c>
      <c r="J564" s="83">
        <f>I564/I558</f>
        <v>0.23200465389924621</v>
      </c>
      <c r="K564" s="98">
        <v>3619</v>
      </c>
      <c r="L564" s="85">
        <f>K564/K558</f>
        <v>0.23200465389924621</v>
      </c>
      <c r="M564" s="99">
        <v>3619</v>
      </c>
      <c r="N564" s="87">
        <f>M564/M558</f>
        <v>4.6400930779849241E-2</v>
      </c>
      <c r="O564" s="151"/>
    </row>
    <row r="565" spans="1:15" x14ac:dyDescent="0.35">
      <c r="A565" t="s">
        <v>150</v>
      </c>
      <c r="B565" s="75" t="s">
        <v>174</v>
      </c>
      <c r="C565" s="88">
        <v>956</v>
      </c>
      <c r="D565" s="77">
        <f>C565/C558</f>
        <v>6.1286667346692289E-2</v>
      </c>
      <c r="E565" s="90">
        <v>956</v>
      </c>
      <c r="F565" s="79">
        <f>E565/E558</f>
        <v>6.1286667346692289E-2</v>
      </c>
      <c r="G565" s="91">
        <v>956</v>
      </c>
      <c r="H565" s="81">
        <f>G565/G558</f>
        <v>6.1286667346692289E-2</v>
      </c>
      <c r="I565" s="92">
        <v>956</v>
      </c>
      <c r="J565" s="83">
        <f>I565/I558</f>
        <v>6.1286667346692289E-2</v>
      </c>
      <c r="K565" s="93">
        <v>956</v>
      </c>
      <c r="L565" s="85">
        <f>K565/K558</f>
        <v>6.1286667346692289E-2</v>
      </c>
      <c r="M565" s="23">
        <v>956</v>
      </c>
      <c r="N565" s="87">
        <f>M565/M558</f>
        <v>1.2257333469338457E-2</v>
      </c>
      <c r="O565" s="151"/>
    </row>
    <row r="566" spans="1:15" x14ac:dyDescent="0.35">
      <c r="A566" t="s">
        <v>150</v>
      </c>
      <c r="B566" s="75" t="s">
        <v>175</v>
      </c>
      <c r="C566" s="88">
        <v>0</v>
      </c>
      <c r="D566" s="77">
        <f>C566/C558</f>
        <v>0</v>
      </c>
      <c r="E566" s="90">
        <v>0</v>
      </c>
      <c r="F566" s="79">
        <f>E566/E558</f>
        <v>0</v>
      </c>
      <c r="G566" s="91">
        <v>0</v>
      </c>
      <c r="H566" s="81">
        <f>G566/G558</f>
        <v>0</v>
      </c>
      <c r="I566" s="92">
        <v>0</v>
      </c>
      <c r="J566" s="83">
        <f>I566/I558</f>
        <v>0</v>
      </c>
      <c r="K566" s="93">
        <v>0</v>
      </c>
      <c r="L566" s="85">
        <f>K566/K558</f>
        <v>0</v>
      </c>
      <c r="M566" s="23">
        <v>0</v>
      </c>
      <c r="N566" s="87">
        <f>M566/M558</f>
        <v>0</v>
      </c>
      <c r="O566" s="151"/>
    </row>
    <row r="567" spans="1:15" x14ac:dyDescent="0.35">
      <c r="A567" t="s">
        <v>150</v>
      </c>
      <c r="B567" s="75" t="s">
        <v>176</v>
      </c>
      <c r="C567" s="88">
        <v>238</v>
      </c>
      <c r="D567" s="77">
        <f>C567/C558</f>
        <v>1.5257559444051008E-2</v>
      </c>
      <c r="E567" s="90">
        <v>238</v>
      </c>
      <c r="F567" s="79">
        <f>E567/E558</f>
        <v>1.5257559444051008E-2</v>
      </c>
      <c r="G567" s="91">
        <v>238</v>
      </c>
      <c r="H567" s="81">
        <f>G567/G558</f>
        <v>1.5257559444051008E-2</v>
      </c>
      <c r="I567" s="92">
        <v>238</v>
      </c>
      <c r="J567" s="83">
        <f>I567/I558</f>
        <v>1.5257559444051008E-2</v>
      </c>
      <c r="K567" s="93">
        <v>238</v>
      </c>
      <c r="L567" s="85">
        <f>K567/K558</f>
        <v>1.5257559444051008E-2</v>
      </c>
      <c r="M567" s="23">
        <v>238</v>
      </c>
      <c r="N567" s="87">
        <f>M567/M558</f>
        <v>3.0515118888102019E-3</v>
      </c>
      <c r="O567" s="151"/>
    </row>
    <row r="568" spans="1:15" x14ac:dyDescent="0.35">
      <c r="A568" t="s">
        <v>150</v>
      </c>
      <c r="B568" s="75" t="s">
        <v>177</v>
      </c>
      <c r="C568" s="88">
        <v>0</v>
      </c>
      <c r="D568" s="77">
        <f>C568/C558</f>
        <v>0</v>
      </c>
      <c r="E568" s="90">
        <v>0</v>
      </c>
      <c r="F568" s="79">
        <f>E568/E558</f>
        <v>0</v>
      </c>
      <c r="G568" s="91">
        <v>0</v>
      </c>
      <c r="H568" s="81">
        <f>G568/G558</f>
        <v>0</v>
      </c>
      <c r="I568" s="92">
        <v>0</v>
      </c>
      <c r="J568" s="83">
        <f>I568/I558</f>
        <v>0</v>
      </c>
      <c r="K568" s="93">
        <v>0</v>
      </c>
      <c r="L568" s="85">
        <f>K568/K558</f>
        <v>0</v>
      </c>
      <c r="M568" s="23">
        <v>0</v>
      </c>
      <c r="N568" s="87">
        <f>M568/M558</f>
        <v>0</v>
      </c>
      <c r="O568" s="151"/>
    </row>
    <row r="569" spans="1:15" x14ac:dyDescent="0.35">
      <c r="A569" t="s">
        <v>150</v>
      </c>
      <c r="B569" s="75" t="s">
        <v>178</v>
      </c>
      <c r="C569" s="88">
        <v>0</v>
      </c>
      <c r="D569" s="77">
        <f>C569/C558</f>
        <v>0</v>
      </c>
      <c r="E569" s="90">
        <v>0</v>
      </c>
      <c r="F569" s="79">
        <f>E569/E558</f>
        <v>0</v>
      </c>
      <c r="G569" s="91">
        <v>0</v>
      </c>
      <c r="H569" s="81">
        <f>G569/G558</f>
        <v>0</v>
      </c>
      <c r="I569" s="92">
        <v>0</v>
      </c>
      <c r="J569" s="83">
        <f>I569/I558</f>
        <v>0</v>
      </c>
      <c r="K569" s="93">
        <v>0</v>
      </c>
      <c r="L569" s="85">
        <f>K569/K558</f>
        <v>0</v>
      </c>
      <c r="M569" s="23">
        <v>0</v>
      </c>
      <c r="N569" s="87">
        <f>M569/M558</f>
        <v>0</v>
      </c>
      <c r="O569" s="151"/>
    </row>
    <row r="570" spans="1:15" ht="15" thickBot="1" x14ac:dyDescent="0.4">
      <c r="A570" t="s">
        <v>150</v>
      </c>
      <c r="B570" s="100" t="s">
        <v>179</v>
      </c>
      <c r="C570" s="101">
        <v>0</v>
      </c>
      <c r="D570" s="113">
        <f t="shared" ref="D570" si="47">C570/$C$33</f>
        <v>0</v>
      </c>
      <c r="E570" s="103">
        <v>0</v>
      </c>
      <c r="F570" s="104">
        <f>E570/E558</f>
        <v>0</v>
      </c>
      <c r="G570" s="105">
        <v>0</v>
      </c>
      <c r="H570" s="106">
        <f>G570/G558</f>
        <v>0</v>
      </c>
      <c r="I570" s="107">
        <v>0</v>
      </c>
      <c r="J570" s="108">
        <f>I570/I558</f>
        <v>0</v>
      </c>
      <c r="K570" s="109">
        <v>0</v>
      </c>
      <c r="L570" s="110">
        <f>K570/K558</f>
        <v>0</v>
      </c>
      <c r="M570" s="25">
        <v>0</v>
      </c>
      <c r="N570" s="111">
        <f>M570/M558</f>
        <v>0</v>
      </c>
      <c r="O570" s="151"/>
    </row>
    <row r="571" spans="1:15" ht="15" thickBot="1" x14ac:dyDescent="0.4">
      <c r="B571" s="24"/>
    </row>
    <row r="572" spans="1:15" ht="15" thickBot="1" x14ac:dyDescent="0.4">
      <c r="A572" t="s">
        <v>152</v>
      </c>
      <c r="B572" s="65" t="s">
        <v>166</v>
      </c>
      <c r="C572" s="66">
        <v>0</v>
      </c>
      <c r="D572" s="67"/>
      <c r="E572" s="66">
        <v>0</v>
      </c>
      <c r="F572" s="67"/>
      <c r="G572" s="66">
        <v>0</v>
      </c>
      <c r="H572" s="67"/>
      <c r="I572" s="66">
        <v>0</v>
      </c>
      <c r="J572" s="67"/>
      <c r="K572" s="66">
        <v>0</v>
      </c>
      <c r="L572" s="67"/>
      <c r="M572" s="68">
        <f>SUM(C572,E572,G572,I572,K572)</f>
        <v>0</v>
      </c>
      <c r="N572" s="67"/>
      <c r="O572" s="150" t="s">
        <v>153</v>
      </c>
    </row>
    <row r="573" spans="1:15" ht="15" thickBot="1" x14ac:dyDescent="0.4">
      <c r="A573" t="s">
        <v>152</v>
      </c>
      <c r="B573" s="69" t="s">
        <v>167</v>
      </c>
      <c r="C573" s="70">
        <v>15598.825019999989</v>
      </c>
      <c r="D573" s="71">
        <f>SUM(D575:D585)</f>
        <v>0.36650196362033455</v>
      </c>
      <c r="E573" s="70">
        <v>15598.825019999989</v>
      </c>
      <c r="F573" s="71">
        <f>SUM(F575:F585)</f>
        <v>0.36650196362033455</v>
      </c>
      <c r="G573" s="70">
        <v>15598.825019999989</v>
      </c>
      <c r="H573" s="71">
        <f>SUM(H575:H585)</f>
        <v>0.36650196362033455</v>
      </c>
      <c r="I573" s="70">
        <v>15598.825019999989</v>
      </c>
      <c r="J573" s="71">
        <f>SUM(J575:J585)</f>
        <v>0.36650196362033455</v>
      </c>
      <c r="K573" s="70">
        <v>15598.825019999989</v>
      </c>
      <c r="L573" s="71">
        <f>SUM(L575:L585)</f>
        <v>0.36650196362033455</v>
      </c>
      <c r="M573" s="70">
        <f>SUM(C573,E573,G573,I573,K573)</f>
        <v>77994.125099999947</v>
      </c>
      <c r="N573" s="71">
        <f>SUM(N575:N585)</f>
        <v>7.3300392724066896E-2</v>
      </c>
      <c r="O573" s="151"/>
    </row>
    <row r="574" spans="1:15" ht="15" thickBot="1" x14ac:dyDescent="0.4">
      <c r="A574" t="s">
        <v>152</v>
      </c>
      <c r="B574" s="72" t="s">
        <v>168</v>
      </c>
      <c r="C574" s="73"/>
      <c r="D574" s="74">
        <f>(SUM(D575:D585)+C572)/C573</f>
        <v>2.3495485278565861E-5</v>
      </c>
      <c r="E574" s="73"/>
      <c r="F574" s="74">
        <f>(SUM(F575:F585)+E572)/E573</f>
        <v>2.3495485278565861E-5</v>
      </c>
      <c r="G574" s="73"/>
      <c r="H574" s="74">
        <f>(SUM(H575:H585)+G572)/G573</f>
        <v>2.3495485278565861E-5</v>
      </c>
      <c r="I574" s="73"/>
      <c r="J574" s="74">
        <f>(SUM(J575:J585)+I572)/I573</f>
        <v>2.3495485278565861E-5</v>
      </c>
      <c r="K574" s="73"/>
      <c r="L574" s="74">
        <f>(SUM(L575:L585)+K572)/K573</f>
        <v>2.3495485278565861E-5</v>
      </c>
      <c r="M574" s="73"/>
      <c r="N574" s="74">
        <f>(SUM(N575:N585)+M572)/M573</f>
        <v>9.398194111426342E-7</v>
      </c>
      <c r="O574" s="151"/>
    </row>
    <row r="575" spans="1:15" x14ac:dyDescent="0.35">
      <c r="A575" t="s">
        <v>152</v>
      </c>
      <c r="B575" s="75" t="s">
        <v>169</v>
      </c>
      <c r="C575" s="76">
        <v>800</v>
      </c>
      <c r="D575" s="77">
        <f>C575/C573</f>
        <v>5.1285914097650452E-2</v>
      </c>
      <c r="E575" s="78">
        <v>800</v>
      </c>
      <c r="F575" s="79">
        <f>E575/E573</f>
        <v>5.1285914097650452E-2</v>
      </c>
      <c r="G575" s="80">
        <v>800</v>
      </c>
      <c r="H575" s="81">
        <f>G575/G573</f>
        <v>5.1285914097650452E-2</v>
      </c>
      <c r="I575" s="82">
        <v>800</v>
      </c>
      <c r="J575" s="83">
        <f>I575/I573</f>
        <v>5.1285914097650452E-2</v>
      </c>
      <c r="K575" s="84">
        <v>800</v>
      </c>
      <c r="L575" s="85">
        <f>K575/K573</f>
        <v>5.1285914097650452E-2</v>
      </c>
      <c r="M575" s="86">
        <v>800</v>
      </c>
      <c r="N575" s="87">
        <f>M575/M573</f>
        <v>1.025718281953009E-2</v>
      </c>
      <c r="O575" s="151"/>
    </row>
    <row r="576" spans="1:15" x14ac:dyDescent="0.35">
      <c r="A576" t="s">
        <v>152</v>
      </c>
      <c r="B576" s="75" t="s">
        <v>170</v>
      </c>
      <c r="C576" s="88">
        <v>0</v>
      </c>
      <c r="D576" s="77">
        <f>C576/C573</f>
        <v>0</v>
      </c>
      <c r="E576" s="90">
        <v>0</v>
      </c>
      <c r="F576" s="79">
        <f>E576/E573</f>
        <v>0</v>
      </c>
      <c r="G576" s="91">
        <v>0</v>
      </c>
      <c r="H576" s="81">
        <f>G576/G573</f>
        <v>0</v>
      </c>
      <c r="I576" s="92">
        <v>0</v>
      </c>
      <c r="J576" s="83">
        <f>I576/I573</f>
        <v>0</v>
      </c>
      <c r="K576" s="93">
        <v>0</v>
      </c>
      <c r="L576" s="85">
        <f>K576/K573</f>
        <v>0</v>
      </c>
      <c r="M576" s="23">
        <v>0</v>
      </c>
      <c r="N576" s="87">
        <f>M576/M573</f>
        <v>0</v>
      </c>
      <c r="O576" s="151"/>
    </row>
    <row r="577" spans="1:15" x14ac:dyDescent="0.35">
      <c r="A577" t="s">
        <v>152</v>
      </c>
      <c r="B577" s="75" t="s">
        <v>171</v>
      </c>
      <c r="C577" s="88">
        <v>104</v>
      </c>
      <c r="D577" s="77">
        <f>C577/C573</f>
        <v>6.6671688326945585E-3</v>
      </c>
      <c r="E577" s="90">
        <v>104</v>
      </c>
      <c r="F577" s="79">
        <f>E577/E573</f>
        <v>6.6671688326945585E-3</v>
      </c>
      <c r="G577" s="91">
        <v>104</v>
      </c>
      <c r="H577" s="81">
        <f>G577/G573</f>
        <v>6.6671688326945585E-3</v>
      </c>
      <c r="I577" s="92">
        <v>104</v>
      </c>
      <c r="J577" s="83">
        <f>I577/I573</f>
        <v>6.6671688326945585E-3</v>
      </c>
      <c r="K577" s="93">
        <v>104</v>
      </c>
      <c r="L577" s="85">
        <f>K577/K573</f>
        <v>6.6671688326945585E-3</v>
      </c>
      <c r="M577" s="23">
        <v>104</v>
      </c>
      <c r="N577" s="87">
        <f>M577/M573</f>
        <v>1.3334337665389117E-3</v>
      </c>
      <c r="O577" s="151"/>
    </row>
    <row r="578" spans="1:15" x14ac:dyDescent="0.35">
      <c r="A578" t="s">
        <v>152</v>
      </c>
      <c r="B578" s="75" t="s">
        <v>172</v>
      </c>
      <c r="C578" s="88">
        <v>0</v>
      </c>
      <c r="D578" s="77">
        <f>C578/C573</f>
        <v>0</v>
      </c>
      <c r="E578" s="90">
        <v>0</v>
      </c>
      <c r="F578" s="79">
        <f>E578/E573</f>
        <v>0</v>
      </c>
      <c r="G578" s="91">
        <v>0</v>
      </c>
      <c r="H578" s="81">
        <f>G578/G573</f>
        <v>0</v>
      </c>
      <c r="I578" s="92">
        <v>0</v>
      </c>
      <c r="J578" s="83">
        <f>I578/I573</f>
        <v>0</v>
      </c>
      <c r="K578" s="93">
        <v>0</v>
      </c>
      <c r="L578" s="85">
        <f>K578/K573</f>
        <v>0</v>
      </c>
      <c r="M578" s="23">
        <v>0</v>
      </c>
      <c r="N578" s="87">
        <f>M578/M573</f>
        <v>0</v>
      </c>
      <c r="O578" s="151"/>
    </row>
    <row r="579" spans="1:15" x14ac:dyDescent="0.35">
      <c r="A579" t="s">
        <v>152</v>
      </c>
      <c r="B579" s="75" t="s">
        <v>173</v>
      </c>
      <c r="C579" s="94">
        <v>3619</v>
      </c>
      <c r="D579" s="77">
        <f>C579/C573</f>
        <v>0.23200465389924621</v>
      </c>
      <c r="E579" s="95">
        <v>3619</v>
      </c>
      <c r="F579" s="79">
        <f>E579/E573</f>
        <v>0.23200465389924621</v>
      </c>
      <c r="G579" s="96">
        <v>3619</v>
      </c>
      <c r="H579" s="81">
        <f>G579/G573</f>
        <v>0.23200465389924621</v>
      </c>
      <c r="I579" s="97">
        <v>3619</v>
      </c>
      <c r="J579" s="83">
        <f>I579/I573</f>
        <v>0.23200465389924621</v>
      </c>
      <c r="K579" s="98">
        <v>3619</v>
      </c>
      <c r="L579" s="85">
        <f>K579/K573</f>
        <v>0.23200465389924621</v>
      </c>
      <c r="M579" s="99">
        <v>3619</v>
      </c>
      <c r="N579" s="87">
        <f>M579/M573</f>
        <v>4.6400930779849241E-2</v>
      </c>
      <c r="O579" s="151"/>
    </row>
    <row r="580" spans="1:15" x14ac:dyDescent="0.35">
      <c r="A580" t="s">
        <v>152</v>
      </c>
      <c r="B580" s="75" t="s">
        <v>174</v>
      </c>
      <c r="C580" s="88">
        <v>956</v>
      </c>
      <c r="D580" s="77">
        <f>C580/C573</f>
        <v>6.1286667346692289E-2</v>
      </c>
      <c r="E580" s="90">
        <v>956</v>
      </c>
      <c r="F580" s="79">
        <f>E580/E573</f>
        <v>6.1286667346692289E-2</v>
      </c>
      <c r="G580" s="91">
        <v>956</v>
      </c>
      <c r="H580" s="81">
        <f>G580/G573</f>
        <v>6.1286667346692289E-2</v>
      </c>
      <c r="I580" s="92">
        <v>956</v>
      </c>
      <c r="J580" s="83">
        <f>I580/I573</f>
        <v>6.1286667346692289E-2</v>
      </c>
      <c r="K580" s="93">
        <v>956</v>
      </c>
      <c r="L580" s="85">
        <f>K580/K573</f>
        <v>6.1286667346692289E-2</v>
      </c>
      <c r="M580" s="23">
        <v>956</v>
      </c>
      <c r="N580" s="87">
        <f>M580/M573</f>
        <v>1.2257333469338457E-2</v>
      </c>
      <c r="O580" s="151"/>
    </row>
    <row r="581" spans="1:15" x14ac:dyDescent="0.35">
      <c r="A581" t="s">
        <v>152</v>
      </c>
      <c r="B581" s="75" t="s">
        <v>175</v>
      </c>
      <c r="C581" s="88">
        <v>0</v>
      </c>
      <c r="D581" s="77">
        <f>C581/C573</f>
        <v>0</v>
      </c>
      <c r="E581" s="90">
        <v>0</v>
      </c>
      <c r="F581" s="79">
        <f>E581/E573</f>
        <v>0</v>
      </c>
      <c r="G581" s="91">
        <v>0</v>
      </c>
      <c r="H581" s="81">
        <f>G581/G573</f>
        <v>0</v>
      </c>
      <c r="I581" s="92">
        <v>0</v>
      </c>
      <c r="J581" s="83">
        <f>I581/I573</f>
        <v>0</v>
      </c>
      <c r="K581" s="93">
        <v>0</v>
      </c>
      <c r="L581" s="85">
        <f>K581/K573</f>
        <v>0</v>
      </c>
      <c r="M581" s="23">
        <v>0</v>
      </c>
      <c r="N581" s="87">
        <f>M581/M573</f>
        <v>0</v>
      </c>
      <c r="O581" s="151"/>
    </row>
    <row r="582" spans="1:15" x14ac:dyDescent="0.35">
      <c r="A582" t="s">
        <v>152</v>
      </c>
      <c r="B582" s="75" t="s">
        <v>176</v>
      </c>
      <c r="C582" s="88">
        <v>238</v>
      </c>
      <c r="D582" s="77">
        <f>C582/C573</f>
        <v>1.5257559444051008E-2</v>
      </c>
      <c r="E582" s="90">
        <v>238</v>
      </c>
      <c r="F582" s="79">
        <f>E582/E573</f>
        <v>1.5257559444051008E-2</v>
      </c>
      <c r="G582" s="91">
        <v>238</v>
      </c>
      <c r="H582" s="81">
        <f>G582/G573</f>
        <v>1.5257559444051008E-2</v>
      </c>
      <c r="I582" s="92">
        <v>238</v>
      </c>
      <c r="J582" s="83">
        <f>I582/I573</f>
        <v>1.5257559444051008E-2</v>
      </c>
      <c r="K582" s="93">
        <v>238</v>
      </c>
      <c r="L582" s="85">
        <f>K582/K573</f>
        <v>1.5257559444051008E-2</v>
      </c>
      <c r="M582" s="23">
        <v>238</v>
      </c>
      <c r="N582" s="87">
        <f>M582/M573</f>
        <v>3.0515118888102019E-3</v>
      </c>
      <c r="O582" s="151"/>
    </row>
    <row r="583" spans="1:15" x14ac:dyDescent="0.35">
      <c r="A583" t="s">
        <v>152</v>
      </c>
      <c r="B583" s="75" t="s">
        <v>177</v>
      </c>
      <c r="C583" s="88">
        <v>0</v>
      </c>
      <c r="D583" s="77">
        <f>C583/C573</f>
        <v>0</v>
      </c>
      <c r="E583" s="90">
        <v>0</v>
      </c>
      <c r="F583" s="79">
        <f>E583/E573</f>
        <v>0</v>
      </c>
      <c r="G583" s="91">
        <v>0</v>
      </c>
      <c r="H583" s="81">
        <f>G583/G573</f>
        <v>0</v>
      </c>
      <c r="I583" s="92">
        <v>0</v>
      </c>
      <c r="J583" s="83">
        <f>I583/I573</f>
        <v>0</v>
      </c>
      <c r="K583" s="93">
        <v>0</v>
      </c>
      <c r="L583" s="85">
        <f>K583/K573</f>
        <v>0</v>
      </c>
      <c r="M583" s="23">
        <v>0</v>
      </c>
      <c r="N583" s="87">
        <f>M583/M573</f>
        <v>0</v>
      </c>
      <c r="O583" s="151"/>
    </row>
    <row r="584" spans="1:15" x14ac:dyDescent="0.35">
      <c r="A584" t="s">
        <v>152</v>
      </c>
      <c r="B584" s="75" t="s">
        <v>178</v>
      </c>
      <c r="C584" s="88">
        <v>0</v>
      </c>
      <c r="D584" s="77">
        <f>C584/C573</f>
        <v>0</v>
      </c>
      <c r="E584" s="90">
        <v>0</v>
      </c>
      <c r="F584" s="79">
        <f>E584/E573</f>
        <v>0</v>
      </c>
      <c r="G584" s="91">
        <v>0</v>
      </c>
      <c r="H584" s="81">
        <f>G584/G573</f>
        <v>0</v>
      </c>
      <c r="I584" s="92">
        <v>0</v>
      </c>
      <c r="J584" s="83">
        <f>I584/I573</f>
        <v>0</v>
      </c>
      <c r="K584" s="93">
        <v>0</v>
      </c>
      <c r="L584" s="85">
        <f>K584/K573</f>
        <v>0</v>
      </c>
      <c r="M584" s="23">
        <v>0</v>
      </c>
      <c r="N584" s="87">
        <f>M584/M573</f>
        <v>0</v>
      </c>
      <c r="O584" s="151"/>
    </row>
    <row r="585" spans="1:15" ht="15" thickBot="1" x14ac:dyDescent="0.4">
      <c r="A585" t="s">
        <v>152</v>
      </c>
      <c r="B585" s="100" t="s">
        <v>179</v>
      </c>
      <c r="C585" s="101">
        <v>0</v>
      </c>
      <c r="D585" s="113">
        <f t="shared" ref="D585" si="48">C585/$C$33</f>
        <v>0</v>
      </c>
      <c r="E585" s="103">
        <v>0</v>
      </c>
      <c r="F585" s="104">
        <f>E585/E573</f>
        <v>0</v>
      </c>
      <c r="G585" s="105">
        <v>0</v>
      </c>
      <c r="H585" s="106">
        <f>G585/G573</f>
        <v>0</v>
      </c>
      <c r="I585" s="107">
        <v>0</v>
      </c>
      <c r="J585" s="108">
        <f>I585/I573</f>
        <v>0</v>
      </c>
      <c r="K585" s="109">
        <v>0</v>
      </c>
      <c r="L585" s="110">
        <f>K585/K573</f>
        <v>0</v>
      </c>
      <c r="M585" s="25">
        <v>0</v>
      </c>
      <c r="N585" s="111">
        <f>M585/M573</f>
        <v>0</v>
      </c>
      <c r="O585" s="151"/>
    </row>
    <row r="586" spans="1:15" ht="15" thickBot="1" x14ac:dyDescent="0.4">
      <c r="D586" s="26"/>
      <c r="F586" s="26"/>
      <c r="H586" s="26"/>
      <c r="J586" s="26"/>
      <c r="L586" s="26"/>
      <c r="N586" s="26"/>
    </row>
    <row r="587" spans="1:15" ht="15" thickBot="1" x14ac:dyDescent="0.4">
      <c r="A587" t="s">
        <v>154</v>
      </c>
      <c r="B587" s="65" t="s">
        <v>166</v>
      </c>
      <c r="C587" s="66">
        <v>0</v>
      </c>
      <c r="D587" s="67"/>
      <c r="E587" s="66">
        <v>0</v>
      </c>
      <c r="F587" s="67"/>
      <c r="G587" s="66">
        <v>0</v>
      </c>
      <c r="H587" s="67"/>
      <c r="I587" s="66">
        <v>0</v>
      </c>
      <c r="J587" s="67"/>
      <c r="K587" s="66">
        <v>0</v>
      </c>
      <c r="L587" s="67"/>
      <c r="M587" s="68">
        <f>SUM(C587,E587,G587,I587,K587)</f>
        <v>0</v>
      </c>
      <c r="N587" s="67"/>
      <c r="O587" s="150" t="s">
        <v>155</v>
      </c>
    </row>
    <row r="588" spans="1:15" ht="15" thickBot="1" x14ac:dyDescent="0.4">
      <c r="A588" t="s">
        <v>154</v>
      </c>
      <c r="B588" s="69" t="s">
        <v>167</v>
      </c>
      <c r="C588" s="70">
        <v>15598.825019999989</v>
      </c>
      <c r="D588" s="71">
        <f>SUM(D590:D600)</f>
        <v>0.36650196362033455</v>
      </c>
      <c r="E588" s="70">
        <v>15598.825019999989</v>
      </c>
      <c r="F588" s="71">
        <f>SUM(F590:F600)</f>
        <v>0.36650196362033455</v>
      </c>
      <c r="G588" s="70">
        <v>15598.825019999989</v>
      </c>
      <c r="H588" s="71">
        <f>SUM(H590:H600)</f>
        <v>0.36650196362033455</v>
      </c>
      <c r="I588" s="70">
        <v>15598.825019999989</v>
      </c>
      <c r="J588" s="71">
        <f>SUM(J590:J600)</f>
        <v>0.36650196362033455</v>
      </c>
      <c r="K588" s="70">
        <v>15598.825019999989</v>
      </c>
      <c r="L588" s="71">
        <f>SUM(L590:L600)</f>
        <v>0.36650196362033455</v>
      </c>
      <c r="M588" s="70">
        <f>SUM(C588,E588,G588,I588,K588)</f>
        <v>77994.125099999947</v>
      </c>
      <c r="N588" s="71">
        <f>SUM(N590:N600)</f>
        <v>7.3300392724066896E-2</v>
      </c>
      <c r="O588" s="151"/>
    </row>
    <row r="589" spans="1:15" ht="15" thickBot="1" x14ac:dyDescent="0.4">
      <c r="A589" t="s">
        <v>154</v>
      </c>
      <c r="B589" s="72" t="s">
        <v>168</v>
      </c>
      <c r="C589" s="73"/>
      <c r="D589" s="74">
        <f>(SUM(D590:D600)+C587)/C588</f>
        <v>2.3495485278565861E-5</v>
      </c>
      <c r="E589" s="73"/>
      <c r="F589" s="74">
        <f>(SUM(F590:F600)+E587)/E588</f>
        <v>2.3495485278565861E-5</v>
      </c>
      <c r="G589" s="73"/>
      <c r="H589" s="74">
        <f>(SUM(H590:H600)+G587)/G588</f>
        <v>2.3495485278565861E-5</v>
      </c>
      <c r="I589" s="73"/>
      <c r="J589" s="74">
        <f>(SUM(J590:J600)+I587)/I588</f>
        <v>2.3495485278565861E-5</v>
      </c>
      <c r="K589" s="73"/>
      <c r="L589" s="74">
        <f>(SUM(L590:L600)+K587)/K588</f>
        <v>2.3495485278565861E-5</v>
      </c>
      <c r="M589" s="73"/>
      <c r="N589" s="74">
        <f>(SUM(N590:N600)+M587)/M588</f>
        <v>9.398194111426342E-7</v>
      </c>
      <c r="O589" s="151"/>
    </row>
    <row r="590" spans="1:15" x14ac:dyDescent="0.35">
      <c r="A590" t="s">
        <v>154</v>
      </c>
      <c r="B590" s="75" t="s">
        <v>169</v>
      </c>
      <c r="C590" s="76">
        <v>800</v>
      </c>
      <c r="D590" s="77">
        <f>C590/C588</f>
        <v>5.1285914097650452E-2</v>
      </c>
      <c r="E590" s="78">
        <v>800</v>
      </c>
      <c r="F590" s="79">
        <f>E590/E588</f>
        <v>5.1285914097650452E-2</v>
      </c>
      <c r="G590" s="80">
        <v>800</v>
      </c>
      <c r="H590" s="81">
        <f>G590/G588</f>
        <v>5.1285914097650452E-2</v>
      </c>
      <c r="I590" s="82">
        <v>800</v>
      </c>
      <c r="J590" s="83">
        <f>I590/I588</f>
        <v>5.1285914097650452E-2</v>
      </c>
      <c r="K590" s="84">
        <v>800</v>
      </c>
      <c r="L590" s="85">
        <f>K590/K588</f>
        <v>5.1285914097650452E-2</v>
      </c>
      <c r="M590" s="86">
        <v>800</v>
      </c>
      <c r="N590" s="87">
        <f>M590/M588</f>
        <v>1.025718281953009E-2</v>
      </c>
      <c r="O590" s="151"/>
    </row>
    <row r="591" spans="1:15" x14ac:dyDescent="0.35">
      <c r="A591" t="s">
        <v>154</v>
      </c>
      <c r="B591" s="75" t="s">
        <v>170</v>
      </c>
      <c r="C591" s="88">
        <v>0</v>
      </c>
      <c r="D591" s="77">
        <f>C591/C588</f>
        <v>0</v>
      </c>
      <c r="E591" s="90">
        <v>0</v>
      </c>
      <c r="F591" s="79">
        <f>E591/E588</f>
        <v>0</v>
      </c>
      <c r="G591" s="91">
        <v>0</v>
      </c>
      <c r="H591" s="81">
        <f>G591/G588</f>
        <v>0</v>
      </c>
      <c r="I591" s="92">
        <v>0</v>
      </c>
      <c r="J591" s="83">
        <f>I591/I588</f>
        <v>0</v>
      </c>
      <c r="K591" s="93">
        <v>0</v>
      </c>
      <c r="L591" s="85">
        <f>K591/K588</f>
        <v>0</v>
      </c>
      <c r="M591" s="23">
        <v>0</v>
      </c>
      <c r="N591" s="87">
        <f>M591/M588</f>
        <v>0</v>
      </c>
      <c r="O591" s="151"/>
    </row>
    <row r="592" spans="1:15" x14ac:dyDescent="0.35">
      <c r="A592" t="s">
        <v>154</v>
      </c>
      <c r="B592" s="75" t="s">
        <v>171</v>
      </c>
      <c r="C592" s="88">
        <v>104</v>
      </c>
      <c r="D592" s="77">
        <f>C592/C588</f>
        <v>6.6671688326945585E-3</v>
      </c>
      <c r="E592" s="90">
        <v>104</v>
      </c>
      <c r="F592" s="79">
        <f>E592/E588</f>
        <v>6.6671688326945585E-3</v>
      </c>
      <c r="G592" s="91">
        <v>104</v>
      </c>
      <c r="H592" s="81">
        <f>G592/G588</f>
        <v>6.6671688326945585E-3</v>
      </c>
      <c r="I592" s="92">
        <v>104</v>
      </c>
      <c r="J592" s="83">
        <f>I592/I588</f>
        <v>6.6671688326945585E-3</v>
      </c>
      <c r="K592" s="93">
        <v>104</v>
      </c>
      <c r="L592" s="85">
        <f>K592/K588</f>
        <v>6.6671688326945585E-3</v>
      </c>
      <c r="M592" s="23">
        <v>104</v>
      </c>
      <c r="N592" s="87">
        <f>M592/M588</f>
        <v>1.3334337665389117E-3</v>
      </c>
      <c r="O592" s="151"/>
    </row>
    <row r="593" spans="1:15" x14ac:dyDescent="0.35">
      <c r="A593" t="s">
        <v>154</v>
      </c>
      <c r="B593" s="75" t="s">
        <v>172</v>
      </c>
      <c r="C593" s="88">
        <v>0</v>
      </c>
      <c r="D593" s="77">
        <f>C593/C588</f>
        <v>0</v>
      </c>
      <c r="E593" s="90">
        <v>0</v>
      </c>
      <c r="F593" s="79">
        <f>E593/E588</f>
        <v>0</v>
      </c>
      <c r="G593" s="91">
        <v>0</v>
      </c>
      <c r="H593" s="81">
        <f>G593/G588</f>
        <v>0</v>
      </c>
      <c r="I593" s="92">
        <v>0</v>
      </c>
      <c r="J593" s="83">
        <f>I593/I588</f>
        <v>0</v>
      </c>
      <c r="K593" s="93">
        <v>0</v>
      </c>
      <c r="L593" s="85">
        <f>K593/K588</f>
        <v>0</v>
      </c>
      <c r="M593" s="23">
        <v>0</v>
      </c>
      <c r="N593" s="87">
        <f>M593/M588</f>
        <v>0</v>
      </c>
      <c r="O593" s="151"/>
    </row>
    <row r="594" spans="1:15" x14ac:dyDescent="0.35">
      <c r="A594" t="s">
        <v>154</v>
      </c>
      <c r="B594" s="75" t="s">
        <v>173</v>
      </c>
      <c r="C594" s="94">
        <v>3619</v>
      </c>
      <c r="D594" s="77">
        <f>C594/C588</f>
        <v>0.23200465389924621</v>
      </c>
      <c r="E594" s="95">
        <v>3619</v>
      </c>
      <c r="F594" s="79">
        <f>E594/E588</f>
        <v>0.23200465389924621</v>
      </c>
      <c r="G594" s="96">
        <v>3619</v>
      </c>
      <c r="H594" s="81">
        <f>G594/G588</f>
        <v>0.23200465389924621</v>
      </c>
      <c r="I594" s="97">
        <v>3619</v>
      </c>
      <c r="J594" s="83">
        <f>I594/I588</f>
        <v>0.23200465389924621</v>
      </c>
      <c r="K594" s="98">
        <v>3619</v>
      </c>
      <c r="L594" s="85">
        <f>K594/K588</f>
        <v>0.23200465389924621</v>
      </c>
      <c r="M594" s="99">
        <v>3619</v>
      </c>
      <c r="N594" s="87">
        <f>M594/M588</f>
        <v>4.6400930779849241E-2</v>
      </c>
      <c r="O594" s="151"/>
    </row>
    <row r="595" spans="1:15" x14ac:dyDescent="0.35">
      <c r="A595" t="s">
        <v>154</v>
      </c>
      <c r="B595" s="75" t="s">
        <v>174</v>
      </c>
      <c r="C595" s="88">
        <v>956</v>
      </c>
      <c r="D595" s="77">
        <f>C595/C588</f>
        <v>6.1286667346692289E-2</v>
      </c>
      <c r="E595" s="90">
        <v>956</v>
      </c>
      <c r="F595" s="79">
        <f>E595/E588</f>
        <v>6.1286667346692289E-2</v>
      </c>
      <c r="G595" s="91">
        <v>956</v>
      </c>
      <c r="H595" s="81">
        <f>G595/G588</f>
        <v>6.1286667346692289E-2</v>
      </c>
      <c r="I595" s="92">
        <v>956</v>
      </c>
      <c r="J595" s="83">
        <f>I595/I588</f>
        <v>6.1286667346692289E-2</v>
      </c>
      <c r="K595" s="93">
        <v>956</v>
      </c>
      <c r="L595" s="85">
        <f>K595/K588</f>
        <v>6.1286667346692289E-2</v>
      </c>
      <c r="M595" s="23">
        <v>956</v>
      </c>
      <c r="N595" s="87">
        <f>M595/M588</f>
        <v>1.2257333469338457E-2</v>
      </c>
      <c r="O595" s="151"/>
    </row>
    <row r="596" spans="1:15" x14ac:dyDescent="0.35">
      <c r="A596" t="s">
        <v>154</v>
      </c>
      <c r="B596" s="75" t="s">
        <v>175</v>
      </c>
      <c r="C596" s="88">
        <v>0</v>
      </c>
      <c r="D596" s="77">
        <f>C596/C588</f>
        <v>0</v>
      </c>
      <c r="E596" s="90">
        <v>0</v>
      </c>
      <c r="F596" s="79">
        <f>E596/E588</f>
        <v>0</v>
      </c>
      <c r="G596" s="91">
        <v>0</v>
      </c>
      <c r="H596" s="81">
        <f>G596/G588</f>
        <v>0</v>
      </c>
      <c r="I596" s="92">
        <v>0</v>
      </c>
      <c r="J596" s="83">
        <f>I596/I588</f>
        <v>0</v>
      </c>
      <c r="K596" s="93">
        <v>0</v>
      </c>
      <c r="L596" s="85">
        <f>K596/K588</f>
        <v>0</v>
      </c>
      <c r="M596" s="23">
        <v>0</v>
      </c>
      <c r="N596" s="87">
        <f>M596/M588</f>
        <v>0</v>
      </c>
      <c r="O596" s="151"/>
    </row>
    <row r="597" spans="1:15" x14ac:dyDescent="0.35">
      <c r="A597" t="s">
        <v>154</v>
      </c>
      <c r="B597" s="75" t="s">
        <v>176</v>
      </c>
      <c r="C597" s="88">
        <v>238</v>
      </c>
      <c r="D597" s="77">
        <f>C597/C588</f>
        <v>1.5257559444051008E-2</v>
      </c>
      <c r="E597" s="90">
        <v>238</v>
      </c>
      <c r="F597" s="79">
        <f>E597/E588</f>
        <v>1.5257559444051008E-2</v>
      </c>
      <c r="G597" s="91">
        <v>238</v>
      </c>
      <c r="H597" s="81">
        <f>G597/G588</f>
        <v>1.5257559444051008E-2</v>
      </c>
      <c r="I597" s="92">
        <v>238</v>
      </c>
      <c r="J597" s="83">
        <f>I597/I588</f>
        <v>1.5257559444051008E-2</v>
      </c>
      <c r="K597" s="93">
        <v>238</v>
      </c>
      <c r="L597" s="85">
        <f>K597/K588</f>
        <v>1.5257559444051008E-2</v>
      </c>
      <c r="M597" s="23">
        <v>238</v>
      </c>
      <c r="N597" s="87">
        <f>M597/M588</f>
        <v>3.0515118888102019E-3</v>
      </c>
      <c r="O597" s="151"/>
    </row>
    <row r="598" spans="1:15" x14ac:dyDescent="0.35">
      <c r="A598" t="s">
        <v>154</v>
      </c>
      <c r="B598" s="75" t="s">
        <v>177</v>
      </c>
      <c r="C598" s="88">
        <v>0</v>
      </c>
      <c r="D598" s="77">
        <f>C598/C588</f>
        <v>0</v>
      </c>
      <c r="E598" s="90">
        <v>0</v>
      </c>
      <c r="F598" s="79">
        <f>E598/E588</f>
        <v>0</v>
      </c>
      <c r="G598" s="91">
        <v>0</v>
      </c>
      <c r="H598" s="81">
        <f>G598/G588</f>
        <v>0</v>
      </c>
      <c r="I598" s="92">
        <v>0</v>
      </c>
      <c r="J598" s="83">
        <f>I598/I588</f>
        <v>0</v>
      </c>
      <c r="K598" s="93">
        <v>0</v>
      </c>
      <c r="L598" s="85">
        <f>K598/K588</f>
        <v>0</v>
      </c>
      <c r="M598" s="23">
        <v>0</v>
      </c>
      <c r="N598" s="87">
        <f>M598/M588</f>
        <v>0</v>
      </c>
      <c r="O598" s="151"/>
    </row>
    <row r="599" spans="1:15" x14ac:dyDescent="0.35">
      <c r="A599" t="s">
        <v>154</v>
      </c>
      <c r="B599" s="75" t="s">
        <v>178</v>
      </c>
      <c r="C599" s="88">
        <v>0</v>
      </c>
      <c r="D599" s="77">
        <f>C599/C588</f>
        <v>0</v>
      </c>
      <c r="E599" s="90">
        <v>0</v>
      </c>
      <c r="F599" s="79">
        <f>E599/E588</f>
        <v>0</v>
      </c>
      <c r="G599" s="91">
        <v>0</v>
      </c>
      <c r="H599" s="81">
        <f>G599/G588</f>
        <v>0</v>
      </c>
      <c r="I599" s="92">
        <v>0</v>
      </c>
      <c r="J599" s="83">
        <f>I599/I588</f>
        <v>0</v>
      </c>
      <c r="K599" s="93">
        <v>0</v>
      </c>
      <c r="L599" s="85">
        <f>K599/K588</f>
        <v>0</v>
      </c>
      <c r="M599" s="23">
        <v>0</v>
      </c>
      <c r="N599" s="87">
        <f>M599/M588</f>
        <v>0</v>
      </c>
      <c r="O599" s="151"/>
    </row>
    <row r="600" spans="1:15" ht="15" thickBot="1" x14ac:dyDescent="0.4">
      <c r="A600" t="s">
        <v>154</v>
      </c>
      <c r="B600" s="100" t="s">
        <v>179</v>
      </c>
      <c r="C600" s="101">
        <v>0</v>
      </c>
      <c r="D600" s="113">
        <f t="shared" ref="D600" si="49">C600/$C$33</f>
        <v>0</v>
      </c>
      <c r="E600" s="103">
        <v>0</v>
      </c>
      <c r="F600" s="104">
        <f>E600/E588</f>
        <v>0</v>
      </c>
      <c r="G600" s="105">
        <v>0</v>
      </c>
      <c r="H600" s="106">
        <f>G600/G588</f>
        <v>0</v>
      </c>
      <c r="I600" s="107">
        <v>0</v>
      </c>
      <c r="J600" s="108">
        <f>I600/I588</f>
        <v>0</v>
      </c>
      <c r="K600" s="109">
        <v>0</v>
      </c>
      <c r="L600" s="110">
        <f>K600/K588</f>
        <v>0</v>
      </c>
      <c r="M600" s="25">
        <v>0</v>
      </c>
      <c r="N600" s="111">
        <f>M600/M588</f>
        <v>0</v>
      </c>
      <c r="O600" s="151"/>
    </row>
    <row r="601" spans="1:15" ht="15" thickBot="1" x14ac:dyDescent="0.4">
      <c r="D601" s="26"/>
      <c r="F601" s="26"/>
      <c r="H601" s="26"/>
      <c r="J601" s="26"/>
      <c r="L601" s="26"/>
      <c r="N601" s="26"/>
    </row>
    <row r="602" spans="1:15" ht="15" thickBot="1" x14ac:dyDescent="0.4">
      <c r="A602" t="s">
        <v>156</v>
      </c>
      <c r="B602" s="65" t="s">
        <v>166</v>
      </c>
      <c r="C602" s="66">
        <v>0</v>
      </c>
      <c r="D602" s="67"/>
      <c r="E602" s="66">
        <v>0</v>
      </c>
      <c r="F602" s="67"/>
      <c r="G602" s="66">
        <v>0</v>
      </c>
      <c r="H602" s="67"/>
      <c r="I602" s="66">
        <v>0</v>
      </c>
      <c r="J602" s="67"/>
      <c r="K602" s="66">
        <v>0</v>
      </c>
      <c r="L602" s="67"/>
      <c r="M602" s="68">
        <f>SUM(C602,E602,G602,I602,K602)</f>
        <v>0</v>
      </c>
      <c r="N602" s="67"/>
      <c r="O602" s="150" t="s">
        <v>157</v>
      </c>
    </row>
    <row r="603" spans="1:15" ht="15" thickBot="1" x14ac:dyDescent="0.4">
      <c r="A603" t="s">
        <v>156</v>
      </c>
      <c r="B603" s="69" t="s">
        <v>167</v>
      </c>
      <c r="C603" s="70">
        <v>15598.825019999989</v>
      </c>
      <c r="D603" s="71">
        <f>SUM(D605:D615)</f>
        <v>0.36650196362033455</v>
      </c>
      <c r="E603" s="70">
        <v>15598.825019999989</v>
      </c>
      <c r="F603" s="71">
        <f>SUM(F605:F615)</f>
        <v>0.36650196362033455</v>
      </c>
      <c r="G603" s="70">
        <v>15598.825019999989</v>
      </c>
      <c r="H603" s="71">
        <f>SUM(H605:H615)</f>
        <v>0.36650196362033455</v>
      </c>
      <c r="I603" s="70">
        <v>15598.825019999989</v>
      </c>
      <c r="J603" s="71">
        <f>SUM(J605:J615)</f>
        <v>0.36650196362033455</v>
      </c>
      <c r="K603" s="70">
        <v>15598.825019999989</v>
      </c>
      <c r="L603" s="71">
        <f>SUM(L605:L615)</f>
        <v>0.36650196362033455</v>
      </c>
      <c r="M603" s="70">
        <f>SUM(C603,E603,G603,I603,K603)</f>
        <v>77994.125099999947</v>
      </c>
      <c r="N603" s="71">
        <f>SUM(N605:N615)</f>
        <v>7.3300392724066896E-2</v>
      </c>
      <c r="O603" s="151"/>
    </row>
    <row r="604" spans="1:15" ht="15" thickBot="1" x14ac:dyDescent="0.4">
      <c r="A604" t="s">
        <v>156</v>
      </c>
      <c r="B604" s="72" t="s">
        <v>168</v>
      </c>
      <c r="C604" s="73"/>
      <c r="D604" s="74">
        <f>(SUM(D605:D615)+C602)/C603</f>
        <v>2.3495485278565861E-5</v>
      </c>
      <c r="E604" s="73"/>
      <c r="F604" s="74">
        <f>(SUM(F605:F615)+E602)/E603</f>
        <v>2.3495485278565861E-5</v>
      </c>
      <c r="G604" s="73"/>
      <c r="H604" s="74">
        <f>(SUM(H605:H615)+G602)/G603</f>
        <v>2.3495485278565861E-5</v>
      </c>
      <c r="I604" s="73"/>
      <c r="J604" s="74">
        <f>(SUM(J605:J615)+I602)/I603</f>
        <v>2.3495485278565861E-5</v>
      </c>
      <c r="K604" s="73"/>
      <c r="L604" s="74">
        <f>(SUM(L605:L615)+K602)/K603</f>
        <v>2.3495485278565861E-5</v>
      </c>
      <c r="M604" s="73"/>
      <c r="N604" s="74">
        <f>(SUM(N605:N615)+M602)/M603</f>
        <v>9.398194111426342E-7</v>
      </c>
      <c r="O604" s="151"/>
    </row>
    <row r="605" spans="1:15" x14ac:dyDescent="0.35">
      <c r="A605" t="s">
        <v>156</v>
      </c>
      <c r="B605" s="75" t="s">
        <v>169</v>
      </c>
      <c r="C605" s="76">
        <v>800</v>
      </c>
      <c r="D605" s="77">
        <f>C605/C603</f>
        <v>5.1285914097650452E-2</v>
      </c>
      <c r="E605" s="78">
        <v>800</v>
      </c>
      <c r="F605" s="79">
        <f>E605/E603</f>
        <v>5.1285914097650452E-2</v>
      </c>
      <c r="G605" s="80">
        <v>800</v>
      </c>
      <c r="H605" s="81">
        <f>G605/G603</f>
        <v>5.1285914097650452E-2</v>
      </c>
      <c r="I605" s="82">
        <v>800</v>
      </c>
      <c r="J605" s="83">
        <f>I605/I603</f>
        <v>5.1285914097650452E-2</v>
      </c>
      <c r="K605" s="84">
        <v>800</v>
      </c>
      <c r="L605" s="85">
        <f>K605/K603</f>
        <v>5.1285914097650452E-2</v>
      </c>
      <c r="M605" s="86">
        <v>800</v>
      </c>
      <c r="N605" s="87">
        <f>M605/M603</f>
        <v>1.025718281953009E-2</v>
      </c>
      <c r="O605" s="151"/>
    </row>
    <row r="606" spans="1:15" x14ac:dyDescent="0.35">
      <c r="A606" t="s">
        <v>156</v>
      </c>
      <c r="B606" s="75" t="s">
        <v>170</v>
      </c>
      <c r="C606" s="88">
        <v>0</v>
      </c>
      <c r="D606" s="77">
        <f>C606/C603</f>
        <v>0</v>
      </c>
      <c r="E606" s="90">
        <v>0</v>
      </c>
      <c r="F606" s="79">
        <f>E606/E603</f>
        <v>0</v>
      </c>
      <c r="G606" s="91">
        <v>0</v>
      </c>
      <c r="H606" s="81">
        <f>G606/G603</f>
        <v>0</v>
      </c>
      <c r="I606" s="92">
        <v>0</v>
      </c>
      <c r="J606" s="83">
        <f>I606/I603</f>
        <v>0</v>
      </c>
      <c r="K606" s="93">
        <v>0</v>
      </c>
      <c r="L606" s="85">
        <f>K606/K603</f>
        <v>0</v>
      </c>
      <c r="M606" s="23">
        <v>0</v>
      </c>
      <c r="N606" s="87">
        <f>M606/M603</f>
        <v>0</v>
      </c>
      <c r="O606" s="151"/>
    </row>
    <row r="607" spans="1:15" x14ac:dyDescent="0.35">
      <c r="A607" t="s">
        <v>156</v>
      </c>
      <c r="B607" s="75" t="s">
        <v>171</v>
      </c>
      <c r="C607" s="88">
        <v>104</v>
      </c>
      <c r="D607" s="77">
        <f>C607/C603</f>
        <v>6.6671688326945585E-3</v>
      </c>
      <c r="E607" s="90">
        <v>104</v>
      </c>
      <c r="F607" s="79">
        <f>E607/E603</f>
        <v>6.6671688326945585E-3</v>
      </c>
      <c r="G607" s="91">
        <v>104</v>
      </c>
      <c r="H607" s="81">
        <f>G607/G603</f>
        <v>6.6671688326945585E-3</v>
      </c>
      <c r="I607" s="92">
        <v>104</v>
      </c>
      <c r="J607" s="83">
        <f>I607/I603</f>
        <v>6.6671688326945585E-3</v>
      </c>
      <c r="K607" s="93">
        <v>104</v>
      </c>
      <c r="L607" s="85">
        <f>K607/K603</f>
        <v>6.6671688326945585E-3</v>
      </c>
      <c r="M607" s="23">
        <v>104</v>
      </c>
      <c r="N607" s="87">
        <f>M607/M603</f>
        <v>1.3334337665389117E-3</v>
      </c>
      <c r="O607" s="151"/>
    </row>
    <row r="608" spans="1:15" x14ac:dyDescent="0.35">
      <c r="A608" t="s">
        <v>156</v>
      </c>
      <c r="B608" s="75" t="s">
        <v>172</v>
      </c>
      <c r="C608" s="88">
        <v>0</v>
      </c>
      <c r="D608" s="77">
        <f>C608/C603</f>
        <v>0</v>
      </c>
      <c r="E608" s="90">
        <v>0</v>
      </c>
      <c r="F608" s="79">
        <f>E608/E603</f>
        <v>0</v>
      </c>
      <c r="G608" s="91">
        <v>0</v>
      </c>
      <c r="H608" s="81">
        <f>G608/G603</f>
        <v>0</v>
      </c>
      <c r="I608" s="92">
        <v>0</v>
      </c>
      <c r="J608" s="83">
        <f>I608/I603</f>
        <v>0</v>
      </c>
      <c r="K608" s="93">
        <v>0</v>
      </c>
      <c r="L608" s="85">
        <f>K608/K603</f>
        <v>0</v>
      </c>
      <c r="M608" s="23">
        <v>0</v>
      </c>
      <c r="N608" s="87">
        <f>M608/M603</f>
        <v>0</v>
      </c>
      <c r="O608" s="151"/>
    </row>
    <row r="609" spans="1:15" x14ac:dyDescent="0.35">
      <c r="A609" t="s">
        <v>156</v>
      </c>
      <c r="B609" s="75" t="s">
        <v>173</v>
      </c>
      <c r="C609" s="94">
        <v>3619</v>
      </c>
      <c r="D609" s="77">
        <f>C609/C603</f>
        <v>0.23200465389924621</v>
      </c>
      <c r="E609" s="95">
        <v>3619</v>
      </c>
      <c r="F609" s="79">
        <f>E609/E603</f>
        <v>0.23200465389924621</v>
      </c>
      <c r="G609" s="96">
        <v>3619</v>
      </c>
      <c r="H609" s="81">
        <f>G609/G603</f>
        <v>0.23200465389924621</v>
      </c>
      <c r="I609" s="97">
        <v>3619</v>
      </c>
      <c r="J609" s="83">
        <f>I609/I603</f>
        <v>0.23200465389924621</v>
      </c>
      <c r="K609" s="98">
        <v>3619</v>
      </c>
      <c r="L609" s="85">
        <f>K609/K603</f>
        <v>0.23200465389924621</v>
      </c>
      <c r="M609" s="99">
        <v>3619</v>
      </c>
      <c r="N609" s="87">
        <f>M609/M603</f>
        <v>4.6400930779849241E-2</v>
      </c>
      <c r="O609" s="151"/>
    </row>
    <row r="610" spans="1:15" x14ac:dyDescent="0.35">
      <c r="A610" t="s">
        <v>156</v>
      </c>
      <c r="B610" s="75" t="s">
        <v>174</v>
      </c>
      <c r="C610" s="88">
        <v>956</v>
      </c>
      <c r="D610" s="77">
        <f>C610/C603</f>
        <v>6.1286667346692289E-2</v>
      </c>
      <c r="E610" s="90">
        <v>956</v>
      </c>
      <c r="F610" s="79">
        <f>E610/E603</f>
        <v>6.1286667346692289E-2</v>
      </c>
      <c r="G610" s="91">
        <v>956</v>
      </c>
      <c r="H610" s="81">
        <f>G610/G603</f>
        <v>6.1286667346692289E-2</v>
      </c>
      <c r="I610" s="92">
        <v>956</v>
      </c>
      <c r="J610" s="83">
        <f>I610/I603</f>
        <v>6.1286667346692289E-2</v>
      </c>
      <c r="K610" s="93">
        <v>956</v>
      </c>
      <c r="L610" s="85">
        <f>K610/K603</f>
        <v>6.1286667346692289E-2</v>
      </c>
      <c r="M610" s="23">
        <v>956</v>
      </c>
      <c r="N610" s="87">
        <f>M610/M603</f>
        <v>1.2257333469338457E-2</v>
      </c>
      <c r="O610" s="151"/>
    </row>
    <row r="611" spans="1:15" x14ac:dyDescent="0.35">
      <c r="A611" t="s">
        <v>156</v>
      </c>
      <c r="B611" s="75" t="s">
        <v>175</v>
      </c>
      <c r="C611" s="88">
        <v>0</v>
      </c>
      <c r="D611" s="77">
        <f>C611/C603</f>
        <v>0</v>
      </c>
      <c r="E611" s="90">
        <v>0</v>
      </c>
      <c r="F611" s="79">
        <f>E611/E603</f>
        <v>0</v>
      </c>
      <c r="G611" s="91">
        <v>0</v>
      </c>
      <c r="H611" s="81">
        <f>G611/G603</f>
        <v>0</v>
      </c>
      <c r="I611" s="92">
        <v>0</v>
      </c>
      <c r="J611" s="83">
        <f>I611/I603</f>
        <v>0</v>
      </c>
      <c r="K611" s="93">
        <v>0</v>
      </c>
      <c r="L611" s="85">
        <f>K611/K603</f>
        <v>0</v>
      </c>
      <c r="M611" s="23">
        <v>0</v>
      </c>
      <c r="N611" s="87">
        <f>M611/M603</f>
        <v>0</v>
      </c>
      <c r="O611" s="151"/>
    </row>
    <row r="612" spans="1:15" x14ac:dyDescent="0.35">
      <c r="A612" t="s">
        <v>156</v>
      </c>
      <c r="B612" s="75" t="s">
        <v>176</v>
      </c>
      <c r="C612" s="88">
        <v>238</v>
      </c>
      <c r="D612" s="77">
        <f>C612/C603</f>
        <v>1.5257559444051008E-2</v>
      </c>
      <c r="E612" s="90">
        <v>238</v>
      </c>
      <c r="F612" s="79">
        <f>E612/E603</f>
        <v>1.5257559444051008E-2</v>
      </c>
      <c r="G612" s="91">
        <v>238</v>
      </c>
      <c r="H612" s="81">
        <f>G612/G603</f>
        <v>1.5257559444051008E-2</v>
      </c>
      <c r="I612" s="92">
        <v>238</v>
      </c>
      <c r="J612" s="83">
        <f>I612/I603</f>
        <v>1.5257559444051008E-2</v>
      </c>
      <c r="K612" s="93">
        <v>238</v>
      </c>
      <c r="L612" s="85">
        <f>K612/K603</f>
        <v>1.5257559444051008E-2</v>
      </c>
      <c r="M612" s="23">
        <v>238</v>
      </c>
      <c r="N612" s="87">
        <f>M612/M603</f>
        <v>3.0515118888102019E-3</v>
      </c>
      <c r="O612" s="151"/>
    </row>
    <row r="613" spans="1:15" x14ac:dyDescent="0.35">
      <c r="A613" t="s">
        <v>156</v>
      </c>
      <c r="B613" s="75" t="s">
        <v>177</v>
      </c>
      <c r="C613" s="88">
        <v>0</v>
      </c>
      <c r="D613" s="77">
        <f>C613/C603</f>
        <v>0</v>
      </c>
      <c r="E613" s="90">
        <v>0</v>
      </c>
      <c r="F613" s="79">
        <f>E613/E603</f>
        <v>0</v>
      </c>
      <c r="G613" s="91">
        <v>0</v>
      </c>
      <c r="H613" s="81">
        <f>G613/G603</f>
        <v>0</v>
      </c>
      <c r="I613" s="92">
        <v>0</v>
      </c>
      <c r="J613" s="83">
        <f>I613/I603</f>
        <v>0</v>
      </c>
      <c r="K613" s="93">
        <v>0</v>
      </c>
      <c r="L613" s="85">
        <f>K613/K603</f>
        <v>0</v>
      </c>
      <c r="M613" s="23">
        <v>0</v>
      </c>
      <c r="N613" s="87">
        <f>M613/M603</f>
        <v>0</v>
      </c>
      <c r="O613" s="151"/>
    </row>
    <row r="614" spans="1:15" x14ac:dyDescent="0.35">
      <c r="A614" t="s">
        <v>156</v>
      </c>
      <c r="B614" s="75" t="s">
        <v>178</v>
      </c>
      <c r="C614" s="88">
        <v>0</v>
      </c>
      <c r="D614" s="77">
        <f>C614/C603</f>
        <v>0</v>
      </c>
      <c r="E614" s="90">
        <v>0</v>
      </c>
      <c r="F614" s="79">
        <f>E614/E603</f>
        <v>0</v>
      </c>
      <c r="G614" s="91">
        <v>0</v>
      </c>
      <c r="H614" s="81">
        <f>G614/G603</f>
        <v>0</v>
      </c>
      <c r="I614" s="92">
        <v>0</v>
      </c>
      <c r="J614" s="83">
        <f>I614/I603</f>
        <v>0</v>
      </c>
      <c r="K614" s="93">
        <v>0</v>
      </c>
      <c r="L614" s="85">
        <f>K614/K603</f>
        <v>0</v>
      </c>
      <c r="M614" s="23">
        <v>0</v>
      </c>
      <c r="N614" s="87">
        <f>M614/M603</f>
        <v>0</v>
      </c>
      <c r="O614" s="151"/>
    </row>
    <row r="615" spans="1:15" ht="15" thickBot="1" x14ac:dyDescent="0.4">
      <c r="A615" t="s">
        <v>156</v>
      </c>
      <c r="B615" s="100" t="s">
        <v>179</v>
      </c>
      <c r="C615" s="101">
        <v>0</v>
      </c>
      <c r="D615" s="113">
        <f t="shared" ref="D615" si="50">C615/$C$33</f>
        <v>0</v>
      </c>
      <c r="E615" s="103">
        <v>0</v>
      </c>
      <c r="F615" s="104">
        <f>E615/E603</f>
        <v>0</v>
      </c>
      <c r="G615" s="105">
        <v>0</v>
      </c>
      <c r="H615" s="106">
        <f>G615/G603</f>
        <v>0</v>
      </c>
      <c r="I615" s="107">
        <v>0</v>
      </c>
      <c r="J615" s="108">
        <f>I615/I603</f>
        <v>0</v>
      </c>
      <c r="K615" s="109">
        <v>0</v>
      </c>
      <c r="L615" s="110">
        <f>K615/K603</f>
        <v>0</v>
      </c>
      <c r="M615" s="25">
        <v>0</v>
      </c>
      <c r="N615" s="111">
        <f>M615/M603</f>
        <v>0</v>
      </c>
      <c r="O615" s="151"/>
    </row>
    <row r="616" spans="1:15" ht="15" thickBot="1" x14ac:dyDescent="0.4">
      <c r="D616" s="26"/>
      <c r="F616" s="26"/>
      <c r="H616" s="26"/>
      <c r="J616" s="26"/>
      <c r="L616" s="26"/>
      <c r="N616" s="26"/>
    </row>
    <row r="617" spans="1:15" ht="15" thickBot="1" x14ac:dyDescent="0.4">
      <c r="A617" t="s">
        <v>158</v>
      </c>
      <c r="B617" s="65" t="s">
        <v>166</v>
      </c>
      <c r="C617" s="66">
        <v>0</v>
      </c>
      <c r="D617" s="67"/>
      <c r="E617" s="66">
        <v>0</v>
      </c>
      <c r="F617" s="67"/>
      <c r="G617" s="66">
        <v>0</v>
      </c>
      <c r="H617" s="67"/>
      <c r="I617" s="66">
        <v>0</v>
      </c>
      <c r="J617" s="67"/>
      <c r="K617" s="66">
        <v>0</v>
      </c>
      <c r="L617" s="67"/>
      <c r="M617" s="68">
        <f>SUM(C617,E617,G617,I617,K617)</f>
        <v>0</v>
      </c>
      <c r="N617" s="67"/>
      <c r="O617" s="150" t="s">
        <v>159</v>
      </c>
    </row>
    <row r="618" spans="1:15" ht="15" thickBot="1" x14ac:dyDescent="0.4">
      <c r="A618" t="s">
        <v>158</v>
      </c>
      <c r="B618" s="69" t="s">
        <v>167</v>
      </c>
      <c r="C618" s="70">
        <v>15598.825019999989</v>
      </c>
      <c r="D618" s="71">
        <f>SUM(D620:D630)</f>
        <v>0.36650196362033455</v>
      </c>
      <c r="E618" s="70">
        <v>15598.825019999989</v>
      </c>
      <c r="F618" s="71">
        <f>SUM(F620:F630)</f>
        <v>0.36650196362033455</v>
      </c>
      <c r="G618" s="70">
        <v>15598.825019999989</v>
      </c>
      <c r="H618" s="71">
        <f>SUM(H620:H630)</f>
        <v>0.36650196362033455</v>
      </c>
      <c r="I618" s="70">
        <v>15598.825019999989</v>
      </c>
      <c r="J618" s="71">
        <f>SUM(J620:J630)</f>
        <v>0.36650196362033455</v>
      </c>
      <c r="K618" s="70">
        <v>15598.825019999989</v>
      </c>
      <c r="L618" s="71">
        <f>SUM(L620:L630)</f>
        <v>0.36650196362033455</v>
      </c>
      <c r="M618" s="70">
        <f>SUM(C618,E618,G618,I618,K618)</f>
        <v>77994.125099999947</v>
      </c>
      <c r="N618" s="71">
        <f>SUM(N620:N630)</f>
        <v>7.3300392724066896E-2</v>
      </c>
      <c r="O618" s="151"/>
    </row>
    <row r="619" spans="1:15" ht="15" thickBot="1" x14ac:dyDescent="0.4">
      <c r="A619" t="s">
        <v>158</v>
      </c>
      <c r="B619" s="72" t="s">
        <v>168</v>
      </c>
      <c r="C619" s="73"/>
      <c r="D619" s="74">
        <f>(SUM(D620:D630)+C617)/C618</f>
        <v>2.3495485278565861E-5</v>
      </c>
      <c r="E619" s="73"/>
      <c r="F619" s="74">
        <f>(SUM(F620:F630)+E617)/E618</f>
        <v>2.3495485278565861E-5</v>
      </c>
      <c r="G619" s="73"/>
      <c r="H619" s="74">
        <f>(SUM(H620:H630)+G617)/G618</f>
        <v>2.3495485278565861E-5</v>
      </c>
      <c r="I619" s="73"/>
      <c r="J619" s="74">
        <f>(SUM(J620:J630)+I617)/I618</f>
        <v>2.3495485278565861E-5</v>
      </c>
      <c r="K619" s="73"/>
      <c r="L619" s="74">
        <f>(SUM(L620:L630)+K617)/K618</f>
        <v>2.3495485278565861E-5</v>
      </c>
      <c r="M619" s="73"/>
      <c r="N619" s="74">
        <f>(SUM(N620:N630)+M617)/M618</f>
        <v>9.398194111426342E-7</v>
      </c>
      <c r="O619" s="151"/>
    </row>
    <row r="620" spans="1:15" x14ac:dyDescent="0.35">
      <c r="A620" t="s">
        <v>158</v>
      </c>
      <c r="B620" s="75" t="s">
        <v>169</v>
      </c>
      <c r="C620" s="76">
        <v>800</v>
      </c>
      <c r="D620" s="77">
        <f>C620/C618</f>
        <v>5.1285914097650452E-2</v>
      </c>
      <c r="E620" s="78">
        <v>800</v>
      </c>
      <c r="F620" s="79">
        <f>E620/E618</f>
        <v>5.1285914097650452E-2</v>
      </c>
      <c r="G620" s="80">
        <v>800</v>
      </c>
      <c r="H620" s="81">
        <f>G620/G618</f>
        <v>5.1285914097650452E-2</v>
      </c>
      <c r="I620" s="82">
        <v>800</v>
      </c>
      <c r="J620" s="83">
        <f>I620/I618</f>
        <v>5.1285914097650452E-2</v>
      </c>
      <c r="K620" s="84">
        <v>800</v>
      </c>
      <c r="L620" s="85">
        <f>K620/K618</f>
        <v>5.1285914097650452E-2</v>
      </c>
      <c r="M620" s="86">
        <v>800</v>
      </c>
      <c r="N620" s="87">
        <f>M620/M618</f>
        <v>1.025718281953009E-2</v>
      </c>
      <c r="O620" s="151"/>
    </row>
    <row r="621" spans="1:15" x14ac:dyDescent="0.35">
      <c r="A621" t="s">
        <v>158</v>
      </c>
      <c r="B621" s="75" t="s">
        <v>170</v>
      </c>
      <c r="C621" s="88">
        <v>0</v>
      </c>
      <c r="D621" s="77">
        <f>C621/C618</f>
        <v>0</v>
      </c>
      <c r="E621" s="90">
        <v>0</v>
      </c>
      <c r="F621" s="79">
        <f>E621/E618</f>
        <v>0</v>
      </c>
      <c r="G621" s="91">
        <v>0</v>
      </c>
      <c r="H621" s="81">
        <f>G621/G618</f>
        <v>0</v>
      </c>
      <c r="I621" s="92">
        <v>0</v>
      </c>
      <c r="J621" s="83">
        <f>I621/I618</f>
        <v>0</v>
      </c>
      <c r="K621" s="93">
        <v>0</v>
      </c>
      <c r="L621" s="85">
        <f>K621/K618</f>
        <v>0</v>
      </c>
      <c r="M621" s="23">
        <v>0</v>
      </c>
      <c r="N621" s="87">
        <f>M621/M618</f>
        <v>0</v>
      </c>
      <c r="O621" s="151"/>
    </row>
    <row r="622" spans="1:15" x14ac:dyDescent="0.35">
      <c r="A622" t="s">
        <v>158</v>
      </c>
      <c r="B622" s="75" t="s">
        <v>171</v>
      </c>
      <c r="C622" s="88">
        <v>104</v>
      </c>
      <c r="D622" s="77">
        <f>C622/C618</f>
        <v>6.6671688326945585E-3</v>
      </c>
      <c r="E622" s="90">
        <v>104</v>
      </c>
      <c r="F622" s="79">
        <f>E622/E618</f>
        <v>6.6671688326945585E-3</v>
      </c>
      <c r="G622" s="91">
        <v>104</v>
      </c>
      <c r="H622" s="81">
        <f>G622/G618</f>
        <v>6.6671688326945585E-3</v>
      </c>
      <c r="I622" s="92">
        <v>104</v>
      </c>
      <c r="J622" s="83">
        <f>I622/I618</f>
        <v>6.6671688326945585E-3</v>
      </c>
      <c r="K622" s="93">
        <v>104</v>
      </c>
      <c r="L622" s="85">
        <f>K622/K618</f>
        <v>6.6671688326945585E-3</v>
      </c>
      <c r="M622" s="23">
        <v>104</v>
      </c>
      <c r="N622" s="87">
        <f>M622/M618</f>
        <v>1.3334337665389117E-3</v>
      </c>
      <c r="O622" s="151"/>
    </row>
    <row r="623" spans="1:15" x14ac:dyDescent="0.35">
      <c r="A623" t="s">
        <v>158</v>
      </c>
      <c r="B623" s="75" t="s">
        <v>172</v>
      </c>
      <c r="C623" s="88">
        <v>0</v>
      </c>
      <c r="D623" s="77">
        <f>C623/C618</f>
        <v>0</v>
      </c>
      <c r="E623" s="90">
        <v>0</v>
      </c>
      <c r="F623" s="79">
        <f>E623/E618</f>
        <v>0</v>
      </c>
      <c r="G623" s="91">
        <v>0</v>
      </c>
      <c r="H623" s="81">
        <f>G623/G618</f>
        <v>0</v>
      </c>
      <c r="I623" s="92">
        <v>0</v>
      </c>
      <c r="J623" s="83">
        <f>I623/I618</f>
        <v>0</v>
      </c>
      <c r="K623" s="93">
        <v>0</v>
      </c>
      <c r="L623" s="85">
        <f>K623/K618</f>
        <v>0</v>
      </c>
      <c r="M623" s="23">
        <v>0</v>
      </c>
      <c r="N623" s="87">
        <f>M623/M618</f>
        <v>0</v>
      </c>
      <c r="O623" s="151"/>
    </row>
    <row r="624" spans="1:15" x14ac:dyDescent="0.35">
      <c r="A624" t="s">
        <v>158</v>
      </c>
      <c r="B624" s="75" t="s">
        <v>173</v>
      </c>
      <c r="C624" s="94">
        <v>3619</v>
      </c>
      <c r="D624" s="77">
        <f>C624/C618</f>
        <v>0.23200465389924621</v>
      </c>
      <c r="E624" s="95">
        <v>3619</v>
      </c>
      <c r="F624" s="79">
        <f>E624/E618</f>
        <v>0.23200465389924621</v>
      </c>
      <c r="G624" s="96">
        <v>3619</v>
      </c>
      <c r="H624" s="81">
        <f>G624/G618</f>
        <v>0.23200465389924621</v>
      </c>
      <c r="I624" s="97">
        <v>3619</v>
      </c>
      <c r="J624" s="83">
        <f>I624/I618</f>
        <v>0.23200465389924621</v>
      </c>
      <c r="K624" s="98">
        <v>3619</v>
      </c>
      <c r="L624" s="85">
        <f>K624/K618</f>
        <v>0.23200465389924621</v>
      </c>
      <c r="M624" s="99">
        <v>3619</v>
      </c>
      <c r="N624" s="87">
        <f>M624/M618</f>
        <v>4.6400930779849241E-2</v>
      </c>
      <c r="O624" s="151"/>
    </row>
    <row r="625" spans="1:15" x14ac:dyDescent="0.35">
      <c r="A625" t="s">
        <v>158</v>
      </c>
      <c r="B625" s="75" t="s">
        <v>174</v>
      </c>
      <c r="C625" s="88">
        <v>956</v>
      </c>
      <c r="D625" s="77">
        <f>C625/C618</f>
        <v>6.1286667346692289E-2</v>
      </c>
      <c r="E625" s="90">
        <v>956</v>
      </c>
      <c r="F625" s="79">
        <f>E625/E618</f>
        <v>6.1286667346692289E-2</v>
      </c>
      <c r="G625" s="91">
        <v>956</v>
      </c>
      <c r="H625" s="81">
        <f>G625/G618</f>
        <v>6.1286667346692289E-2</v>
      </c>
      <c r="I625" s="92">
        <v>956</v>
      </c>
      <c r="J625" s="83">
        <f>I625/I618</f>
        <v>6.1286667346692289E-2</v>
      </c>
      <c r="K625" s="93">
        <v>956</v>
      </c>
      <c r="L625" s="85">
        <f>K625/K618</f>
        <v>6.1286667346692289E-2</v>
      </c>
      <c r="M625" s="23">
        <v>956</v>
      </c>
      <c r="N625" s="87">
        <f>M625/M618</f>
        <v>1.2257333469338457E-2</v>
      </c>
      <c r="O625" s="151"/>
    </row>
    <row r="626" spans="1:15" x14ac:dyDescent="0.35">
      <c r="A626" t="s">
        <v>158</v>
      </c>
      <c r="B626" s="75" t="s">
        <v>175</v>
      </c>
      <c r="C626" s="88">
        <v>0</v>
      </c>
      <c r="D626" s="77">
        <f>C626/C618</f>
        <v>0</v>
      </c>
      <c r="E626" s="90">
        <v>0</v>
      </c>
      <c r="F626" s="79">
        <f>E626/E618</f>
        <v>0</v>
      </c>
      <c r="G626" s="91">
        <v>0</v>
      </c>
      <c r="H626" s="81">
        <f>G626/G618</f>
        <v>0</v>
      </c>
      <c r="I626" s="92">
        <v>0</v>
      </c>
      <c r="J626" s="83">
        <f>I626/I618</f>
        <v>0</v>
      </c>
      <c r="K626" s="93">
        <v>0</v>
      </c>
      <c r="L626" s="85">
        <f>K626/K618</f>
        <v>0</v>
      </c>
      <c r="M626" s="23">
        <v>0</v>
      </c>
      <c r="N626" s="87">
        <f>M626/M618</f>
        <v>0</v>
      </c>
      <c r="O626" s="151"/>
    </row>
    <row r="627" spans="1:15" x14ac:dyDescent="0.35">
      <c r="A627" t="s">
        <v>158</v>
      </c>
      <c r="B627" s="75" t="s">
        <v>176</v>
      </c>
      <c r="C627" s="88">
        <v>238</v>
      </c>
      <c r="D627" s="77">
        <f>C627/C618</f>
        <v>1.5257559444051008E-2</v>
      </c>
      <c r="E627" s="90">
        <v>238</v>
      </c>
      <c r="F627" s="79">
        <f>E627/E618</f>
        <v>1.5257559444051008E-2</v>
      </c>
      <c r="G627" s="91">
        <v>238</v>
      </c>
      <c r="H627" s="81">
        <f>G627/G618</f>
        <v>1.5257559444051008E-2</v>
      </c>
      <c r="I627" s="92">
        <v>238</v>
      </c>
      <c r="J627" s="83">
        <f>I627/I618</f>
        <v>1.5257559444051008E-2</v>
      </c>
      <c r="K627" s="93">
        <v>238</v>
      </c>
      <c r="L627" s="85">
        <f>K627/K618</f>
        <v>1.5257559444051008E-2</v>
      </c>
      <c r="M627" s="23">
        <v>238</v>
      </c>
      <c r="N627" s="87">
        <f>M627/M618</f>
        <v>3.0515118888102019E-3</v>
      </c>
      <c r="O627" s="151"/>
    </row>
    <row r="628" spans="1:15" x14ac:dyDescent="0.35">
      <c r="A628" t="s">
        <v>158</v>
      </c>
      <c r="B628" s="75" t="s">
        <v>177</v>
      </c>
      <c r="C628" s="88">
        <v>0</v>
      </c>
      <c r="D628" s="77">
        <f>C628/C618</f>
        <v>0</v>
      </c>
      <c r="E628" s="90">
        <v>0</v>
      </c>
      <c r="F628" s="79">
        <f>E628/E618</f>
        <v>0</v>
      </c>
      <c r="G628" s="91">
        <v>0</v>
      </c>
      <c r="H628" s="81">
        <f>G628/G618</f>
        <v>0</v>
      </c>
      <c r="I628" s="92">
        <v>0</v>
      </c>
      <c r="J628" s="83">
        <f>I628/I618</f>
        <v>0</v>
      </c>
      <c r="K628" s="93">
        <v>0</v>
      </c>
      <c r="L628" s="85">
        <f>K628/K618</f>
        <v>0</v>
      </c>
      <c r="M628" s="23">
        <v>0</v>
      </c>
      <c r="N628" s="87">
        <f>M628/M618</f>
        <v>0</v>
      </c>
      <c r="O628" s="151"/>
    </row>
    <row r="629" spans="1:15" x14ac:dyDescent="0.35">
      <c r="A629" t="s">
        <v>158</v>
      </c>
      <c r="B629" s="75" t="s">
        <v>178</v>
      </c>
      <c r="C629" s="88">
        <v>0</v>
      </c>
      <c r="D629" s="77">
        <f>C629/C618</f>
        <v>0</v>
      </c>
      <c r="E629" s="90">
        <v>0</v>
      </c>
      <c r="F629" s="79">
        <f>E629/E618</f>
        <v>0</v>
      </c>
      <c r="G629" s="91">
        <v>0</v>
      </c>
      <c r="H629" s="81">
        <f>G629/G618</f>
        <v>0</v>
      </c>
      <c r="I629" s="92">
        <v>0</v>
      </c>
      <c r="J629" s="83">
        <f>I629/I618</f>
        <v>0</v>
      </c>
      <c r="K629" s="93">
        <v>0</v>
      </c>
      <c r="L629" s="85">
        <f>K629/K618</f>
        <v>0</v>
      </c>
      <c r="M629" s="23">
        <v>0</v>
      </c>
      <c r="N629" s="87">
        <f>M629/M618</f>
        <v>0</v>
      </c>
      <c r="O629" s="151"/>
    </row>
    <row r="630" spans="1:15" ht="15" thickBot="1" x14ac:dyDescent="0.4">
      <c r="A630" t="s">
        <v>158</v>
      </c>
      <c r="B630" s="100" t="s">
        <v>179</v>
      </c>
      <c r="C630" s="101">
        <v>0</v>
      </c>
      <c r="D630" s="113">
        <f t="shared" ref="D630" si="51">C630/$C$33</f>
        <v>0</v>
      </c>
      <c r="E630" s="103">
        <v>0</v>
      </c>
      <c r="F630" s="104">
        <f>E630/E618</f>
        <v>0</v>
      </c>
      <c r="G630" s="105">
        <v>0</v>
      </c>
      <c r="H630" s="106">
        <f>G630/G618</f>
        <v>0</v>
      </c>
      <c r="I630" s="107">
        <v>0</v>
      </c>
      <c r="J630" s="108">
        <f>I630/I618</f>
        <v>0</v>
      </c>
      <c r="K630" s="109">
        <v>0</v>
      </c>
      <c r="L630" s="110">
        <f>K630/K618</f>
        <v>0</v>
      </c>
      <c r="M630" s="25">
        <v>0</v>
      </c>
      <c r="N630" s="111">
        <f>M630/M618</f>
        <v>0</v>
      </c>
      <c r="O630" s="151"/>
    </row>
    <row r="631" spans="1:15" x14ac:dyDescent="0.35">
      <c r="D631" s="26"/>
      <c r="F631" s="26"/>
      <c r="H631" s="26"/>
      <c r="J631" s="26"/>
      <c r="L631" s="26"/>
      <c r="N631" s="26"/>
    </row>
  </sheetData>
  <mergeCells count="42">
    <mergeCell ref="O197:O210"/>
    <mergeCell ref="O17:O30"/>
    <mergeCell ref="O62:O75"/>
    <mergeCell ref="O182:O195"/>
    <mergeCell ref="O167:O180"/>
    <mergeCell ref="O152:O165"/>
    <mergeCell ref="O122:O135"/>
    <mergeCell ref="O137:O150"/>
    <mergeCell ref="O617:O630"/>
    <mergeCell ref="O557:O570"/>
    <mergeCell ref="O542:O555"/>
    <mergeCell ref="O527:O540"/>
    <mergeCell ref="O512:O525"/>
    <mergeCell ref="O572:O585"/>
    <mergeCell ref="O587:O600"/>
    <mergeCell ref="O602:O615"/>
    <mergeCell ref="O497:O510"/>
    <mergeCell ref="O482:O495"/>
    <mergeCell ref="O467:O480"/>
    <mergeCell ref="O452:O465"/>
    <mergeCell ref="O437:O450"/>
    <mergeCell ref="O422:O435"/>
    <mergeCell ref="O407:O420"/>
    <mergeCell ref="O392:O405"/>
    <mergeCell ref="O377:O390"/>
    <mergeCell ref="O362:O375"/>
    <mergeCell ref="O347:O360"/>
    <mergeCell ref="O1:O15"/>
    <mergeCell ref="O32:O45"/>
    <mergeCell ref="O47:O60"/>
    <mergeCell ref="O77:O90"/>
    <mergeCell ref="O92:O105"/>
    <mergeCell ref="O107:O120"/>
    <mergeCell ref="O332:O345"/>
    <mergeCell ref="O317:O330"/>
    <mergeCell ref="O302:O315"/>
    <mergeCell ref="O287:O300"/>
    <mergeCell ref="O272:O285"/>
    <mergeCell ref="O257:O270"/>
    <mergeCell ref="O242:O255"/>
    <mergeCell ref="O227:O240"/>
    <mergeCell ref="O212:O225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TIER_MAIN</vt:lpstr>
      <vt:lpstr>LE_HISTORICO</vt:lpstr>
      <vt:lpstr>LE_CODIGO</vt:lpstr>
      <vt:lpstr>DETRACTORES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Valdes, Jennifer Alanna</dc:creator>
  <cp:keywords/>
  <dc:description/>
  <cp:lastModifiedBy>Valdes, Jennifer Alanna</cp:lastModifiedBy>
  <cp:revision/>
  <dcterms:created xsi:type="dcterms:W3CDTF">2026-03-17T21:05:22Z</dcterms:created>
  <dcterms:modified xsi:type="dcterms:W3CDTF">2026-03-26T19:12:31Z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5d81b-0f42-495e-8347-551223c9dd3e_Enabled">
    <vt:lpwstr>true</vt:lpwstr>
  </property>
  <property fmtid="{D5CDD505-2E9C-101B-9397-08002B2CF9AE}" pid="3" name="MSIP_Label_e545d81b-0f42-495e-8347-551223c9dd3e_SetDate">
    <vt:lpwstr>2026-03-17T21:08:22Z</vt:lpwstr>
  </property>
  <property fmtid="{D5CDD505-2E9C-101B-9397-08002B2CF9AE}" pid="4" name="MSIP_Label_e545d81b-0f42-495e-8347-551223c9dd3e_Method">
    <vt:lpwstr>Privileged</vt:lpwstr>
  </property>
  <property fmtid="{D5CDD505-2E9C-101B-9397-08002B2CF9AE}" pid="5" name="MSIP_Label_e545d81b-0f42-495e-8347-551223c9dd3e_Name">
    <vt:lpwstr>Internal</vt:lpwstr>
  </property>
  <property fmtid="{D5CDD505-2E9C-101B-9397-08002B2CF9AE}" pid="6" name="MSIP_Label_e545d81b-0f42-495e-8347-551223c9dd3e_SiteId">
    <vt:lpwstr>6b1311e5-123f-49db-acdf-8847c2d00bed</vt:lpwstr>
  </property>
  <property fmtid="{D5CDD505-2E9C-101B-9397-08002B2CF9AE}" pid="7" name="MSIP_Label_e545d81b-0f42-495e-8347-551223c9dd3e_ActionId">
    <vt:lpwstr>bad32dfd-21f0-4ff3-b4d8-276c9db84766</vt:lpwstr>
  </property>
  <property fmtid="{D5CDD505-2E9C-101B-9397-08002B2CF9AE}" pid="8" name="MSIP_Label_e545d81b-0f42-495e-8347-551223c9dd3e_ContentBits">
    <vt:lpwstr>2</vt:lpwstr>
  </property>
  <property fmtid="{D5CDD505-2E9C-101B-9397-08002B2CF9AE}" pid="9" name="MSIP_Label_e545d81b-0f42-495e-8347-551223c9dd3e_Tag">
    <vt:lpwstr>10, 0, 1, 1</vt:lpwstr>
  </property>
</Properties>
</file>